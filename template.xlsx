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F24DFA8E-27E9-4E80-9F89-288ED4683EC7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53" i="2" a="1"/>
  <c r="E53" i="2" s="1" a="1"/>
  <c r="M54" i="2" a="1"/>
  <c r="E54" i="2" s="1" a="1"/>
  <c r="M55" i="2" a="1"/>
  <c r="E55" i="2" s="1" a="1"/>
  <c r="M56" i="2" a="1"/>
  <c r="E56" i="2" s="1" a="1"/>
  <c r="M57" i="2" a="1"/>
  <c r="E57" i="2" s="1" a="1"/>
  <c r="M58" i="2" a="1"/>
  <c r="E58" i="2" s="1" a="1"/>
  <c r="M59" i="2" a="1"/>
  <c r="E59" i="2" s="1" a="1"/>
  <c r="M60" i="2" a="1"/>
  <c r="E60" i="2" s="1" a="1"/>
  <c r="M61" i="2" a="1"/>
  <c r="E61" i="2" s="1" a="1"/>
  <c r="M62" i="2" a="1"/>
  <c r="E62" i="2" s="1" a="1"/>
  <c r="M63" i="2" a="1"/>
  <c r="E63" i="2" s="1" a="1"/>
  <c r="M64" i="2" a="1"/>
  <c r="E64" i="2" s="1" a="1"/>
  <c r="M65" i="2" a="1"/>
  <c r="E65" i="2" s="1" a="1"/>
  <c r="M66" i="2" a="1"/>
  <c r="E66" i="2" s="1" a="1"/>
  <c r="M67" i="2" a="1"/>
  <c r="E67" i="2" s="1" a="1"/>
  <c r="M68" i="2" a="1"/>
  <c r="E68" i="2" s="1" a="1"/>
  <c r="M69" i="2" a="1"/>
  <c r="E69" i="2" s="1" a="1"/>
  <c r="M70" i="2" a="1"/>
  <c r="E70" i="2" s="1" a="1"/>
  <c r="M71" i="2" a="1"/>
  <c r="E71" i="2" s="1" a="1"/>
  <c r="M72" i="2" a="1"/>
  <c r="E72" i="2" s="1" a="1"/>
  <c r="M73" i="2" a="1"/>
  <c r="E73" i="2" s="1" a="1"/>
  <c r="M74" i="2" a="1"/>
  <c r="E74" i="2" s="1" a="1"/>
  <c r="M75" i="2" a="1"/>
  <c r="E75" i="2" s="1" a="1"/>
  <c r="M76" i="2" a="1"/>
  <c r="E76" i="2" s="1" a="1"/>
  <c r="M77" i="2" a="1"/>
  <c r="E77" i="2" s="1" a="1"/>
  <c r="M78" i="2" a="1"/>
  <c r="E78" i="2" s="1" a="1"/>
  <c r="M79" i="2" a="1"/>
  <c r="E79" i="2" s="1" a="1"/>
  <c r="M80" i="2" a="1"/>
  <c r="E80" i="2" s="1" a="1"/>
  <c r="M81" i="2" a="1"/>
  <c r="E81" i="2" s="1" a="1"/>
  <c r="M82" i="2" a="1"/>
  <c r="E82" i="2" s="1" a="1"/>
  <c r="M83" i="2" a="1"/>
  <c r="E83" i="2" s="1" a="1"/>
  <c r="M84" i="2" a="1"/>
  <c r="E84" i="2" s="1" a="1"/>
  <c r="M85" i="2" a="1"/>
  <c r="E85" i="2" s="1" a="1"/>
  <c r="M86" i="2" a="1"/>
  <c r="E86" i="2" s="1" a="1"/>
  <c r="M87" i="2" a="1"/>
  <c r="E87" i="2" s="1" a="1"/>
  <c r="M88" i="2" a="1"/>
  <c r="E88" i="2" s="1" a="1"/>
  <c r="M89" i="2" a="1"/>
  <c r="E89" i="2" s="1" a="1"/>
  <c r="M90" i="2" a="1"/>
  <c r="E90" i="2" s="1" a="1"/>
  <c r="M91" i="2" a="1"/>
  <c r="E91" i="2" s="1" a="1"/>
  <c r="M92" i="2" a="1"/>
  <c r="E92" i="2" s="1" a="1"/>
  <c r="M93" i="2" a="1"/>
  <c r="E93" i="2" s="1" a="1"/>
  <c r="M94" i="2" a="1"/>
  <c r="E94" i="2" s="1" a="1"/>
  <c r="M95" i="2" a="1"/>
  <c r="E95" i="2" s="1" a="1"/>
  <c r="M96" i="2" a="1"/>
  <c r="E96" i="2" s="1" a="1"/>
  <c r="M97" i="2" a="1"/>
  <c r="E97" i="2" s="1" a="1"/>
  <c r="M98" i="2" a="1"/>
  <c r="E98" i="2" s="1" a="1"/>
  <c r="M99" i="2" a="1"/>
  <c r="E99" i="2" s="1" a="1"/>
  <c r="M100" i="2" a="1"/>
  <c r="E100" i="2" s="1" a="1"/>
  <c r="M101" i="2" a="1"/>
  <c r="E101" i="2" s="1" a="1"/>
  <c r="M102" i="2" a="1"/>
  <c r="E102" i="2" s="1" a="1"/>
  <c r="M103" i="2" a="1"/>
  <c r="E103" i="2" s="1" a="1"/>
  <c r="M104" i="2" a="1"/>
  <c r="E104" i="2" s="1" a="1"/>
  <c r="M105" i="2" a="1"/>
  <c r="E105" i="2" s="1" a="1"/>
  <c r="M106" i="2" a="1"/>
  <c r="E106" i="2" s="1" a="1"/>
  <c r="M107" i="2" a="1"/>
  <c r="E107" i="2" s="1" a="1"/>
  <c r="M108" i="2" a="1"/>
  <c r="E108" i="2" s="1" a="1"/>
  <c r="M109" i="2" a="1"/>
  <c r="E109" i="2" s="1" a="1"/>
  <c r="M110" i="2" a="1"/>
  <c r="E110" i="2" s="1" a="1"/>
  <c r="M111" i="2" a="1"/>
  <c r="E111" i="2" s="1" a="1"/>
  <c r="M112" i="2" a="1"/>
  <c r="E112" i="2" s="1" a="1"/>
  <c r="M113" i="2" a="1"/>
  <c r="E113" i="2" s="1" a="1"/>
  <c r="M114" i="2" a="1"/>
  <c r="E114" i="2" s="1" a="1"/>
  <c r="M115" i="2" a="1"/>
  <c r="E115" i="2" s="1" a="1"/>
  <c r="M116" i="2" a="1"/>
  <c r="E116" i="2" s="1" a="1"/>
  <c r="M117" i="2" a="1"/>
  <c r="E117" i="2" s="1" a="1"/>
  <c r="M118" i="2" a="1"/>
  <c r="E118" i="2" s="1" a="1"/>
  <c r="M119" i="2" a="1"/>
  <c r="E119" i="2" s="1" a="1"/>
  <c r="M120" i="2" a="1"/>
  <c r="E120" i="2" s="1" a="1"/>
  <c r="M121" i="2" a="1"/>
  <c r="E121" i="2" s="1" a="1"/>
  <c r="M122" i="2" a="1"/>
  <c r="E122" i="2" s="1" a="1"/>
  <c r="M123" i="2" a="1"/>
  <c r="E123" i="2" s="1" a="1"/>
  <c r="M124" i="2" a="1"/>
  <c r="E124" i="2" s="1" a="1"/>
  <c r="M125" i="2" a="1"/>
  <c r="E125" i="2" s="1" a="1"/>
  <c r="M126" i="2" a="1"/>
  <c r="E126" i="2" s="1" a="1"/>
  <c r="M127" i="2" a="1"/>
  <c r="E127" i="2" s="1" a="1"/>
  <c r="M128" i="2" a="1"/>
  <c r="E128" i="2" s="1" a="1"/>
  <c r="M129" i="2" a="1"/>
  <c r="E129" i="2" s="1" a="1"/>
  <c r="M130" i="2" a="1"/>
  <c r="E130" i="2" s="1" a="1"/>
  <c r="M131" i="2" a="1"/>
  <c r="E131" i="2" s="1" a="1"/>
  <c r="M132" i="2" a="1"/>
  <c r="E132" i="2" s="1" a="1"/>
  <c r="M133" i="2" a="1"/>
  <c r="E133" i="2" s="1" a="1"/>
  <c r="M134" i="2" a="1"/>
  <c r="E134" i="2" s="1" a="1"/>
  <c r="M135" i="2" a="1"/>
  <c r="E135" i="2" s="1" a="1"/>
  <c r="M136" i="2" a="1"/>
  <c r="E136" i="2" s="1" a="1"/>
  <c r="M137" i="2" a="1"/>
  <c r="E137" i="2" s="1" a="1"/>
  <c r="M138" i="2" a="1"/>
  <c r="E138" i="2" s="1" a="1"/>
  <c r="M139" i="2" a="1"/>
  <c r="E139" i="2" s="1" a="1"/>
  <c r="M140" i="2" a="1"/>
  <c r="E140" i="2" s="1" a="1"/>
  <c r="M141" i="2" a="1"/>
  <c r="E141" i="2" s="1" a="1"/>
  <c r="M142" i="2" a="1"/>
  <c r="E142" i="2" s="1" a="1"/>
  <c r="M143" i="2" a="1"/>
  <c r="E143" i="2" s="1" a="1"/>
  <c r="M144" i="2" a="1"/>
  <c r="E144" i="2" s="1" a="1"/>
  <c r="M145" i="2" a="1"/>
  <c r="E145" i="2" s="1" a="1"/>
  <c r="M146" i="2" a="1"/>
  <c r="E146" i="2" s="1" a="1"/>
  <c r="M147" i="2" a="1"/>
  <c r="E147" i="2" s="1" a="1"/>
  <c r="M148" i="2" a="1"/>
  <c r="E148" i="2" s="1" a="1"/>
  <c r="M149" i="2" a="1"/>
  <c r="M150" i="2" a="1"/>
  <c r="M151" i="2" a="1"/>
  <c r="M152" i="2" a="1"/>
  <c r="M153" i="2" a="1"/>
  <c r="M154" i="2" a="1"/>
  <c r="M155" i="2" a="1"/>
  <c r="M156" i="2" a="1"/>
  <c r="M157" i="2" a="1"/>
  <c r="M158" i="2" a="1"/>
  <c r="M159" i="2" a="1"/>
  <c r="M160" i="2" a="1"/>
  <c r="M161" i="2" a="1"/>
  <c r="M162" i="2" a="1"/>
  <c r="M163" i="2" a="1"/>
  <c r="M164" i="2" a="1"/>
  <c r="M165" i="2" a="1"/>
  <c r="M166" i="2" a="1"/>
  <c r="M167" i="2" a="1"/>
  <c r="M168" i="2" a="1"/>
  <c r="M169" i="2" a="1"/>
  <c r="M170" i="2" a="1"/>
  <c r="M171" i="2" a="1"/>
  <c r="M172" i="2" a="1"/>
  <c r="M173" i="2" a="1"/>
  <c r="M174" i="2" a="1"/>
  <c r="M175" i="2" a="1"/>
  <c r="M176" i="2" a="1"/>
  <c r="M177" i="2" a="1"/>
  <c r="M178" i="2" a="1"/>
  <c r="M179" i="2" a="1"/>
  <c r="M180" i="2" a="1"/>
  <c r="M181" i="2" a="1"/>
  <c r="M182" i="2" a="1"/>
  <c r="M183" i="2" a="1"/>
  <c r="M184" i="2" a="1"/>
  <c r="M185" i="2" a="1"/>
  <c r="M186" i="2" a="1"/>
  <c r="M187" i="2" a="1"/>
  <c r="M188" i="2" a="1"/>
  <c r="M189" i="2" a="1"/>
  <c r="M190" i="2" a="1"/>
  <c r="M191" i="2" a="1"/>
  <c r="M192" i="2" a="1"/>
  <c r="M193" i="2" a="1"/>
  <c r="M194" i="2" a="1"/>
  <c r="M195" i="2" a="1"/>
  <c r="M196" i="2" a="1"/>
  <c r="M197" i="2" a="1"/>
  <c r="M198" i="2" a="1"/>
  <c r="M199" i="2" a="1"/>
  <c r="M200" i="2" a="1"/>
  <c r="M201" i="2" a="1"/>
  <c r="M202" i="2" a="1"/>
  <c r="M203" i="2" a="1"/>
  <c r="M204" i="2" a="1"/>
  <c r="M205" i="2" a="1"/>
  <c r="M206" i="2" a="1"/>
  <c r="M207" i="2" a="1"/>
  <c r="M208" i="2" a="1"/>
  <c r="M209" i="2" a="1"/>
  <c r="M210" i="2" a="1"/>
  <c r="M211" i="2" a="1"/>
  <c r="M212" i="2" a="1"/>
  <c r="M213" i="2" a="1"/>
  <c r="M214" i="2" a="1"/>
  <c r="M215" i="2" a="1"/>
  <c r="M216" i="2" a="1"/>
  <c r="M217" i="2" a="1"/>
  <c r="M218" i="2" a="1"/>
  <c r="M219" i="2" a="1"/>
  <c r="M220" i="2" a="1"/>
  <c r="M221" i="2" a="1"/>
  <c r="M222" i="2" a="1"/>
  <c r="M223" i="2" a="1"/>
  <c r="M224" i="2" a="1"/>
  <c r="M225" i="2" a="1"/>
  <c r="M226" i="2" a="1"/>
  <c r="M227" i="2" a="1"/>
  <c r="M228" i="2" a="1"/>
  <c r="M229" i="2" a="1"/>
  <c r="M230" i="2" a="1"/>
  <c r="M231" i="2" a="1"/>
  <c r="M232" i="2" a="1"/>
  <c r="M233" i="2" a="1"/>
  <c r="M234" i="2" a="1"/>
  <c r="M235" i="2" a="1"/>
  <c r="M236" i="2" a="1"/>
  <c r="M237" i="2" a="1"/>
  <c r="M238" i="2" a="1"/>
  <c r="M239" i="2" a="1"/>
  <c r="M240" i="2" a="1"/>
  <c r="M241" i="2" a="1"/>
  <c r="M242" i="2" a="1"/>
  <c r="M243" i="2" a="1"/>
  <c r="M244" i="2" a="1"/>
  <c r="M245" i="2" a="1"/>
  <c r="M246" i="2" a="1"/>
  <c r="M247" i="2" a="1"/>
  <c r="M248" i="2" a="1"/>
  <c r="M249" i="2" a="1"/>
  <c r="M250" i="2" a="1"/>
  <c r="M251" i="2" a="1"/>
  <c r="M252" i="2" a="1"/>
  <c r="M253" i="2" a="1"/>
  <c r="M254" i="2" a="1"/>
  <c r="M255" i="2" a="1"/>
  <c r="M256" i="2" a="1"/>
  <c r="M257" i="2" a="1"/>
  <c r="M258" i="2" a="1"/>
  <c r="M259" i="2" a="1"/>
  <c r="M260" i="2" a="1"/>
  <c r="M261" i="2" a="1"/>
  <c r="M262" i="2" a="1"/>
  <c r="M263" i="2" a="1"/>
  <c r="M264" i="2" a="1"/>
  <c r="M265" i="2" a="1"/>
  <c r="M266" i="2" a="1"/>
  <c r="M267" i="2" a="1"/>
  <c r="M268" i="2" a="1"/>
  <c r="M269" i="2" a="1"/>
  <c r="M270" i="2" a="1"/>
  <c r="M271" i="2" a="1"/>
  <c r="M272" i="2" a="1"/>
  <c r="M273" i="2" a="1"/>
  <c r="M274" i="2" a="1"/>
  <c r="M275" i="2" a="1"/>
  <c r="M276" i="2" a="1"/>
  <c r="M277" i="2" a="1"/>
  <c r="M278" i="2" a="1"/>
  <c r="M279" i="2" a="1"/>
  <c r="M280" i="2" a="1"/>
  <c r="M281" i="2" a="1"/>
  <c r="M282" i="2" a="1"/>
  <c r="M283" i="2" a="1"/>
  <c r="M284" i="2" a="1"/>
  <c r="M285" i="2" a="1"/>
  <c r="M286" i="2" a="1"/>
  <c r="M287" i="2" a="1"/>
  <c r="M288" i="2" a="1"/>
  <c r="M289" i="2" a="1"/>
  <c r="M290" i="2" a="1"/>
  <c r="M291" i="2" a="1"/>
  <c r="M292" i="2" a="1"/>
  <c r="M293" i="2" a="1"/>
  <c r="M294" i="2" a="1"/>
  <c r="M295" i="2" a="1"/>
  <c r="M296" i="2" a="1"/>
  <c r="M297" i="2" a="1"/>
  <c r="M298" i="2" a="1"/>
  <c r="M299" i="2" a="1"/>
  <c r="M300" i="2" a="1"/>
  <c r="M301" i="2" a="1"/>
  <c r="M302" i="2" a="1"/>
  <c r="M303" i="2" a="1"/>
  <c r="M304" i="2" a="1"/>
  <c r="M305" i="2" a="1"/>
  <c r="M306" i="2" a="1"/>
  <c r="M307" i="2" a="1"/>
  <c r="M308" i="2" a="1"/>
  <c r="M309" i="2" a="1"/>
  <c r="M310" i="2" a="1"/>
  <c r="M311" i="2" a="1"/>
  <c r="M312" i="2" a="1"/>
  <c r="M313" i="2" a="1"/>
  <c r="M314" i="2" a="1"/>
  <c r="M315" i="2" a="1"/>
  <c r="M316" i="2" a="1"/>
  <c r="M317" i="2" a="1"/>
  <c r="M318" i="2" a="1"/>
  <c r="M319" i="2" a="1"/>
  <c r="M320" i="2" a="1"/>
  <c r="M321" i="2" a="1"/>
  <c r="M322" i="2" a="1"/>
  <c r="M323" i="2" a="1"/>
  <c r="M324" i="2" a="1"/>
  <c r="M325" i="2" a="1"/>
  <c r="M326" i="2" a="1"/>
  <c r="M327" i="2" a="1"/>
  <c r="M328" i="2" a="1"/>
  <c r="M329" i="2" a="1"/>
  <c r="M330" i="2" a="1"/>
  <c r="M331" i="2" a="1"/>
  <c r="M332" i="2" a="1"/>
  <c r="M333" i="2" a="1"/>
  <c r="M334" i="2" a="1"/>
  <c r="M335" i="2" a="1"/>
  <c r="M336" i="2" a="1"/>
  <c r="M337" i="2" a="1"/>
  <c r="M338" i="2" a="1"/>
  <c r="M339" i="2" a="1"/>
  <c r="M340" i="2" a="1"/>
  <c r="M341" i="2" a="1"/>
  <c r="M342" i="2" a="1"/>
  <c r="M343" i="2" a="1"/>
  <c r="M344" i="2" a="1"/>
  <c r="M345" i="2" a="1"/>
  <c r="M346" i="2" a="1"/>
  <c r="M347" i="2" a="1"/>
  <c r="M348" i="2" a="1"/>
  <c r="M349" i="2" a="1"/>
  <c r="M350" i="2" a="1"/>
  <c r="J350" i="2" s="1"/>
  <c r="M351" i="2" a="1"/>
  <c r="J351" i="2" s="1"/>
  <c r="M352" i="2" a="1"/>
  <c r="J352" i="2" s="1"/>
  <c r="M353" i="2" a="1"/>
  <c r="J353" i="2" s="1"/>
  <c r="M354" i="2" a="1"/>
  <c r="J354" i="2" s="1"/>
  <c r="M355" i="2" a="1"/>
  <c r="J355" i="2" s="1"/>
  <c r="M356" i="2" a="1"/>
  <c r="J356" i="2" s="1"/>
  <c r="M357" i="2" a="1"/>
  <c r="J357" i="2" s="1"/>
  <c r="M358" i="2" a="1"/>
  <c r="J358" i="2" s="1"/>
  <c r="M359" i="2" a="1"/>
  <c r="J359" i="2" s="1"/>
  <c r="M360" i="2" a="1"/>
  <c r="J360" i="2" s="1"/>
  <c r="M361" i="2" a="1"/>
  <c r="J361" i="2" s="1"/>
  <c r="M362" i="2" a="1"/>
  <c r="J362" i="2" s="1"/>
  <c r="M363" i="2" a="1"/>
  <c r="J363" i="2" s="1"/>
  <c r="M364" i="2" a="1"/>
  <c r="J364" i="2" s="1"/>
  <c r="M365" i="2" a="1"/>
  <c r="J365" i="2" s="1"/>
  <c r="M366" i="2" a="1"/>
  <c r="J366" i="2" s="1"/>
  <c r="M367" i="2" a="1"/>
  <c r="J367" i="2" s="1"/>
  <c r="M368" i="2" a="1"/>
  <c r="J368" i="2" s="1"/>
  <c r="M369" i="2" a="1"/>
  <c r="J369" i="2" s="1"/>
  <c r="M370" i="2" a="1"/>
  <c r="J370" i="2" s="1"/>
  <c r="M371" i="2" a="1"/>
  <c r="J371" i="2" s="1"/>
  <c r="M372" i="2" a="1"/>
  <c r="J372" i="2" s="1"/>
  <c r="M373" i="2" a="1"/>
  <c r="J373" i="2" s="1"/>
  <c r="M374" i="2" a="1"/>
  <c r="J374" i="2" s="1"/>
  <c r="M375" i="2" a="1"/>
  <c r="J375" i="2" s="1"/>
  <c r="M376" i="2" a="1"/>
  <c r="J376" i="2" s="1"/>
  <c r="M377" i="2" a="1"/>
  <c r="J377" i="2" s="1"/>
  <c r="M378" i="2" a="1"/>
  <c r="J378" i="2" s="1"/>
  <c r="M379" i="2" a="1"/>
  <c r="J379" i="2" s="1"/>
  <c r="M380" i="2" a="1"/>
  <c r="J380" i="2" s="1"/>
  <c r="M381" i="2" a="1"/>
  <c r="J381" i="2" s="1"/>
  <c r="M382" i="2" a="1"/>
  <c r="J382" i="2" s="1"/>
  <c r="M383" i="2" a="1"/>
  <c r="J383" i="2" s="1"/>
  <c r="M384" i="2" a="1"/>
  <c r="J384" i="2" s="1"/>
  <c r="M385" i="2" a="1"/>
  <c r="J385" i="2" s="1"/>
  <c r="M386" i="2" a="1"/>
  <c r="J386" i="2" s="1"/>
  <c r="M387" i="2" a="1"/>
  <c r="J387" i="2" s="1"/>
  <c r="M388" i="2" a="1"/>
  <c r="J388" i="2" s="1"/>
  <c r="M389" i="2" a="1"/>
  <c r="J389" i="2" s="1"/>
  <c r="M390" i="2" a="1"/>
  <c r="J390" i="2" s="1"/>
  <c r="M391" i="2" a="1"/>
  <c r="J391" i="2" s="1"/>
  <c r="M392" i="2" a="1"/>
  <c r="J392" i="2" s="1"/>
  <c r="M393" i="2" a="1"/>
  <c r="J393" i="2" s="1"/>
  <c r="M394" i="2" a="1"/>
  <c r="J394" i="2" s="1"/>
  <c r="M395" i="2" a="1"/>
  <c r="J395" i="2" s="1"/>
  <c r="M396" i="2" a="1"/>
  <c r="J396" i="2" s="1"/>
  <c r="M397" i="2" a="1"/>
  <c r="J397" i="2" s="1"/>
  <c r="M398" i="2" a="1"/>
  <c r="J398" i="2" s="1"/>
  <c r="M399" i="2" a="1"/>
  <c r="J399" i="2" s="1"/>
  <c r="M400" i="2" a="1"/>
  <c r="J400" i="2" s="1"/>
  <c r="M401" i="2" a="1"/>
  <c r="J401" i="2" s="1"/>
  <c r="M402" i="2" a="1"/>
  <c r="J402" i="2" s="1"/>
  <c r="M403" i="2" a="1"/>
  <c r="J403" i="2" s="1"/>
  <c r="M404" i="2" a="1"/>
  <c r="J404" i="2" s="1"/>
  <c r="M405" i="2" a="1"/>
  <c r="J405" i="2" s="1"/>
  <c r="M406" i="2" a="1"/>
  <c r="J406" i="2" s="1"/>
  <c r="M407" i="2" a="1"/>
  <c r="J407" i="2" s="1"/>
  <c r="M408" i="2" a="1"/>
  <c r="J408" i="2" s="1"/>
  <c r="M409" i="2" a="1"/>
  <c r="J409" i="2" s="1"/>
  <c r="M410" i="2" a="1"/>
  <c r="J410" i="2" s="1"/>
  <c r="M411" i="2" a="1"/>
  <c r="J411" i="2" s="1"/>
  <c r="M412" i="2" a="1"/>
  <c r="J412" i="2" s="1"/>
  <c r="M413" i="2" a="1"/>
  <c r="J413" i="2" s="1"/>
  <c r="M414" i="2" a="1"/>
  <c r="J414" i="2" s="1"/>
  <c r="M415" i="2" a="1"/>
  <c r="J415" i="2" s="1"/>
  <c r="M416" i="2" a="1"/>
  <c r="J416" i="2" s="1"/>
  <c r="M417" i="2" a="1"/>
  <c r="J417" i="2" s="1"/>
  <c r="M418" i="2" a="1"/>
  <c r="J418" i="2" s="1"/>
  <c r="M419" i="2" a="1"/>
  <c r="J419" i="2" s="1"/>
  <c r="M420" i="2" a="1"/>
  <c r="J420" i="2" s="1"/>
  <c r="M421" i="2" a="1"/>
  <c r="J421" i="2" s="1"/>
  <c r="M422" i="2" a="1"/>
  <c r="J422" i="2" s="1"/>
  <c r="M423" i="2" a="1"/>
  <c r="J423" i="2" s="1"/>
  <c r="M424" i="2" a="1"/>
  <c r="J424" i="2" s="1"/>
  <c r="M425" i="2" a="1"/>
  <c r="J425" i="2" s="1"/>
  <c r="M426" i="2" a="1"/>
  <c r="J426" i="2" s="1"/>
  <c r="M427" i="2" a="1"/>
  <c r="J427" i="2" s="1"/>
  <c r="M428" i="2" a="1"/>
  <c r="J428" i="2" s="1"/>
  <c r="M429" i="2" a="1"/>
  <c r="J429" i="2" s="1"/>
  <c r="M430" i="2" a="1"/>
  <c r="J430" i="2" s="1"/>
  <c r="M431" i="2" a="1"/>
  <c r="J431" i="2" s="1"/>
  <c r="M432" i="2" a="1"/>
  <c r="J432" i="2" s="1"/>
  <c r="M433" i="2" a="1"/>
  <c r="J433" i="2" s="1"/>
  <c r="M434" i="2" a="1"/>
  <c r="J434" i="2" s="1"/>
  <c r="M435" i="2" a="1"/>
  <c r="J435" i="2" s="1"/>
  <c r="M436" i="2" a="1"/>
  <c r="J436" i="2" s="1"/>
  <c r="M437" i="2" a="1"/>
  <c r="J437" i="2" s="1"/>
  <c r="M438" i="2" a="1"/>
  <c r="J438" i="2" s="1"/>
  <c r="M439" i="2" a="1"/>
  <c r="J439" i="2" s="1"/>
  <c r="M440" i="2" a="1"/>
  <c r="J440" i="2" s="1"/>
  <c r="M441" i="2" a="1"/>
  <c r="J441" i="2" s="1"/>
  <c r="M442" i="2" a="1"/>
  <c r="J442" i="2" s="1"/>
  <c r="M443" i="2" a="1"/>
  <c r="J443" i="2" s="1"/>
  <c r="M444" i="2" a="1"/>
  <c r="J444" i="2" s="1"/>
  <c r="M445" i="2" a="1"/>
  <c r="J445" i="2" s="1"/>
  <c r="M446" i="2" a="1"/>
  <c r="J446" i="2" s="1"/>
  <c r="M447" i="2" a="1"/>
  <c r="J447" i="2" s="1"/>
  <c r="M448" i="2" a="1"/>
  <c r="J448" i="2" s="1"/>
  <c r="M449" i="2" a="1"/>
  <c r="J449" i="2" s="1"/>
  <c r="M450" i="2" a="1"/>
  <c r="J450" i="2" s="1"/>
  <c r="M451" i="2" a="1"/>
  <c r="J451" i="2" s="1"/>
  <c r="M452" i="2" a="1"/>
  <c r="J452" i="2" s="1"/>
  <c r="M453" i="2" a="1"/>
  <c r="J453" i="2" s="1"/>
  <c r="M454" i="2" a="1"/>
  <c r="J454" i="2" s="1"/>
  <c r="M455" i="2" a="1"/>
  <c r="J455" i="2" s="1"/>
  <c r="M456" i="2" a="1"/>
  <c r="J456" i="2" s="1"/>
  <c r="M457" i="2" a="1"/>
  <c r="J457" i="2" s="1"/>
  <c r="M458" i="2" a="1"/>
  <c r="J458" i="2" s="1"/>
  <c r="M459" i="2" a="1"/>
  <c r="J459" i="2" s="1"/>
  <c r="M460" i="2" a="1"/>
  <c r="J460" i="2" s="1"/>
  <c r="M461" i="2" a="1"/>
  <c r="J461" i="2" s="1"/>
  <c r="M462" i="2" a="1"/>
  <c r="J462" i="2" s="1"/>
  <c r="M463" i="2" a="1"/>
  <c r="J463" i="2" s="1"/>
  <c r="M464" i="2" a="1"/>
  <c r="J464" i="2" s="1"/>
  <c r="M465" i="2" a="1"/>
  <c r="J465" i="2" s="1"/>
  <c r="M466" i="2" a="1"/>
  <c r="J466" i="2" s="1"/>
  <c r="M467" i="2" a="1"/>
  <c r="J467" i="2" s="1"/>
  <c r="M468" i="2" a="1"/>
  <c r="J468" i="2" s="1"/>
  <c r="M469" i="2" a="1"/>
  <c r="J469" i="2" s="1"/>
  <c r="M470" i="2" a="1"/>
  <c r="J470" i="2" s="1"/>
  <c r="M471" i="2" a="1"/>
  <c r="J471" i="2" s="1"/>
  <c r="M472" i="2" a="1"/>
  <c r="J472" i="2" s="1"/>
  <c r="M473" i="2" a="1"/>
  <c r="J473" i="2" s="1"/>
  <c r="M474" i="2" a="1"/>
  <c r="J474" i="2" s="1"/>
  <c r="M475" i="2" a="1"/>
  <c r="J475" i="2" s="1"/>
  <c r="M476" i="2" a="1"/>
  <c r="J476" i="2" s="1"/>
  <c r="M477" i="2" a="1"/>
  <c r="J477" i="2" s="1"/>
  <c r="M478" i="2" a="1"/>
  <c r="J478" i="2" s="1"/>
  <c r="M479" i="2" a="1"/>
  <c r="J479" i="2" s="1"/>
  <c r="M480" i="2" a="1"/>
  <c r="J480" i="2" s="1"/>
  <c r="M481" i="2" a="1"/>
  <c r="J481" i="2" s="1"/>
  <c r="M482" i="2" a="1"/>
  <c r="J482" i="2" s="1"/>
  <c r="M483" i="2" a="1"/>
  <c r="J483" i="2" s="1"/>
  <c r="M484" i="2" a="1"/>
  <c r="J484" i="2" s="1"/>
  <c r="M485" i="2" a="1"/>
  <c r="J485" i="2" s="1"/>
  <c r="M486" i="2" a="1"/>
  <c r="J486" i="2" s="1"/>
  <c r="M487" i="2" a="1"/>
  <c r="J487" i="2" s="1"/>
  <c r="M488" i="2" a="1"/>
  <c r="J488" i="2" s="1"/>
  <c r="M489" i="2" a="1"/>
  <c r="J489" i="2" s="1"/>
  <c r="M490" i="2" a="1"/>
  <c r="J490" i="2" s="1"/>
  <c r="M491" i="2" a="1"/>
  <c r="J491" i="2" s="1"/>
  <c r="M492" i="2" a="1"/>
  <c r="J492" i="2" s="1"/>
  <c r="M493" i="2" a="1"/>
  <c r="J493" i="2" s="1"/>
  <c r="M494" i="2" a="1"/>
  <c r="J494" i="2" s="1"/>
  <c r="M495" i="2" a="1"/>
  <c r="J495" i="2" s="1"/>
  <c r="M496" i="2" a="1"/>
  <c r="J496" i="2" s="1"/>
  <c r="M497" i="2" a="1"/>
  <c r="J497" i="2" s="1"/>
  <c r="M498" i="2" a="1"/>
  <c r="J498" i="2" s="1"/>
  <c r="M499" i="2" a="1"/>
  <c r="J499" i="2" s="1"/>
  <c r="M500" i="2" a="1"/>
  <c r="J500" i="2" s="1"/>
  <c r="M501" i="2" a="1"/>
  <c r="J501" i="2" s="1"/>
  <c r="M502" i="2" a="1"/>
  <c r="J502" i="2" s="1"/>
  <c r="M503" i="2" a="1"/>
  <c r="J503" i="2" s="1"/>
  <c r="M504" i="2" a="1"/>
  <c r="J504" i="2" s="1"/>
  <c r="M505" i="2" a="1"/>
  <c r="J505" i="2" s="1"/>
  <c r="M506" i="2" a="1"/>
  <c r="J506" i="2" s="1"/>
  <c r="M507" i="2" a="1"/>
  <c r="J507" i="2" s="1"/>
  <c r="M508" i="2" a="1"/>
  <c r="J508" i="2" s="1"/>
  <c r="M509" i="2" a="1"/>
  <c r="J509" i="2" s="1"/>
  <c r="M510" i="2" a="1"/>
  <c r="J510" i="2" s="1"/>
  <c r="M511" i="2" a="1"/>
  <c r="J511" i="2" s="1"/>
  <c r="M512" i="2" a="1"/>
  <c r="J512" i="2" s="1"/>
  <c r="M513" i="2" a="1"/>
  <c r="J513" i="2" s="1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C853" i="2" s="1"/>
  <c r="I854" i="2"/>
  <c r="C854" i="2" s="1"/>
  <c r="I855" i="2"/>
  <c r="C855" i="2" s="1"/>
  <c r="I856" i="2"/>
  <c r="C856" i="2" s="1"/>
  <c r="I857" i="2"/>
  <c r="C857" i="2" s="1"/>
  <c r="I858" i="2"/>
  <c r="C858" i="2" s="1"/>
  <c r="I859" i="2"/>
  <c r="C859" i="2" s="1"/>
  <c r="I860" i="2"/>
  <c r="C860" i="2" s="1"/>
  <c r="I861" i="2"/>
  <c r="C861" i="2" s="1"/>
  <c r="I862" i="2"/>
  <c r="C862" i="2" s="1"/>
  <c r="I863" i="2"/>
  <c r="C863" i="2" s="1"/>
  <c r="I864" i="2"/>
  <c r="C864" i="2" s="1"/>
  <c r="I865" i="2"/>
  <c r="C865" i="2" s="1"/>
  <c r="I866" i="2"/>
  <c r="C866" i="2" s="1"/>
  <c r="I867" i="2"/>
  <c r="C867" i="2" s="1"/>
  <c r="I868" i="2"/>
  <c r="C868" i="2" s="1"/>
  <c r="I869" i="2"/>
  <c r="C869" i="2" s="1"/>
  <c r="I870" i="2"/>
  <c r="C870" i="2" s="1"/>
  <c r="I871" i="2"/>
  <c r="C871" i="2" s="1"/>
  <c r="I872" i="2"/>
  <c r="C872" i="2" s="1"/>
  <c r="I873" i="2"/>
  <c r="C873" i="2" s="1"/>
  <c r="I874" i="2"/>
  <c r="C874" i="2" s="1"/>
  <c r="I875" i="2"/>
  <c r="C875" i="2" s="1"/>
  <c r="I876" i="2"/>
  <c r="C876" i="2" s="1"/>
  <c r="I877" i="2"/>
  <c r="C877" i="2" s="1"/>
  <c r="I878" i="2"/>
  <c r="C878" i="2" s="1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C932" i="2" s="1"/>
  <c r="I933" i="2"/>
  <c r="C933" i="2" s="1"/>
  <c r="I934" i="2"/>
  <c r="C934" i="2" s="1"/>
  <c r="I935" i="2"/>
  <c r="C935" i="2" s="1"/>
  <c r="I936" i="2"/>
  <c r="C936" i="2" s="1"/>
  <c r="I937" i="2"/>
  <c r="C937" i="2" s="1"/>
  <c r="I938" i="2"/>
  <c r="C938" i="2" s="1"/>
  <c r="I939" i="2"/>
  <c r="C939" i="2" s="1"/>
  <c r="I940" i="2"/>
  <c r="C940" i="2" s="1"/>
  <c r="I941" i="2"/>
  <c r="C941" i="2" s="1"/>
  <c r="I942" i="2"/>
  <c r="C942" i="2" s="1"/>
  <c r="I943" i="2"/>
  <c r="C943" i="2" s="1"/>
  <c r="I944" i="2"/>
  <c r="C944" i="2" s="1"/>
  <c r="I945" i="2"/>
  <c r="C945" i="2" s="1"/>
  <c r="I946" i="2"/>
  <c r="C946" i="2" s="1"/>
  <c r="I947" i="2"/>
  <c r="C947" i="2" s="1"/>
  <c r="I948" i="2"/>
  <c r="C948" i="2" s="1"/>
  <c r="I949" i="2"/>
  <c r="C949" i="2" s="1"/>
  <c r="I950" i="2"/>
  <c r="C950" i="2" s="1"/>
  <c r="I951" i="2"/>
  <c r="C951" i="2" s="1"/>
  <c r="I952" i="2"/>
  <c r="C952" i="2" s="1"/>
  <c r="I953" i="2"/>
  <c r="C953" i="2" s="1"/>
  <c r="I954" i="2"/>
  <c r="C954" i="2" s="1"/>
  <c r="I955" i="2"/>
  <c r="C955" i="2" s="1"/>
  <c r="I956" i="2"/>
  <c r="C956" i="2" s="1"/>
  <c r="I957" i="2"/>
  <c r="C957" i="2" s="1"/>
  <c r="I958" i="2"/>
  <c r="C958" i="2" s="1"/>
  <c r="I959" i="2"/>
  <c r="C959" i="2" s="1"/>
  <c r="I960" i="2"/>
  <c r="C960" i="2" s="1"/>
  <c r="I961" i="2"/>
  <c r="C961" i="2" s="1"/>
  <c r="I962" i="2"/>
  <c r="C962" i="2" s="1"/>
  <c r="I963" i="2"/>
  <c r="C963" i="2" s="1"/>
  <c r="I964" i="2"/>
  <c r="C964" i="2" s="1"/>
  <c r="I965" i="2"/>
  <c r="C965" i="2" s="1"/>
  <c r="I966" i="2"/>
  <c r="C966" i="2" s="1"/>
  <c r="I967" i="2"/>
  <c r="C967" i="2" s="1"/>
  <c r="I968" i="2"/>
  <c r="C968" i="2" s="1"/>
  <c r="I969" i="2"/>
  <c r="C969" i="2" s="1"/>
  <c r="I970" i="2"/>
  <c r="C970" i="2" s="1"/>
  <c r="I971" i="2"/>
  <c r="C971" i="2" s="1"/>
  <c r="I972" i="2"/>
  <c r="C972" i="2" s="1"/>
  <c r="I973" i="2"/>
  <c r="C973" i="2" s="1"/>
  <c r="I974" i="2"/>
  <c r="C974" i="2" s="1"/>
  <c r="I975" i="2"/>
  <c r="C975" i="2" s="1"/>
  <c r="I976" i="2"/>
  <c r="C976" i="2" s="1"/>
  <c r="I977" i="2"/>
  <c r="C977" i="2" s="1"/>
  <c r="I978" i="2"/>
  <c r="C978" i="2" s="1"/>
  <c r="I979" i="2"/>
  <c r="C979" i="2" s="1"/>
  <c r="I980" i="2"/>
  <c r="C980" i="2" s="1"/>
  <c r="I981" i="2"/>
  <c r="C981" i="2" s="1"/>
  <c r="I982" i="2"/>
  <c r="C982" i="2" s="1"/>
  <c r="I983" i="2"/>
  <c r="C983" i="2" s="1"/>
  <c r="I984" i="2"/>
  <c r="C984" i="2" s="1"/>
  <c r="I985" i="2"/>
  <c r="C985" i="2" s="1"/>
  <c r="I986" i="2"/>
  <c r="C986" i="2" s="1"/>
  <c r="I987" i="2"/>
  <c r="C987" i="2" s="1"/>
  <c r="I988" i="2"/>
  <c r="C988" i="2" s="1"/>
  <c r="I989" i="2"/>
  <c r="C989" i="2" s="1"/>
  <c r="I990" i="2"/>
  <c r="C990" i="2" s="1"/>
  <c r="I991" i="2"/>
  <c r="C991" i="2" s="1"/>
  <c r="I992" i="2"/>
  <c r="C992" i="2" s="1"/>
  <c r="I993" i="2"/>
  <c r="C993" i="2" s="1"/>
  <c r="I994" i="2"/>
  <c r="C994" i="2" s="1"/>
  <c r="I995" i="2"/>
  <c r="C995" i="2" s="1"/>
  <c r="I996" i="2"/>
  <c r="C996" i="2" s="1"/>
  <c r="I997" i="2"/>
  <c r="C997" i="2" s="1"/>
  <c r="I998" i="2"/>
  <c r="C998" i="2" s="1"/>
  <c r="I999" i="2"/>
  <c r="C999" i="2" s="1"/>
  <c r="I1000" i="2"/>
  <c r="C1000" i="2" s="1"/>
  <c r="I1001" i="2"/>
  <c r="C1001" i="2" s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A53" i="2" s="1"/>
  <c r="G54" i="2"/>
  <c r="A54" i="2" s="1"/>
  <c r="G55" i="2"/>
  <c r="A55" i="2" s="1"/>
  <c r="G56" i="2"/>
  <c r="A56" i="2" s="1"/>
  <c r="G57" i="2"/>
  <c r="A57" i="2" s="1"/>
  <c r="G58" i="2"/>
  <c r="A58" i="2" s="1"/>
  <c r="G59" i="2"/>
  <c r="A59" i="2" s="1"/>
  <c r="G60" i="2"/>
  <c r="A60" i="2" s="1"/>
  <c r="G61" i="2"/>
  <c r="A61" i="2" s="1"/>
  <c r="G62" i="2"/>
  <c r="A62" i="2" s="1"/>
  <c r="G63" i="2"/>
  <c r="A63" i="2" s="1"/>
  <c r="G64" i="2"/>
  <c r="A64" i="2" s="1"/>
  <c r="G65" i="2"/>
  <c r="A65" i="2" s="1"/>
  <c r="G66" i="2"/>
  <c r="A66" i="2" s="1"/>
  <c r="G67" i="2"/>
  <c r="A67" i="2" s="1"/>
  <c r="G68" i="2"/>
  <c r="A68" i="2" s="1"/>
  <c r="G69" i="2"/>
  <c r="A69" i="2" s="1"/>
  <c r="G70" i="2"/>
  <c r="A70" i="2" s="1"/>
  <c r="G71" i="2"/>
  <c r="A71" i="2" s="1"/>
  <c r="G72" i="2"/>
  <c r="A72" i="2" s="1"/>
  <c r="G73" i="2"/>
  <c r="A73" i="2" s="1"/>
  <c r="G74" i="2"/>
  <c r="A74" i="2" s="1"/>
  <c r="G75" i="2"/>
  <c r="A75" i="2" s="1"/>
  <c r="G76" i="2"/>
  <c r="A76" i="2" s="1"/>
  <c r="G77" i="2"/>
  <c r="A77" i="2" s="1"/>
  <c r="G78" i="2"/>
  <c r="A78" i="2" s="1"/>
  <c r="G79" i="2"/>
  <c r="A79" i="2" s="1"/>
  <c r="G80" i="2"/>
  <c r="A80" i="2" s="1"/>
  <c r="G81" i="2"/>
  <c r="A81" i="2" s="1"/>
  <c r="G82" i="2"/>
  <c r="A82" i="2" s="1"/>
  <c r="G83" i="2"/>
  <c r="A83" i="2" s="1"/>
  <c r="G84" i="2"/>
  <c r="A84" i="2" s="1"/>
  <c r="G85" i="2"/>
  <c r="A85" i="2" s="1"/>
  <c r="G86" i="2"/>
  <c r="A86" i="2" s="1"/>
  <c r="G87" i="2"/>
  <c r="A87" i="2" s="1"/>
  <c r="G88" i="2"/>
  <c r="A88" i="2" s="1"/>
  <c r="G89" i="2"/>
  <c r="A89" i="2" s="1"/>
  <c r="G90" i="2"/>
  <c r="A90" i="2" s="1"/>
  <c r="G91" i="2"/>
  <c r="A91" i="2" s="1"/>
  <c r="G92" i="2"/>
  <c r="A92" i="2" s="1"/>
  <c r="G93" i="2"/>
  <c r="A93" i="2" s="1"/>
  <c r="G94" i="2"/>
  <c r="A94" i="2" s="1"/>
  <c r="G95" i="2"/>
  <c r="A95" i="2" s="1"/>
  <c r="G96" i="2"/>
  <c r="A96" i="2" s="1"/>
  <c r="G97" i="2"/>
  <c r="A97" i="2" s="1"/>
  <c r="G98" i="2"/>
  <c r="A98" i="2" s="1"/>
  <c r="G99" i="2"/>
  <c r="A99" i="2" s="1"/>
  <c r="G100" i="2"/>
  <c r="A100" i="2" s="1"/>
  <c r="G101" i="2"/>
  <c r="A101" i="2" s="1"/>
  <c r="G102" i="2"/>
  <c r="A102" i="2" s="1"/>
  <c r="G103" i="2"/>
  <c r="A103" i="2" s="1"/>
  <c r="G104" i="2"/>
  <c r="A104" i="2" s="1"/>
  <c r="G105" i="2"/>
  <c r="A105" i="2" s="1"/>
  <c r="G106" i="2"/>
  <c r="A106" i="2" s="1"/>
  <c r="G107" i="2"/>
  <c r="A107" i="2" s="1"/>
  <c r="G108" i="2"/>
  <c r="A108" i="2" s="1"/>
  <c r="G109" i="2"/>
  <c r="A109" i="2" s="1"/>
  <c r="G110" i="2"/>
  <c r="A110" i="2" s="1"/>
  <c r="G111" i="2"/>
  <c r="A111" i="2" s="1"/>
  <c r="G112" i="2"/>
  <c r="A112" i="2" s="1"/>
  <c r="G113" i="2"/>
  <c r="A113" i="2" s="1"/>
  <c r="G114" i="2"/>
  <c r="A114" i="2" s="1"/>
  <c r="G115" i="2"/>
  <c r="A115" i="2" s="1"/>
  <c r="G116" i="2"/>
  <c r="A116" i="2" s="1"/>
  <c r="G117" i="2"/>
  <c r="A117" i="2" s="1"/>
  <c r="G118" i="2"/>
  <c r="A118" i="2" s="1"/>
  <c r="G119" i="2"/>
  <c r="A119" i="2" s="1"/>
  <c r="G120" i="2"/>
  <c r="A120" i="2" s="1"/>
  <c r="G121" i="2"/>
  <c r="A121" i="2" s="1"/>
  <c r="G122" i="2"/>
  <c r="A122" i="2" s="1"/>
  <c r="G123" i="2"/>
  <c r="A123" i="2" s="1"/>
  <c r="G124" i="2"/>
  <c r="A124" i="2" s="1"/>
  <c r="G125" i="2"/>
  <c r="A125" i="2" s="1"/>
  <c r="G126" i="2"/>
  <c r="A126" i="2" s="1"/>
  <c r="G127" i="2"/>
  <c r="A127" i="2" s="1"/>
  <c r="G128" i="2"/>
  <c r="A128" i="2" s="1"/>
  <c r="G129" i="2"/>
  <c r="A129" i="2" s="1"/>
  <c r="G130" i="2"/>
  <c r="A130" i="2" s="1"/>
  <c r="G131" i="2"/>
  <c r="A131" i="2" s="1"/>
  <c r="G132" i="2"/>
  <c r="A132" i="2" s="1"/>
  <c r="G133" i="2"/>
  <c r="A133" i="2" s="1"/>
  <c r="G134" i="2"/>
  <c r="A134" i="2" s="1"/>
  <c r="G135" i="2"/>
  <c r="A135" i="2" s="1"/>
  <c r="G136" i="2"/>
  <c r="A136" i="2" s="1"/>
  <c r="G137" i="2"/>
  <c r="A137" i="2" s="1"/>
  <c r="G138" i="2"/>
  <c r="A138" i="2" s="1"/>
  <c r="G139" i="2"/>
  <c r="A139" i="2" s="1"/>
  <c r="G140" i="2"/>
  <c r="A140" i="2" s="1"/>
  <c r="G141" i="2"/>
  <c r="A141" i="2" s="1"/>
  <c r="G142" i="2"/>
  <c r="A142" i="2" s="1"/>
  <c r="G143" i="2"/>
  <c r="A143" i="2" s="1"/>
  <c r="G144" i="2"/>
  <c r="A144" i="2" s="1"/>
  <c r="G145" i="2"/>
  <c r="A145" i="2" s="1"/>
  <c r="G146" i="2"/>
  <c r="A146" i="2" s="1"/>
  <c r="G147" i="2"/>
  <c r="A147" i="2" s="1"/>
  <c r="G148" i="2"/>
  <c r="A148" i="2" s="1"/>
  <c r="G149" i="2"/>
  <c r="A149" i="2" s="1"/>
  <c r="G150" i="2"/>
  <c r="A150" i="2" s="1"/>
  <c r="G151" i="2"/>
  <c r="A151" i="2" s="1"/>
  <c r="G152" i="2"/>
  <c r="A152" i="2" s="1"/>
  <c r="G153" i="2"/>
  <c r="A153" i="2" s="1"/>
  <c r="G154" i="2"/>
  <c r="A154" i="2" s="1"/>
  <c r="G155" i="2"/>
  <c r="A155" i="2" s="1"/>
  <c r="G156" i="2"/>
  <c r="A156" i="2" s="1"/>
  <c r="G157" i="2"/>
  <c r="A157" i="2" s="1"/>
  <c r="G158" i="2"/>
  <c r="A158" i="2" s="1"/>
  <c r="G159" i="2"/>
  <c r="A159" i="2" s="1"/>
  <c r="G160" i="2"/>
  <c r="A160" i="2" s="1"/>
  <c r="G161" i="2"/>
  <c r="A161" i="2" s="1"/>
  <c r="G162" i="2"/>
  <c r="A162" i="2" s="1"/>
  <c r="G163" i="2"/>
  <c r="A163" i="2" s="1"/>
  <c r="G164" i="2"/>
  <c r="A164" i="2" s="1"/>
  <c r="G165" i="2"/>
  <c r="A165" i="2" s="1"/>
  <c r="G166" i="2"/>
  <c r="A166" i="2" s="1"/>
  <c r="G167" i="2"/>
  <c r="A167" i="2" s="1"/>
  <c r="G168" i="2"/>
  <c r="A168" i="2" s="1"/>
  <c r="G169" i="2"/>
  <c r="A169" i="2" s="1"/>
  <c r="G170" i="2"/>
  <c r="A170" i="2" s="1"/>
  <c r="G171" i="2"/>
  <c r="A171" i="2" s="1"/>
  <c r="G172" i="2"/>
  <c r="A172" i="2" s="1"/>
  <c r="G173" i="2"/>
  <c r="A173" i="2" s="1"/>
  <c r="G174" i="2"/>
  <c r="A174" i="2" s="1"/>
  <c r="G175" i="2"/>
  <c r="A175" i="2" s="1"/>
  <c r="G176" i="2"/>
  <c r="A176" i="2" s="1"/>
  <c r="G177" i="2"/>
  <c r="A177" i="2" s="1"/>
  <c r="G178" i="2"/>
  <c r="A178" i="2" s="1"/>
  <c r="G179" i="2"/>
  <c r="A179" i="2" s="1"/>
  <c r="G180" i="2"/>
  <c r="A180" i="2" s="1"/>
  <c r="G181" i="2"/>
  <c r="A181" i="2" s="1"/>
  <c r="G182" i="2"/>
  <c r="A182" i="2" s="1"/>
  <c r="G183" i="2"/>
  <c r="A183" i="2" s="1"/>
  <c r="G184" i="2"/>
  <c r="A184" i="2" s="1"/>
  <c r="G185" i="2"/>
  <c r="A185" i="2" s="1"/>
  <c r="G186" i="2"/>
  <c r="A186" i="2" s="1"/>
  <c r="G187" i="2"/>
  <c r="A187" i="2" s="1"/>
  <c r="G188" i="2"/>
  <c r="A188" i="2" s="1"/>
  <c r="G189" i="2"/>
  <c r="A189" i="2" s="1"/>
  <c r="G190" i="2"/>
  <c r="A190" i="2" s="1"/>
  <c r="G191" i="2"/>
  <c r="A191" i="2" s="1"/>
  <c r="G192" i="2"/>
  <c r="A192" i="2" s="1"/>
  <c r="G193" i="2"/>
  <c r="A193" i="2" s="1"/>
  <c r="G194" i="2"/>
  <c r="A194" i="2" s="1"/>
  <c r="G195" i="2"/>
  <c r="A195" i="2" s="1"/>
  <c r="G196" i="2"/>
  <c r="A196" i="2" s="1"/>
  <c r="G197" i="2"/>
  <c r="A197" i="2" s="1"/>
  <c r="G198" i="2"/>
  <c r="A198" i="2" s="1"/>
  <c r="G199" i="2"/>
  <c r="A199" i="2" s="1"/>
  <c r="G200" i="2"/>
  <c r="A200" i="2" s="1"/>
  <c r="G201" i="2"/>
  <c r="A201" i="2" s="1"/>
  <c r="G202" i="2"/>
  <c r="A202" i="2" s="1"/>
  <c r="G203" i="2"/>
  <c r="A203" i="2" s="1"/>
  <c r="G204" i="2"/>
  <c r="A204" i="2" s="1"/>
  <c r="G205" i="2"/>
  <c r="A205" i="2" s="1"/>
  <c r="G206" i="2"/>
  <c r="A206" i="2" s="1"/>
  <c r="G207" i="2"/>
  <c r="A207" i="2" s="1"/>
  <c r="G208" i="2"/>
  <c r="A208" i="2" s="1"/>
  <c r="G209" i="2"/>
  <c r="A209" i="2" s="1"/>
  <c r="G210" i="2"/>
  <c r="A210" i="2" s="1"/>
  <c r="G211" i="2"/>
  <c r="A211" i="2" s="1"/>
  <c r="G212" i="2"/>
  <c r="A212" i="2" s="1"/>
  <c r="G213" i="2"/>
  <c r="A213" i="2" s="1"/>
  <c r="G214" i="2"/>
  <c r="A214" i="2" s="1"/>
  <c r="G215" i="2"/>
  <c r="A215" i="2" s="1"/>
  <c r="G216" i="2"/>
  <c r="A216" i="2" s="1"/>
  <c r="G217" i="2"/>
  <c r="A217" i="2" s="1"/>
  <c r="G218" i="2"/>
  <c r="A218" i="2" s="1"/>
  <c r="G219" i="2"/>
  <c r="A219" i="2" s="1"/>
  <c r="G220" i="2"/>
  <c r="A220" i="2" s="1"/>
  <c r="G221" i="2"/>
  <c r="A221" i="2" s="1"/>
  <c r="G222" i="2"/>
  <c r="A222" i="2" s="1"/>
  <c r="G223" i="2"/>
  <c r="A223" i="2" s="1"/>
  <c r="G224" i="2"/>
  <c r="A224" i="2" s="1"/>
  <c r="G225" i="2"/>
  <c r="A225" i="2" s="1"/>
  <c r="G226" i="2"/>
  <c r="A226" i="2" s="1"/>
  <c r="G227" i="2"/>
  <c r="A227" i="2" s="1"/>
  <c r="G228" i="2"/>
  <c r="A228" i="2" s="1"/>
  <c r="G229" i="2"/>
  <c r="A229" i="2" s="1"/>
  <c r="G230" i="2"/>
  <c r="A230" i="2" s="1"/>
  <c r="G231" i="2"/>
  <c r="A231" i="2" s="1"/>
  <c r="G232" i="2"/>
  <c r="A232" i="2" s="1"/>
  <c r="G233" i="2"/>
  <c r="A233" i="2" s="1"/>
  <c r="G234" i="2"/>
  <c r="A234" i="2" s="1"/>
  <c r="G235" i="2"/>
  <c r="A235" i="2" s="1"/>
  <c r="G236" i="2"/>
  <c r="A236" i="2" s="1"/>
  <c r="G237" i="2"/>
  <c r="A237" i="2" s="1"/>
  <c r="G238" i="2"/>
  <c r="A238" i="2" s="1"/>
  <c r="G239" i="2"/>
  <c r="A239" i="2" s="1"/>
  <c r="G240" i="2"/>
  <c r="A240" i="2" s="1"/>
  <c r="G241" i="2"/>
  <c r="A241" i="2" s="1"/>
  <c r="G242" i="2"/>
  <c r="A242" i="2" s="1"/>
  <c r="G243" i="2"/>
  <c r="A243" i="2" s="1"/>
  <c r="G244" i="2"/>
  <c r="A244" i="2" s="1"/>
  <c r="G245" i="2"/>
  <c r="A245" i="2" s="1"/>
  <c r="G246" i="2"/>
  <c r="A246" i="2" s="1"/>
  <c r="G247" i="2"/>
  <c r="A247" i="2" s="1"/>
  <c r="G248" i="2"/>
  <c r="A248" i="2" s="1"/>
  <c r="G249" i="2"/>
  <c r="A249" i="2" s="1"/>
  <c r="G250" i="2"/>
  <c r="A250" i="2" s="1"/>
  <c r="G251" i="2"/>
  <c r="A251" i="2" s="1"/>
  <c r="G252" i="2"/>
  <c r="A252" i="2" s="1"/>
  <c r="G253" i="2"/>
  <c r="A253" i="2" s="1"/>
  <c r="G254" i="2"/>
  <c r="A254" i="2" s="1"/>
  <c r="G255" i="2"/>
  <c r="A255" i="2" s="1"/>
  <c r="G256" i="2"/>
  <c r="A256" i="2" s="1"/>
  <c r="G257" i="2"/>
  <c r="A257" i="2" s="1"/>
  <c r="G258" i="2"/>
  <c r="A258" i="2" s="1"/>
  <c r="G259" i="2"/>
  <c r="A259" i="2" s="1"/>
  <c r="G260" i="2"/>
  <c r="A260" i="2" s="1"/>
  <c r="G261" i="2"/>
  <c r="A261" i="2" s="1"/>
  <c r="G262" i="2"/>
  <c r="A262" i="2" s="1"/>
  <c r="G263" i="2"/>
  <c r="A263" i="2" s="1"/>
  <c r="G264" i="2"/>
  <c r="A264" i="2" s="1"/>
  <c r="G265" i="2"/>
  <c r="A265" i="2" s="1"/>
  <c r="G266" i="2"/>
  <c r="A266" i="2" s="1"/>
  <c r="G267" i="2"/>
  <c r="A267" i="2" s="1"/>
  <c r="G268" i="2"/>
  <c r="A268" i="2" s="1"/>
  <c r="G269" i="2"/>
  <c r="A269" i="2" s="1"/>
  <c r="G270" i="2"/>
  <c r="A270" i="2" s="1"/>
  <c r="G271" i="2"/>
  <c r="A271" i="2" s="1"/>
  <c r="G272" i="2"/>
  <c r="A272" i="2" s="1"/>
  <c r="G273" i="2"/>
  <c r="A273" i="2" s="1"/>
  <c r="G274" i="2"/>
  <c r="A274" i="2" s="1"/>
  <c r="G275" i="2"/>
  <c r="A275" i="2" s="1"/>
  <c r="G276" i="2"/>
  <c r="A276" i="2" s="1"/>
  <c r="G277" i="2"/>
  <c r="A277" i="2" s="1"/>
  <c r="G278" i="2"/>
  <c r="A278" i="2" s="1"/>
  <c r="G279" i="2"/>
  <c r="A279" i="2" s="1"/>
  <c r="G280" i="2"/>
  <c r="A280" i="2" s="1"/>
  <c r="G281" i="2"/>
  <c r="A281" i="2" s="1"/>
  <c r="G282" i="2"/>
  <c r="A282" i="2" s="1"/>
  <c r="G283" i="2"/>
  <c r="A283" i="2" s="1"/>
  <c r="G284" i="2"/>
  <c r="A284" i="2" s="1"/>
  <c r="G285" i="2"/>
  <c r="A285" i="2" s="1"/>
  <c r="G286" i="2"/>
  <c r="A286" i="2" s="1"/>
  <c r="G287" i="2"/>
  <c r="A287" i="2" s="1"/>
  <c r="G288" i="2"/>
  <c r="A288" i="2" s="1"/>
  <c r="G289" i="2"/>
  <c r="A289" i="2" s="1"/>
  <c r="G290" i="2"/>
  <c r="A290" i="2" s="1"/>
  <c r="G291" i="2"/>
  <c r="A291" i="2" s="1"/>
  <c r="G292" i="2"/>
  <c r="A292" i="2" s="1"/>
  <c r="G293" i="2"/>
  <c r="A293" i="2" s="1"/>
  <c r="G294" i="2"/>
  <c r="A294" i="2" s="1"/>
  <c r="G295" i="2"/>
  <c r="A295" i="2" s="1"/>
  <c r="G296" i="2"/>
  <c r="A296" i="2" s="1"/>
  <c r="G297" i="2"/>
  <c r="A297" i="2" s="1"/>
  <c r="G298" i="2"/>
  <c r="A298" i="2" s="1"/>
  <c r="G299" i="2"/>
  <c r="A299" i="2" s="1"/>
  <c r="G300" i="2"/>
  <c r="A300" i="2" s="1"/>
  <c r="G301" i="2"/>
  <c r="A301" i="2" s="1"/>
  <c r="G302" i="2"/>
  <c r="A302" i="2" s="1"/>
  <c r="G303" i="2"/>
  <c r="A303" i="2" s="1"/>
  <c r="G304" i="2"/>
  <c r="A304" i="2" s="1"/>
  <c r="G305" i="2"/>
  <c r="A305" i="2" s="1"/>
  <c r="G306" i="2"/>
  <c r="A306" i="2" s="1"/>
  <c r="G307" i="2"/>
  <c r="A307" i="2" s="1"/>
  <c r="G308" i="2"/>
  <c r="A308" i="2" s="1"/>
  <c r="G309" i="2"/>
  <c r="A309" i="2" s="1"/>
  <c r="G310" i="2"/>
  <c r="A310" i="2" s="1"/>
  <c r="G311" i="2"/>
  <c r="A311" i="2" s="1"/>
  <c r="G312" i="2"/>
  <c r="A312" i="2" s="1"/>
  <c r="G313" i="2"/>
  <c r="A313" i="2" s="1"/>
  <c r="G314" i="2"/>
  <c r="A314" i="2" s="1"/>
  <c r="G315" i="2"/>
  <c r="A315" i="2" s="1"/>
  <c r="G316" i="2"/>
  <c r="A316" i="2" s="1"/>
  <c r="G317" i="2"/>
  <c r="A317" i="2" s="1"/>
  <c r="G318" i="2"/>
  <c r="A318" i="2" s="1"/>
  <c r="G319" i="2"/>
  <c r="A319" i="2" s="1"/>
  <c r="G320" i="2"/>
  <c r="A320" i="2" s="1"/>
  <c r="G321" i="2"/>
  <c r="A321" i="2" s="1"/>
  <c r="G322" i="2"/>
  <c r="A322" i="2" s="1"/>
  <c r="G323" i="2"/>
  <c r="A323" i="2" s="1"/>
  <c r="G324" i="2"/>
  <c r="A324" i="2" s="1"/>
  <c r="G325" i="2"/>
  <c r="A325" i="2" s="1"/>
  <c r="G326" i="2"/>
  <c r="A326" i="2" s="1"/>
  <c r="G327" i="2"/>
  <c r="A327" i="2" s="1"/>
  <c r="G328" i="2"/>
  <c r="A328" i="2" s="1"/>
  <c r="G329" i="2"/>
  <c r="A329" i="2" s="1"/>
  <c r="G330" i="2"/>
  <c r="A330" i="2" s="1"/>
  <c r="G331" i="2"/>
  <c r="A331" i="2" s="1"/>
  <c r="G332" i="2"/>
  <c r="A332" i="2" s="1"/>
  <c r="G333" i="2"/>
  <c r="A333" i="2" s="1"/>
  <c r="G334" i="2"/>
  <c r="A334" i="2" s="1"/>
  <c r="G335" i="2"/>
  <c r="A335" i="2" s="1"/>
  <c r="G336" i="2"/>
  <c r="A336" i="2" s="1"/>
  <c r="G337" i="2"/>
  <c r="A337" i="2" s="1"/>
  <c r="G338" i="2"/>
  <c r="A338" i="2" s="1"/>
  <c r="G339" i="2"/>
  <c r="A339" i="2" s="1"/>
  <c r="G340" i="2"/>
  <c r="A340" i="2" s="1"/>
  <c r="G341" i="2"/>
  <c r="A341" i="2" s="1"/>
  <c r="G342" i="2"/>
  <c r="A342" i="2" s="1"/>
  <c r="G343" i="2"/>
  <c r="A343" i="2" s="1"/>
  <c r="G344" i="2"/>
  <c r="A344" i="2" s="1"/>
  <c r="G345" i="2"/>
  <c r="A345" i="2" s="1"/>
  <c r="G346" i="2"/>
  <c r="A346" i="2" s="1"/>
  <c r="G347" i="2"/>
  <c r="A347" i="2" s="1"/>
  <c r="G348" i="2"/>
  <c r="A348" i="2" s="1"/>
  <c r="G349" i="2"/>
  <c r="A349" i="2" s="1"/>
  <c r="G350" i="2"/>
  <c r="A350" i="2" s="1"/>
  <c r="G351" i="2"/>
  <c r="A351" i="2" s="1"/>
  <c r="G352" i="2"/>
  <c r="A352" i="2" s="1"/>
  <c r="G353" i="2"/>
  <c r="A353" i="2" s="1"/>
  <c r="G354" i="2"/>
  <c r="A354" i="2" s="1"/>
  <c r="G355" i="2"/>
  <c r="A355" i="2" s="1"/>
  <c r="G356" i="2"/>
  <c r="A356" i="2" s="1"/>
  <c r="G357" i="2"/>
  <c r="A357" i="2" s="1"/>
  <c r="G358" i="2"/>
  <c r="A358" i="2" s="1"/>
  <c r="G359" i="2"/>
  <c r="A359" i="2" s="1"/>
  <c r="G360" i="2"/>
  <c r="A360" i="2" s="1"/>
  <c r="G361" i="2"/>
  <c r="A361" i="2" s="1"/>
  <c r="G362" i="2"/>
  <c r="A362" i="2" s="1"/>
  <c r="G363" i="2"/>
  <c r="A363" i="2" s="1"/>
  <c r="G364" i="2"/>
  <c r="A364" i="2" s="1"/>
  <c r="G365" i="2"/>
  <c r="A365" i="2" s="1"/>
  <c r="G366" i="2"/>
  <c r="A366" i="2" s="1"/>
  <c r="G367" i="2"/>
  <c r="A367" i="2" s="1"/>
  <c r="G368" i="2"/>
  <c r="A368" i="2" s="1"/>
  <c r="G369" i="2"/>
  <c r="A369" i="2" s="1"/>
  <c r="G370" i="2"/>
  <c r="A370" i="2" s="1"/>
  <c r="G371" i="2"/>
  <c r="A371" i="2" s="1"/>
  <c r="G372" i="2"/>
  <c r="A372" i="2" s="1"/>
  <c r="G373" i="2"/>
  <c r="A373" i="2" s="1"/>
  <c r="G374" i="2"/>
  <c r="A374" i="2" s="1"/>
  <c r="G375" i="2"/>
  <c r="A375" i="2" s="1"/>
  <c r="G376" i="2"/>
  <c r="A376" i="2" s="1"/>
  <c r="G377" i="2"/>
  <c r="A377" i="2" s="1"/>
  <c r="G378" i="2"/>
  <c r="A378" i="2" s="1"/>
  <c r="G379" i="2"/>
  <c r="A379" i="2" s="1"/>
  <c r="G380" i="2"/>
  <c r="A380" i="2" s="1"/>
  <c r="G381" i="2"/>
  <c r="A381" i="2" s="1"/>
  <c r="G382" i="2"/>
  <c r="A382" i="2" s="1"/>
  <c r="G383" i="2"/>
  <c r="A383" i="2" s="1"/>
  <c r="G384" i="2"/>
  <c r="A384" i="2" s="1"/>
  <c r="G385" i="2"/>
  <c r="A385" i="2" s="1"/>
  <c r="G386" i="2"/>
  <c r="A386" i="2" s="1"/>
  <c r="G387" i="2"/>
  <c r="A387" i="2" s="1"/>
  <c r="G388" i="2"/>
  <c r="A388" i="2" s="1"/>
  <c r="G389" i="2"/>
  <c r="A389" i="2" s="1"/>
  <c r="G390" i="2"/>
  <c r="A390" i="2" s="1"/>
  <c r="G391" i="2"/>
  <c r="A391" i="2" s="1"/>
  <c r="G392" i="2"/>
  <c r="A392" i="2" s="1"/>
  <c r="G393" i="2"/>
  <c r="A393" i="2" s="1"/>
  <c r="G394" i="2"/>
  <c r="A394" i="2" s="1"/>
  <c r="G395" i="2"/>
  <c r="A395" i="2" s="1"/>
  <c r="G396" i="2"/>
  <c r="A396" i="2" s="1"/>
  <c r="G397" i="2"/>
  <c r="A397" i="2" s="1"/>
  <c r="G398" i="2"/>
  <c r="A398" i="2" s="1"/>
  <c r="G399" i="2"/>
  <c r="A399" i="2" s="1"/>
  <c r="G400" i="2"/>
  <c r="A400" i="2" s="1"/>
  <c r="G401" i="2"/>
  <c r="A401" i="2" s="1"/>
  <c r="G402" i="2"/>
  <c r="A402" i="2" s="1"/>
  <c r="G403" i="2"/>
  <c r="A403" i="2" s="1"/>
  <c r="G404" i="2"/>
  <c r="A404" i="2" s="1"/>
  <c r="G405" i="2"/>
  <c r="A405" i="2" s="1"/>
  <c r="G406" i="2"/>
  <c r="A406" i="2" s="1"/>
  <c r="G407" i="2"/>
  <c r="A407" i="2" s="1"/>
  <c r="G408" i="2"/>
  <c r="A408" i="2" s="1"/>
  <c r="G409" i="2"/>
  <c r="A409" i="2" s="1"/>
  <c r="G410" i="2"/>
  <c r="A410" i="2" s="1"/>
  <c r="G411" i="2"/>
  <c r="A411" i="2" s="1"/>
  <c r="G412" i="2"/>
  <c r="A412" i="2" s="1"/>
  <c r="G413" i="2"/>
  <c r="A413" i="2" s="1"/>
  <c r="G414" i="2"/>
  <c r="A414" i="2" s="1"/>
  <c r="G415" i="2"/>
  <c r="A415" i="2" s="1"/>
  <c r="G416" i="2"/>
  <c r="A416" i="2" s="1"/>
  <c r="G417" i="2"/>
  <c r="A417" i="2" s="1"/>
  <c r="G418" i="2"/>
  <c r="A418" i="2" s="1"/>
  <c r="G419" i="2"/>
  <c r="A419" i="2" s="1"/>
  <c r="G420" i="2"/>
  <c r="A420" i="2" s="1"/>
  <c r="G421" i="2"/>
  <c r="A421" i="2" s="1"/>
  <c r="G422" i="2"/>
  <c r="A422" i="2" s="1"/>
  <c r="G423" i="2"/>
  <c r="A423" i="2" s="1"/>
  <c r="G424" i="2"/>
  <c r="A424" i="2" s="1"/>
  <c r="G425" i="2"/>
  <c r="A425" i="2" s="1"/>
  <c r="G426" i="2"/>
  <c r="A426" i="2" s="1"/>
  <c r="G427" i="2"/>
  <c r="A427" i="2" s="1"/>
  <c r="G428" i="2"/>
  <c r="A428" i="2" s="1"/>
  <c r="G429" i="2"/>
  <c r="A429" i="2" s="1"/>
  <c r="G430" i="2"/>
  <c r="A430" i="2" s="1"/>
  <c r="G431" i="2"/>
  <c r="A431" i="2" s="1"/>
  <c r="G432" i="2"/>
  <c r="A432" i="2" s="1"/>
  <c r="G433" i="2"/>
  <c r="A433" i="2" s="1"/>
  <c r="G434" i="2"/>
  <c r="A434" i="2" s="1"/>
  <c r="G435" i="2"/>
  <c r="A435" i="2" s="1"/>
  <c r="G436" i="2"/>
  <c r="A436" i="2" s="1"/>
  <c r="G437" i="2"/>
  <c r="A437" i="2" s="1"/>
  <c r="G438" i="2"/>
  <c r="A438" i="2" s="1"/>
  <c r="G439" i="2"/>
  <c r="A439" i="2" s="1"/>
  <c r="G440" i="2"/>
  <c r="A440" i="2" s="1"/>
  <c r="G441" i="2"/>
  <c r="A441" i="2" s="1"/>
  <c r="G442" i="2"/>
  <c r="A442" i="2" s="1"/>
  <c r="G443" i="2"/>
  <c r="A443" i="2" s="1"/>
  <c r="G444" i="2"/>
  <c r="A444" i="2" s="1"/>
  <c r="G445" i="2"/>
  <c r="A445" i="2" s="1"/>
  <c r="G446" i="2"/>
  <c r="A446" i="2" s="1"/>
  <c r="G447" i="2"/>
  <c r="A447" i="2" s="1"/>
  <c r="G448" i="2"/>
  <c r="A448" i="2" s="1"/>
  <c r="G449" i="2"/>
  <c r="A449" i="2" s="1"/>
  <c r="G450" i="2"/>
  <c r="A450" i="2" s="1"/>
  <c r="G451" i="2"/>
  <c r="A451" i="2" s="1"/>
  <c r="G452" i="2"/>
  <c r="A452" i="2" s="1"/>
  <c r="G453" i="2"/>
  <c r="A453" i="2" s="1"/>
  <c r="G454" i="2"/>
  <c r="A454" i="2" s="1"/>
  <c r="G455" i="2"/>
  <c r="A455" i="2" s="1"/>
  <c r="G456" i="2"/>
  <c r="A456" i="2" s="1"/>
  <c r="G457" i="2"/>
  <c r="A457" i="2" s="1"/>
  <c r="G458" i="2"/>
  <c r="A458" i="2" s="1"/>
  <c r="G459" i="2"/>
  <c r="A459" i="2" s="1"/>
  <c r="G460" i="2"/>
  <c r="A460" i="2" s="1"/>
  <c r="G461" i="2"/>
  <c r="A461" i="2" s="1"/>
  <c r="G462" i="2"/>
  <c r="A462" i="2" s="1"/>
  <c r="G463" i="2"/>
  <c r="A463" i="2" s="1"/>
  <c r="G464" i="2"/>
  <c r="A464" i="2" s="1"/>
  <c r="G465" i="2"/>
  <c r="A465" i="2" s="1"/>
  <c r="G466" i="2"/>
  <c r="A466" i="2" s="1"/>
  <c r="G467" i="2"/>
  <c r="A467" i="2" s="1"/>
  <c r="G468" i="2"/>
  <c r="A468" i="2" s="1"/>
  <c r="G469" i="2"/>
  <c r="A469" i="2" s="1"/>
  <c r="G470" i="2"/>
  <c r="A470" i="2" s="1"/>
  <c r="G471" i="2"/>
  <c r="A471" i="2" s="1"/>
  <c r="G472" i="2"/>
  <c r="A472" i="2" s="1"/>
  <c r="G473" i="2"/>
  <c r="A473" i="2" s="1"/>
  <c r="G474" i="2"/>
  <c r="A474" i="2" s="1"/>
  <c r="G475" i="2"/>
  <c r="A475" i="2" s="1"/>
  <c r="G476" i="2"/>
  <c r="A476" i="2" s="1"/>
  <c r="G477" i="2"/>
  <c r="A477" i="2" s="1"/>
  <c r="G478" i="2"/>
  <c r="A478" i="2" s="1"/>
  <c r="G479" i="2"/>
  <c r="A479" i="2" s="1"/>
  <c r="G480" i="2"/>
  <c r="A480" i="2" s="1"/>
  <c r="G481" i="2"/>
  <c r="A481" i="2" s="1"/>
  <c r="G482" i="2"/>
  <c r="A482" i="2" s="1"/>
  <c r="G483" i="2"/>
  <c r="A483" i="2" s="1"/>
  <c r="G484" i="2"/>
  <c r="A484" i="2" s="1"/>
  <c r="G485" i="2"/>
  <c r="A485" i="2" s="1"/>
  <c r="G486" i="2"/>
  <c r="A486" i="2" s="1"/>
  <c r="G487" i="2"/>
  <c r="A487" i="2" s="1"/>
  <c r="G488" i="2"/>
  <c r="A488" i="2" s="1"/>
  <c r="G489" i="2"/>
  <c r="A489" i="2" s="1"/>
  <c r="G490" i="2"/>
  <c r="A490" i="2" s="1"/>
  <c r="G491" i="2"/>
  <c r="A491" i="2" s="1"/>
  <c r="G492" i="2"/>
  <c r="A492" i="2" s="1"/>
  <c r="G493" i="2"/>
  <c r="A493" i="2" s="1"/>
  <c r="G494" i="2"/>
  <c r="A494" i="2" s="1"/>
  <c r="G495" i="2"/>
  <c r="A495" i="2" s="1"/>
  <c r="G496" i="2"/>
  <c r="A496" i="2" s="1"/>
  <c r="G497" i="2"/>
  <c r="A497" i="2" s="1"/>
  <c r="G498" i="2"/>
  <c r="A498" i="2" s="1"/>
  <c r="G499" i="2"/>
  <c r="A499" i="2" s="1"/>
  <c r="G500" i="2"/>
  <c r="A500" i="2" s="1"/>
  <c r="G501" i="2"/>
  <c r="A501" i="2" s="1"/>
  <c r="G502" i="2"/>
  <c r="A502" i="2" s="1"/>
  <c r="G503" i="2"/>
  <c r="A503" i="2" s="1"/>
  <c r="G504" i="2"/>
  <c r="A504" i="2" s="1"/>
  <c r="G505" i="2"/>
  <c r="A505" i="2" s="1"/>
  <c r="G506" i="2"/>
  <c r="A506" i="2" s="1"/>
  <c r="G507" i="2"/>
  <c r="A507" i="2" s="1"/>
  <c r="G508" i="2"/>
  <c r="A508" i="2" s="1"/>
  <c r="G509" i="2"/>
  <c r="A509" i="2" s="1"/>
  <c r="G510" i="2"/>
  <c r="A510" i="2" s="1"/>
  <c r="G511" i="2"/>
  <c r="A511" i="2" s="1"/>
  <c r="G512" i="2"/>
  <c r="A512" i="2" s="1"/>
  <c r="G513" i="2"/>
  <c r="A513" i="2" s="1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E149" i="2" a="1"/>
  <c r="E150" i="2" a="1"/>
  <c r="E151" i="2" a="1"/>
  <c r="E152" i="2" a="1"/>
  <c r="E153" i="2" a="1"/>
  <c r="E154" i="2" a="1"/>
  <c r="E155" i="2" a="1"/>
  <c r="E156" i="2" a="1"/>
  <c r="E157" i="2" a="1"/>
  <c r="E158" i="2" a="1"/>
  <c r="E159" i="2" a="1"/>
  <c r="E160" i="2" a="1"/>
  <c r="E161" i="2" a="1"/>
  <c r="E162" i="2" a="1"/>
  <c r="E163" i="2" a="1"/>
  <c r="E164" i="2" a="1"/>
  <c r="E165" i="2" a="1"/>
  <c r="E166" i="2" a="1"/>
  <c r="E167" i="2" a="1"/>
  <c r="E168" i="2" a="1"/>
  <c r="E169" i="2" a="1"/>
  <c r="E170" i="2" a="1"/>
  <c r="E171" i="2" a="1"/>
  <c r="E172" i="2" a="1"/>
  <c r="E173" i="2" a="1"/>
  <c r="E174" i="2" a="1"/>
  <c r="E175" i="2" a="1"/>
  <c r="E176" i="2" a="1"/>
  <c r="E177" i="2" a="1"/>
  <c r="E178" i="2" a="1"/>
  <c r="E179" i="2" a="1"/>
  <c r="E180" i="2" a="1"/>
  <c r="E181" i="2" a="1"/>
  <c r="E182" i="2" a="1"/>
  <c r="E183" i="2" a="1"/>
  <c r="E184" i="2" a="1"/>
  <c r="E185" i="2" a="1"/>
  <c r="E186" i="2" a="1"/>
  <c r="E187" i="2" a="1"/>
  <c r="E188" i="2" a="1"/>
  <c r="E189" i="2" a="1"/>
  <c r="E190" i="2" a="1"/>
  <c r="E191" i="2" a="1"/>
  <c r="E192" i="2" a="1"/>
  <c r="E193" i="2" a="1"/>
  <c r="E194" i="2" a="1"/>
  <c r="E195" i="2" a="1"/>
  <c r="E196" i="2" a="1"/>
  <c r="E197" i="2" a="1"/>
  <c r="E198" i="2" a="1"/>
  <c r="E199" i="2" a="1"/>
  <c r="E200" i="2" a="1"/>
  <c r="E201" i="2" a="1"/>
  <c r="E202" i="2" a="1"/>
  <c r="E203" i="2" a="1"/>
  <c r="E204" i="2" a="1"/>
  <c r="E205" i="2" a="1"/>
  <c r="E206" i="2" a="1"/>
  <c r="E207" i="2" a="1"/>
  <c r="E208" i="2" a="1"/>
  <c r="E209" i="2" a="1"/>
  <c r="E210" i="2" a="1"/>
  <c r="E211" i="2" a="1"/>
  <c r="E212" i="2" a="1"/>
  <c r="E213" i="2" a="1"/>
  <c r="E214" i="2" a="1"/>
  <c r="E215" i="2" a="1"/>
  <c r="E216" i="2" a="1"/>
  <c r="E217" i="2" a="1"/>
  <c r="E218" i="2" a="1"/>
  <c r="E219" i="2" a="1"/>
  <c r="E220" i="2" a="1"/>
  <c r="E221" i="2" a="1"/>
  <c r="E222" i="2" a="1"/>
  <c r="E223" i="2" a="1"/>
  <c r="E224" i="2" a="1"/>
  <c r="E225" i="2" a="1"/>
  <c r="E226" i="2" a="1"/>
  <c r="E227" i="2" a="1"/>
  <c r="E228" i="2" a="1"/>
  <c r="E229" i="2" a="1"/>
  <c r="E230" i="2" a="1"/>
  <c r="E231" i="2" a="1"/>
  <c r="E232" i="2" a="1"/>
  <c r="E233" i="2" a="1"/>
  <c r="E234" i="2" a="1"/>
  <c r="E235" i="2" a="1"/>
  <c r="E236" i="2" a="1"/>
  <c r="E237" i="2" a="1"/>
  <c r="E238" i="2" a="1"/>
  <c r="E239" i="2" a="1"/>
  <c r="E240" i="2" a="1"/>
  <c r="E241" i="2" a="1"/>
  <c r="E242" i="2" a="1"/>
  <c r="E243" i="2" a="1"/>
  <c r="E244" i="2" a="1"/>
  <c r="E245" i="2" a="1"/>
  <c r="E246" i="2" a="1"/>
  <c r="E247" i="2" a="1"/>
  <c r="E248" i="2" a="1"/>
  <c r="E249" i="2" a="1"/>
  <c r="E250" i="2" a="1"/>
  <c r="E251" i="2" a="1"/>
  <c r="E252" i="2" a="1"/>
  <c r="E253" i="2" a="1"/>
  <c r="E254" i="2" a="1"/>
  <c r="E255" i="2" a="1"/>
  <c r="E256" i="2" a="1"/>
  <c r="E257" i="2" a="1"/>
  <c r="E258" i="2" a="1"/>
  <c r="E259" i="2" a="1"/>
  <c r="E260" i="2" a="1"/>
  <c r="E261" i="2" a="1"/>
  <c r="E262" i="2" a="1"/>
  <c r="E263" i="2" a="1"/>
  <c r="E264" i="2" a="1"/>
  <c r="E265" i="2" a="1"/>
  <c r="E266" i="2" a="1"/>
  <c r="E267" i="2" a="1"/>
  <c r="E268" i="2" a="1"/>
  <c r="E269" i="2" a="1"/>
  <c r="E270" i="2" a="1"/>
  <c r="E271" i="2" a="1"/>
  <c r="E272" i="2" a="1"/>
  <c r="E273" i="2" a="1"/>
  <c r="E274" i="2" a="1"/>
  <c r="E275" i="2" a="1"/>
  <c r="E276" i="2" a="1"/>
  <c r="E277" i="2" a="1"/>
  <c r="E278" i="2" a="1"/>
  <c r="E279" i="2" a="1"/>
  <c r="E280" i="2" a="1"/>
  <c r="E281" i="2" a="1"/>
  <c r="E282" i="2" a="1"/>
  <c r="E283" i="2" a="1"/>
  <c r="E284" i="2" a="1"/>
  <c r="E285" i="2" a="1"/>
  <c r="E286" i="2" a="1"/>
  <c r="E287" i="2" a="1"/>
  <c r="E288" i="2" a="1"/>
  <c r="E289" i="2" a="1"/>
  <c r="E290" i="2" a="1"/>
  <c r="E291" i="2" a="1"/>
  <c r="E292" i="2" a="1"/>
  <c r="E293" i="2" a="1"/>
  <c r="E294" i="2" a="1"/>
  <c r="E295" i="2" a="1"/>
  <c r="E296" i="2" a="1"/>
  <c r="E297" i="2" a="1"/>
  <c r="E298" i="2" a="1"/>
  <c r="E299" i="2" a="1"/>
  <c r="E300" i="2" a="1"/>
  <c r="E301" i="2" a="1"/>
  <c r="E302" i="2" a="1"/>
  <c r="E303" i="2" a="1"/>
  <c r="E304" i="2" a="1"/>
  <c r="E305" i="2" a="1"/>
  <c r="E306" i="2" a="1"/>
  <c r="E307" i="2" a="1"/>
  <c r="E308" i="2" a="1"/>
  <c r="E309" i="2" a="1"/>
  <c r="E310" i="2" a="1"/>
  <c r="E311" i="2" a="1"/>
  <c r="E312" i="2" a="1"/>
  <c r="E313" i="2" a="1"/>
  <c r="E314" i="2" a="1"/>
  <c r="E315" i="2" a="1"/>
  <c r="E316" i="2" a="1"/>
  <c r="E317" i="2" a="1"/>
  <c r="E318" i="2" a="1"/>
  <c r="E319" i="2" a="1"/>
  <c r="E320" i="2" a="1"/>
  <c r="E321" i="2" a="1"/>
  <c r="E322" i="2" a="1"/>
  <c r="E323" i="2" a="1"/>
  <c r="E324" i="2" a="1"/>
  <c r="E325" i="2" a="1"/>
  <c r="E326" i="2" a="1"/>
  <c r="E327" i="2" a="1"/>
  <c r="E328" i="2" a="1"/>
  <c r="E329" i="2" a="1"/>
  <c r="E330" i="2" a="1"/>
  <c r="E331" i="2" a="1"/>
  <c r="E332" i="2" a="1"/>
  <c r="E333" i="2" a="1"/>
  <c r="E334" i="2" a="1"/>
  <c r="E335" i="2" a="1"/>
  <c r="E336" i="2" a="1"/>
  <c r="E337" i="2" a="1"/>
  <c r="E338" i="2" a="1"/>
  <c r="E339" i="2" a="1"/>
  <c r="E340" i="2" a="1"/>
  <c r="E341" i="2" a="1"/>
  <c r="E342" i="2" a="1"/>
  <c r="E343" i="2" a="1"/>
  <c r="E344" i="2" a="1"/>
  <c r="E345" i="2" a="1"/>
  <c r="E346" i="2" a="1"/>
  <c r="E347" i="2" a="1"/>
  <c r="E348" i="2" a="1"/>
  <c r="E349" i="2" a="1"/>
  <c r="E350" i="2" a="1"/>
  <c r="E351" i="2" a="1"/>
  <c r="E352" i="2" a="1"/>
  <c r="E353" i="2" a="1"/>
  <c r="E354" i="2" a="1"/>
  <c r="E355" i="2" a="1"/>
  <c r="E356" i="2" a="1"/>
  <c r="E357" i="2" a="1"/>
  <c r="E358" i="2" a="1"/>
  <c r="E359" i="2" a="1"/>
  <c r="E360" i="2" a="1"/>
  <c r="E361" i="2" a="1"/>
  <c r="E362" i="2" a="1"/>
  <c r="E363" i="2" a="1"/>
  <c r="E364" i="2" a="1"/>
  <c r="E365" i="2" a="1"/>
  <c r="E366" i="2" a="1"/>
  <c r="E367" i="2" a="1"/>
  <c r="E368" i="2" a="1"/>
  <c r="E369" i="2" a="1"/>
  <c r="E370" i="2" a="1"/>
  <c r="E371" i="2" a="1"/>
  <c r="E372" i="2" a="1"/>
  <c r="E373" i="2" a="1"/>
  <c r="E374" i="2" a="1"/>
  <c r="E375" i="2" a="1"/>
  <c r="E376" i="2" a="1"/>
  <c r="E377" i="2" a="1"/>
  <c r="E378" i="2" a="1"/>
  <c r="E379" i="2" a="1"/>
  <c r="E380" i="2" a="1"/>
  <c r="E381" i="2" a="1"/>
  <c r="E382" i="2" a="1"/>
  <c r="E383" i="2" a="1"/>
  <c r="E384" i="2" a="1"/>
  <c r="E385" i="2" a="1"/>
  <c r="E386" i="2" a="1"/>
  <c r="E387" i="2" a="1"/>
  <c r="E388" i="2" a="1"/>
  <c r="E389" i="2" a="1"/>
  <c r="E390" i="2" a="1"/>
  <c r="E391" i="2" a="1"/>
  <c r="E392" i="2" a="1"/>
  <c r="E393" i="2" a="1"/>
  <c r="E394" i="2" a="1"/>
  <c r="E395" i="2" a="1"/>
  <c r="E396" i="2" a="1"/>
  <c r="E397" i="2" a="1"/>
  <c r="E398" i="2" a="1"/>
  <c r="E399" i="2" a="1"/>
  <c r="E400" i="2" a="1"/>
  <c r="E401" i="2" a="1"/>
  <c r="E402" i="2" a="1"/>
  <c r="E403" i="2" a="1"/>
  <c r="E404" i="2" a="1"/>
  <c r="E405" i="2" a="1"/>
  <c r="E406" i="2" a="1"/>
  <c r="E407" i="2" a="1"/>
  <c r="E408" i="2" a="1"/>
  <c r="E409" i="2" a="1"/>
  <c r="E410" i="2" a="1"/>
  <c r="E411" i="2" a="1"/>
  <c r="E412" i="2" a="1"/>
  <c r="E413" i="2" a="1"/>
  <c r="E414" i="2" a="1"/>
  <c r="E415" i="2" a="1"/>
  <c r="E416" i="2" a="1"/>
  <c r="E417" i="2" a="1"/>
  <c r="E418" i="2" a="1"/>
  <c r="E419" i="2" a="1"/>
  <c r="E420" i="2" a="1"/>
  <c r="E421" i="2" a="1"/>
  <c r="E422" i="2" a="1"/>
  <c r="E423" i="2" a="1"/>
  <c r="E424" i="2" a="1"/>
  <c r="E425" i="2" a="1"/>
  <c r="E426" i="2" a="1"/>
  <c r="E427" i="2" a="1"/>
  <c r="E428" i="2" a="1"/>
  <c r="E429" i="2" a="1"/>
  <c r="E430" i="2" a="1"/>
  <c r="E431" i="2" a="1"/>
  <c r="E432" i="2" a="1"/>
  <c r="E433" i="2" a="1"/>
  <c r="E434" i="2" a="1"/>
  <c r="E435" i="2" a="1"/>
  <c r="E436" i="2" a="1"/>
  <c r="E437" i="2" a="1"/>
  <c r="E438" i="2" a="1"/>
  <c r="E439" i="2" a="1"/>
  <c r="E440" i="2" a="1"/>
  <c r="E441" i="2" a="1"/>
  <c r="E442" i="2" a="1"/>
  <c r="E443" i="2" a="1"/>
  <c r="E444" i="2" a="1"/>
  <c r="E445" i="2" a="1"/>
  <c r="E446" i="2" a="1"/>
  <c r="E447" i="2" a="1"/>
  <c r="E448" i="2" a="1"/>
  <c r="E449" i="2" a="1"/>
  <c r="E450" i="2" a="1"/>
  <c r="E451" i="2" a="1"/>
  <c r="E452" i="2" a="1"/>
  <c r="E453" i="2" a="1"/>
  <c r="E454" i="2" a="1"/>
  <c r="E455" i="2" a="1"/>
  <c r="E456" i="2" a="1"/>
  <c r="E457" i="2" a="1"/>
  <c r="E458" i="2" a="1"/>
  <c r="E459" i="2" a="1"/>
  <c r="E460" i="2" a="1"/>
  <c r="E461" i="2" a="1"/>
  <c r="E462" i="2" a="1"/>
  <c r="E463" i="2" a="1"/>
  <c r="E464" i="2" a="1"/>
  <c r="E465" i="2" a="1"/>
  <c r="E466" i="2" a="1"/>
  <c r="E467" i="2" a="1"/>
  <c r="E468" i="2" a="1"/>
  <c r="E469" i="2" a="1"/>
  <c r="E470" i="2" a="1"/>
  <c r="E471" i="2" a="1"/>
  <c r="E472" i="2" a="1"/>
  <c r="E473" i="2" a="1"/>
  <c r="E474" i="2" a="1"/>
  <c r="E475" i="2" a="1"/>
  <c r="E476" i="2" a="1"/>
  <c r="E477" i="2" a="1"/>
  <c r="E478" i="2" a="1"/>
  <c r="E479" i="2" a="1"/>
  <c r="E480" i="2" a="1"/>
  <c r="E481" i="2" a="1"/>
  <c r="E482" i="2" a="1"/>
  <c r="E483" i="2" a="1"/>
  <c r="E484" i="2" a="1"/>
  <c r="E485" i="2" a="1"/>
  <c r="E486" i="2" a="1"/>
  <c r="E487" i="2" a="1"/>
  <c r="E488" i="2" a="1"/>
  <c r="E489" i="2" a="1"/>
  <c r="E490" i="2" a="1"/>
  <c r="E491" i="2" a="1"/>
  <c r="E492" i="2" a="1"/>
  <c r="E493" i="2" a="1"/>
  <c r="E494" i="2" a="1"/>
  <c r="E495" i="2" a="1"/>
  <c r="E496" i="2" a="1"/>
  <c r="E497" i="2" a="1"/>
  <c r="E498" i="2" a="1"/>
  <c r="E499" i="2" a="1"/>
  <c r="E500" i="2" a="1"/>
  <c r="E501" i="2" a="1"/>
  <c r="E502" i="2" a="1"/>
  <c r="E503" i="2" a="1"/>
  <c r="E504" i="2" a="1"/>
  <c r="E505" i="2" a="1"/>
  <c r="E506" i="2" a="1"/>
  <c r="E507" i="2" a="1"/>
  <c r="E508" i="2" a="1"/>
  <c r="E509" i="2" a="1"/>
  <c r="E510" i="2" a="1"/>
  <c r="E511" i="2" a="1"/>
  <c r="E512" i="2" a="1"/>
  <c r="E513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53" i="2"/>
  <c r="K53" i="2" s="1"/>
  <c r="C54" i="2"/>
  <c r="K54" i="2" s="1"/>
  <c r="C55" i="2"/>
  <c r="K55" i="2" s="1"/>
  <c r="C56" i="2"/>
  <c r="K56" i="2" s="1"/>
  <c r="C57" i="2"/>
  <c r="K57" i="2" s="1"/>
  <c r="C58" i="2"/>
  <c r="K58" i="2" s="1"/>
  <c r="C59" i="2"/>
  <c r="K59" i="2" s="1"/>
  <c r="C60" i="2"/>
  <c r="K60" i="2" s="1"/>
  <c r="C61" i="2"/>
  <c r="K61" i="2" s="1"/>
  <c r="C62" i="2"/>
  <c r="K62" i="2" s="1"/>
  <c r="C63" i="2"/>
  <c r="K63" i="2" s="1"/>
  <c r="C64" i="2"/>
  <c r="K64" i="2" s="1"/>
  <c r="C65" i="2"/>
  <c r="K65" i="2" s="1"/>
  <c r="C66" i="2"/>
  <c r="K66" i="2" s="1"/>
  <c r="C67" i="2"/>
  <c r="K67" i="2" s="1"/>
  <c r="C68" i="2"/>
  <c r="K68" i="2" s="1"/>
  <c r="C69" i="2"/>
  <c r="K69" i="2" s="1"/>
  <c r="C70" i="2"/>
  <c r="K70" i="2" s="1"/>
  <c r="C71" i="2"/>
  <c r="K71" i="2" s="1"/>
  <c r="C72" i="2"/>
  <c r="K72" i="2" s="1"/>
  <c r="C73" i="2"/>
  <c r="K73" i="2" s="1"/>
  <c r="C74" i="2"/>
  <c r="K74" i="2" s="1"/>
  <c r="C75" i="2"/>
  <c r="K75" i="2" s="1"/>
  <c r="C76" i="2"/>
  <c r="K76" i="2" s="1"/>
  <c r="C77" i="2"/>
  <c r="K77" i="2" s="1"/>
  <c r="C78" i="2"/>
  <c r="K78" i="2" s="1"/>
  <c r="C79" i="2"/>
  <c r="K79" i="2" s="1"/>
  <c r="C80" i="2"/>
  <c r="K80" i="2" s="1"/>
  <c r="C81" i="2"/>
  <c r="K81" i="2" s="1"/>
  <c r="C82" i="2"/>
  <c r="K82" i="2" s="1"/>
  <c r="C83" i="2"/>
  <c r="K83" i="2" s="1"/>
  <c r="C84" i="2"/>
  <c r="K84" i="2" s="1"/>
  <c r="C85" i="2"/>
  <c r="K85" i="2" s="1"/>
  <c r="C86" i="2"/>
  <c r="K86" i="2" s="1"/>
  <c r="C87" i="2"/>
  <c r="K87" i="2" s="1"/>
  <c r="C88" i="2"/>
  <c r="K88" i="2" s="1"/>
  <c r="C89" i="2"/>
  <c r="K89" i="2" s="1"/>
  <c r="C90" i="2"/>
  <c r="K90" i="2" s="1"/>
  <c r="C91" i="2"/>
  <c r="K91" i="2" s="1"/>
  <c r="C92" i="2"/>
  <c r="K92" i="2" s="1"/>
  <c r="C93" i="2"/>
  <c r="K93" i="2" s="1"/>
  <c r="C94" i="2"/>
  <c r="K94" i="2" s="1"/>
  <c r="C95" i="2"/>
  <c r="K95" i="2" s="1"/>
  <c r="C96" i="2"/>
  <c r="K96" i="2" s="1"/>
  <c r="C97" i="2"/>
  <c r="K97" i="2" s="1"/>
  <c r="C98" i="2"/>
  <c r="K98" i="2" s="1"/>
  <c r="C99" i="2"/>
  <c r="K99" i="2" s="1"/>
  <c r="C100" i="2"/>
  <c r="K100" i="2" s="1"/>
  <c r="C101" i="2"/>
  <c r="K101" i="2" s="1"/>
  <c r="C102" i="2"/>
  <c r="K102" i="2" s="1"/>
  <c r="C103" i="2"/>
  <c r="K103" i="2" s="1"/>
  <c r="C104" i="2"/>
  <c r="K104" i="2" s="1"/>
  <c r="C105" i="2"/>
  <c r="K105" i="2" s="1"/>
  <c r="C106" i="2"/>
  <c r="K106" i="2" s="1"/>
  <c r="C107" i="2"/>
  <c r="K107" i="2" s="1"/>
  <c r="C108" i="2"/>
  <c r="K108" i="2" s="1"/>
  <c r="C109" i="2"/>
  <c r="K109" i="2" s="1"/>
  <c r="C110" i="2"/>
  <c r="K110" i="2" s="1"/>
  <c r="C111" i="2"/>
  <c r="K111" i="2" s="1"/>
  <c r="C112" i="2"/>
  <c r="K112" i="2" s="1"/>
  <c r="C113" i="2"/>
  <c r="K113" i="2" s="1"/>
  <c r="C114" i="2"/>
  <c r="K114" i="2" s="1"/>
  <c r="C115" i="2"/>
  <c r="K115" i="2" s="1"/>
  <c r="C116" i="2"/>
  <c r="K116" i="2" s="1"/>
  <c r="C117" i="2"/>
  <c r="K117" i="2" s="1"/>
  <c r="C118" i="2"/>
  <c r="K118" i="2" s="1"/>
  <c r="C119" i="2"/>
  <c r="K119" i="2" s="1"/>
  <c r="C120" i="2"/>
  <c r="K120" i="2" s="1"/>
  <c r="C121" i="2"/>
  <c r="K121" i="2" s="1"/>
  <c r="C122" i="2"/>
  <c r="K122" i="2" s="1"/>
  <c r="C123" i="2"/>
  <c r="K123" i="2" s="1"/>
  <c r="C124" i="2"/>
  <c r="K124" i="2" s="1"/>
  <c r="C125" i="2"/>
  <c r="K125" i="2" s="1"/>
  <c r="C126" i="2"/>
  <c r="K126" i="2" s="1"/>
  <c r="C127" i="2"/>
  <c r="K127" i="2" s="1"/>
  <c r="C128" i="2"/>
  <c r="K128" i="2" s="1"/>
  <c r="C129" i="2"/>
  <c r="K129" i="2" s="1"/>
  <c r="C130" i="2"/>
  <c r="K130" i="2" s="1"/>
  <c r="C131" i="2"/>
  <c r="K131" i="2" s="1"/>
  <c r="C132" i="2"/>
  <c r="K132" i="2" s="1"/>
  <c r="C133" i="2"/>
  <c r="K133" i="2" s="1"/>
  <c r="C134" i="2"/>
  <c r="K134" i="2" s="1"/>
  <c r="C135" i="2"/>
  <c r="K135" i="2" s="1"/>
  <c r="C136" i="2"/>
  <c r="K136" i="2" s="1"/>
  <c r="C137" i="2"/>
  <c r="K137" i="2" s="1"/>
  <c r="C138" i="2"/>
  <c r="K138" i="2" s="1"/>
  <c r="C139" i="2"/>
  <c r="K139" i="2" s="1"/>
  <c r="C140" i="2"/>
  <c r="K140" i="2" s="1"/>
  <c r="C141" i="2"/>
  <c r="K141" i="2" s="1"/>
  <c r="C142" i="2"/>
  <c r="K142" i="2" s="1"/>
  <c r="C143" i="2"/>
  <c r="K143" i="2" s="1"/>
  <c r="C144" i="2"/>
  <c r="K144" i="2" s="1"/>
  <c r="C145" i="2"/>
  <c r="K145" i="2" s="1"/>
  <c r="C146" i="2"/>
  <c r="K146" i="2" s="1"/>
  <c r="C147" i="2"/>
  <c r="K147" i="2" s="1"/>
  <c r="C148" i="2"/>
  <c r="K148" i="2" s="1"/>
  <c r="C149" i="2"/>
  <c r="K149" i="2" s="1"/>
  <c r="C150" i="2"/>
  <c r="K150" i="2" s="1"/>
  <c r="C151" i="2"/>
  <c r="K151" i="2" s="1"/>
  <c r="C152" i="2"/>
  <c r="K152" i="2" s="1"/>
  <c r="C153" i="2"/>
  <c r="K153" i="2" s="1"/>
  <c r="C154" i="2"/>
  <c r="K154" i="2" s="1"/>
  <c r="C155" i="2"/>
  <c r="K155" i="2" s="1"/>
  <c r="C156" i="2"/>
  <c r="K156" i="2" s="1"/>
  <c r="C157" i="2"/>
  <c r="K157" i="2" s="1"/>
  <c r="C158" i="2"/>
  <c r="K158" i="2" s="1"/>
  <c r="C159" i="2"/>
  <c r="K159" i="2" s="1"/>
  <c r="C160" i="2"/>
  <c r="K160" i="2" s="1"/>
  <c r="C161" i="2"/>
  <c r="K161" i="2" s="1"/>
  <c r="C162" i="2"/>
  <c r="K162" i="2" s="1"/>
  <c r="C163" i="2"/>
  <c r="K163" i="2" s="1"/>
  <c r="C164" i="2"/>
  <c r="K164" i="2" s="1"/>
  <c r="C165" i="2"/>
  <c r="K165" i="2" s="1"/>
  <c r="C166" i="2"/>
  <c r="K166" i="2" s="1"/>
  <c r="C167" i="2"/>
  <c r="K167" i="2" s="1"/>
  <c r="C168" i="2"/>
  <c r="K168" i="2" s="1"/>
  <c r="C169" i="2"/>
  <c r="K169" i="2" s="1"/>
  <c r="C170" i="2"/>
  <c r="K170" i="2" s="1"/>
  <c r="C171" i="2"/>
  <c r="K171" i="2" s="1"/>
  <c r="C172" i="2"/>
  <c r="K172" i="2" s="1"/>
  <c r="C173" i="2"/>
  <c r="K173" i="2" s="1"/>
  <c r="C174" i="2"/>
  <c r="K174" i="2" s="1"/>
  <c r="C175" i="2"/>
  <c r="K175" i="2" s="1"/>
  <c r="C176" i="2"/>
  <c r="K176" i="2" s="1"/>
  <c r="C177" i="2"/>
  <c r="K177" i="2" s="1"/>
  <c r="C178" i="2"/>
  <c r="K178" i="2" s="1"/>
  <c r="C179" i="2"/>
  <c r="K179" i="2" s="1"/>
  <c r="C180" i="2"/>
  <c r="K180" i="2" s="1"/>
  <c r="C181" i="2"/>
  <c r="K181" i="2" s="1"/>
  <c r="C182" i="2"/>
  <c r="K182" i="2" s="1"/>
  <c r="C183" i="2"/>
  <c r="K183" i="2" s="1"/>
  <c r="C184" i="2"/>
  <c r="K184" i="2" s="1"/>
  <c r="C185" i="2"/>
  <c r="K185" i="2" s="1"/>
  <c r="C186" i="2"/>
  <c r="K186" i="2" s="1"/>
  <c r="C187" i="2"/>
  <c r="K187" i="2" s="1"/>
  <c r="C188" i="2"/>
  <c r="K188" i="2" s="1"/>
  <c r="C189" i="2"/>
  <c r="K189" i="2" s="1"/>
  <c r="C190" i="2"/>
  <c r="K190" i="2" s="1"/>
  <c r="C191" i="2"/>
  <c r="K191" i="2" s="1"/>
  <c r="C192" i="2"/>
  <c r="K192" i="2" s="1"/>
  <c r="C193" i="2"/>
  <c r="K193" i="2" s="1"/>
  <c r="C194" i="2"/>
  <c r="K194" i="2" s="1"/>
  <c r="C195" i="2"/>
  <c r="K195" i="2" s="1"/>
  <c r="C196" i="2"/>
  <c r="K196" i="2" s="1"/>
  <c r="C197" i="2"/>
  <c r="K197" i="2" s="1"/>
  <c r="C198" i="2"/>
  <c r="K198" i="2" s="1"/>
  <c r="C199" i="2"/>
  <c r="K199" i="2" s="1"/>
  <c r="C200" i="2"/>
  <c r="K200" i="2" s="1"/>
  <c r="C201" i="2"/>
  <c r="K201" i="2" s="1"/>
  <c r="C202" i="2"/>
  <c r="K202" i="2" s="1"/>
  <c r="C203" i="2"/>
  <c r="K203" i="2" s="1"/>
  <c r="C204" i="2"/>
  <c r="K204" i="2" s="1"/>
  <c r="C205" i="2"/>
  <c r="K205" i="2" s="1"/>
  <c r="C206" i="2"/>
  <c r="K206" i="2" s="1"/>
  <c r="C207" i="2"/>
  <c r="K207" i="2" s="1"/>
  <c r="C208" i="2"/>
  <c r="K208" i="2" s="1"/>
  <c r="C209" i="2"/>
  <c r="K209" i="2" s="1"/>
  <c r="C210" i="2"/>
  <c r="K210" i="2" s="1"/>
  <c r="C211" i="2"/>
  <c r="K211" i="2" s="1"/>
  <c r="C212" i="2"/>
  <c r="K212" i="2" s="1"/>
  <c r="C213" i="2"/>
  <c r="K213" i="2" s="1"/>
  <c r="C214" i="2"/>
  <c r="K214" i="2" s="1"/>
  <c r="C215" i="2"/>
  <c r="K215" i="2" s="1"/>
  <c r="C216" i="2"/>
  <c r="K216" i="2" s="1"/>
  <c r="C217" i="2"/>
  <c r="K217" i="2" s="1"/>
  <c r="C218" i="2"/>
  <c r="K218" i="2" s="1"/>
  <c r="C219" i="2"/>
  <c r="K219" i="2" s="1"/>
  <c r="C220" i="2"/>
  <c r="K220" i="2" s="1"/>
  <c r="C221" i="2"/>
  <c r="K221" i="2" s="1"/>
  <c r="C222" i="2"/>
  <c r="K222" i="2" s="1"/>
  <c r="C223" i="2"/>
  <c r="K223" i="2" s="1"/>
  <c r="C224" i="2"/>
  <c r="K224" i="2" s="1"/>
  <c r="C225" i="2"/>
  <c r="K225" i="2" s="1"/>
  <c r="C226" i="2"/>
  <c r="K226" i="2" s="1"/>
  <c r="C227" i="2"/>
  <c r="K227" i="2" s="1"/>
  <c r="C228" i="2"/>
  <c r="K228" i="2" s="1"/>
  <c r="C229" i="2"/>
  <c r="K229" i="2" s="1"/>
  <c r="C230" i="2"/>
  <c r="K230" i="2" s="1"/>
  <c r="C231" i="2"/>
  <c r="K231" i="2" s="1"/>
  <c r="C232" i="2"/>
  <c r="K232" i="2" s="1"/>
  <c r="C233" i="2"/>
  <c r="K233" i="2" s="1"/>
  <c r="C234" i="2"/>
  <c r="K234" i="2" s="1"/>
  <c r="C235" i="2"/>
  <c r="K235" i="2" s="1"/>
  <c r="C236" i="2"/>
  <c r="K236" i="2" s="1"/>
  <c r="C237" i="2"/>
  <c r="K237" i="2" s="1"/>
  <c r="C238" i="2"/>
  <c r="K238" i="2" s="1"/>
  <c r="C239" i="2"/>
  <c r="K239" i="2" s="1"/>
  <c r="C240" i="2"/>
  <c r="K240" i="2" s="1"/>
  <c r="C241" i="2"/>
  <c r="K241" i="2" s="1"/>
  <c r="C242" i="2"/>
  <c r="K242" i="2" s="1"/>
  <c r="C243" i="2"/>
  <c r="K243" i="2" s="1"/>
  <c r="C244" i="2"/>
  <c r="K244" i="2" s="1"/>
  <c r="C245" i="2"/>
  <c r="K245" i="2" s="1"/>
  <c r="C246" i="2"/>
  <c r="K246" i="2" s="1"/>
  <c r="C247" i="2"/>
  <c r="K247" i="2" s="1"/>
  <c r="C248" i="2"/>
  <c r="K248" i="2" s="1"/>
  <c r="C249" i="2"/>
  <c r="K249" i="2" s="1"/>
  <c r="C250" i="2"/>
  <c r="K250" i="2" s="1"/>
  <c r="C251" i="2"/>
  <c r="K251" i="2" s="1"/>
  <c r="C252" i="2"/>
  <c r="K252" i="2" s="1"/>
  <c r="C253" i="2"/>
  <c r="K253" i="2" s="1"/>
  <c r="C254" i="2"/>
  <c r="K254" i="2" s="1"/>
  <c r="C255" i="2"/>
  <c r="K255" i="2" s="1"/>
  <c r="C256" i="2"/>
  <c r="K256" i="2" s="1"/>
  <c r="C257" i="2"/>
  <c r="K257" i="2" s="1"/>
  <c r="C258" i="2"/>
  <c r="K258" i="2" s="1"/>
  <c r="C259" i="2"/>
  <c r="K259" i="2" s="1"/>
  <c r="C260" i="2"/>
  <c r="K260" i="2" s="1"/>
  <c r="C261" i="2"/>
  <c r="K261" i="2" s="1"/>
  <c r="C262" i="2"/>
  <c r="K262" i="2" s="1"/>
  <c r="C263" i="2"/>
  <c r="K263" i="2" s="1"/>
  <c r="C264" i="2"/>
  <c r="K264" i="2" s="1"/>
  <c r="C265" i="2"/>
  <c r="K265" i="2" s="1"/>
  <c r="C266" i="2"/>
  <c r="K266" i="2" s="1"/>
  <c r="C267" i="2"/>
  <c r="K267" i="2" s="1"/>
  <c r="C268" i="2"/>
  <c r="K268" i="2" s="1"/>
  <c r="C269" i="2"/>
  <c r="K269" i="2" s="1"/>
  <c r="C270" i="2"/>
  <c r="K270" i="2" s="1"/>
  <c r="C271" i="2"/>
  <c r="K271" i="2" s="1"/>
  <c r="C272" i="2"/>
  <c r="K272" i="2" s="1"/>
  <c r="C273" i="2"/>
  <c r="K273" i="2" s="1"/>
  <c r="C274" i="2"/>
  <c r="K274" i="2" s="1"/>
  <c r="C275" i="2"/>
  <c r="K275" i="2" s="1"/>
  <c r="C276" i="2"/>
  <c r="K276" i="2" s="1"/>
  <c r="C277" i="2"/>
  <c r="K277" i="2" s="1"/>
  <c r="C278" i="2"/>
  <c r="K278" i="2" s="1"/>
  <c r="C279" i="2"/>
  <c r="K279" i="2" s="1"/>
  <c r="C280" i="2"/>
  <c r="K280" i="2" s="1"/>
  <c r="C281" i="2"/>
  <c r="K281" i="2" s="1"/>
  <c r="C282" i="2"/>
  <c r="K282" i="2" s="1"/>
  <c r="C283" i="2"/>
  <c r="K283" i="2" s="1"/>
  <c r="C284" i="2"/>
  <c r="K284" i="2" s="1"/>
  <c r="C285" i="2"/>
  <c r="K285" i="2" s="1"/>
  <c r="C286" i="2"/>
  <c r="K286" i="2" s="1"/>
  <c r="C287" i="2"/>
  <c r="K287" i="2" s="1"/>
  <c r="C288" i="2"/>
  <c r="K288" i="2" s="1"/>
  <c r="C289" i="2"/>
  <c r="K289" i="2" s="1"/>
  <c r="C290" i="2"/>
  <c r="K290" i="2" s="1"/>
  <c r="C291" i="2"/>
  <c r="K291" i="2" s="1"/>
  <c r="C292" i="2"/>
  <c r="K292" i="2" s="1"/>
  <c r="C293" i="2"/>
  <c r="K293" i="2" s="1"/>
  <c r="C294" i="2"/>
  <c r="K294" i="2" s="1"/>
  <c r="C295" i="2"/>
  <c r="K295" i="2" s="1"/>
  <c r="C296" i="2"/>
  <c r="K296" i="2" s="1"/>
  <c r="C297" i="2"/>
  <c r="K297" i="2" s="1"/>
  <c r="C298" i="2"/>
  <c r="K298" i="2" s="1"/>
  <c r="C299" i="2"/>
  <c r="K299" i="2" s="1"/>
  <c r="C300" i="2"/>
  <c r="K300" i="2" s="1"/>
  <c r="C301" i="2"/>
  <c r="K301" i="2" s="1"/>
  <c r="C302" i="2"/>
  <c r="K302" i="2" s="1"/>
  <c r="C303" i="2"/>
  <c r="K303" i="2" s="1"/>
  <c r="C304" i="2"/>
  <c r="K304" i="2" s="1"/>
  <c r="C305" i="2"/>
  <c r="K305" i="2" s="1"/>
  <c r="C306" i="2"/>
  <c r="K306" i="2" s="1"/>
  <c r="C307" i="2"/>
  <c r="K307" i="2" s="1"/>
  <c r="C308" i="2"/>
  <c r="K308" i="2" s="1"/>
  <c r="C309" i="2"/>
  <c r="K309" i="2" s="1"/>
  <c r="C310" i="2"/>
  <c r="K310" i="2" s="1"/>
  <c r="C311" i="2"/>
  <c r="K311" i="2" s="1"/>
  <c r="C312" i="2"/>
  <c r="K312" i="2" s="1"/>
  <c r="C313" i="2"/>
  <c r="K313" i="2" s="1"/>
  <c r="C314" i="2"/>
  <c r="K314" i="2" s="1"/>
  <c r="C315" i="2"/>
  <c r="K315" i="2" s="1"/>
  <c r="C316" i="2"/>
  <c r="K316" i="2" s="1"/>
  <c r="C317" i="2"/>
  <c r="K317" i="2" s="1"/>
  <c r="C318" i="2"/>
  <c r="K318" i="2" s="1"/>
  <c r="C319" i="2"/>
  <c r="K319" i="2" s="1"/>
  <c r="C320" i="2"/>
  <c r="K320" i="2" s="1"/>
  <c r="C321" i="2"/>
  <c r="K321" i="2" s="1"/>
  <c r="C322" i="2"/>
  <c r="K322" i="2" s="1"/>
  <c r="C323" i="2"/>
  <c r="K323" i="2" s="1"/>
  <c r="C324" i="2"/>
  <c r="K324" i="2" s="1"/>
  <c r="C325" i="2"/>
  <c r="K325" i="2" s="1"/>
  <c r="C326" i="2"/>
  <c r="K326" i="2" s="1"/>
  <c r="C327" i="2"/>
  <c r="K327" i="2" s="1"/>
  <c r="C328" i="2"/>
  <c r="K328" i="2" s="1"/>
  <c r="C329" i="2"/>
  <c r="K329" i="2" s="1"/>
  <c r="C330" i="2"/>
  <c r="K330" i="2" s="1"/>
  <c r="C331" i="2"/>
  <c r="K331" i="2" s="1"/>
  <c r="C332" i="2"/>
  <c r="K332" i="2" s="1"/>
  <c r="C333" i="2"/>
  <c r="K333" i="2" s="1"/>
  <c r="C334" i="2"/>
  <c r="K334" i="2" s="1"/>
  <c r="C335" i="2"/>
  <c r="K335" i="2" s="1"/>
  <c r="C336" i="2"/>
  <c r="K336" i="2" s="1"/>
  <c r="C337" i="2"/>
  <c r="K337" i="2" s="1"/>
  <c r="C338" i="2"/>
  <c r="K338" i="2" s="1"/>
  <c r="C339" i="2"/>
  <c r="K339" i="2" s="1"/>
  <c r="C340" i="2"/>
  <c r="K340" i="2" s="1"/>
  <c r="C341" i="2"/>
  <c r="K341" i="2" s="1"/>
  <c r="C342" i="2"/>
  <c r="K342" i="2" s="1"/>
  <c r="C343" i="2"/>
  <c r="K343" i="2" s="1"/>
  <c r="C344" i="2"/>
  <c r="K344" i="2" s="1"/>
  <c r="C345" i="2"/>
  <c r="K345" i="2" s="1"/>
  <c r="C346" i="2"/>
  <c r="K346" i="2" s="1"/>
  <c r="C347" i="2"/>
  <c r="K347" i="2" s="1"/>
  <c r="C348" i="2"/>
  <c r="K348" i="2" s="1"/>
  <c r="C349" i="2"/>
  <c r="K349" i="2" s="1"/>
  <c r="C350" i="2"/>
  <c r="K350" i="2" s="1"/>
  <c r="C351" i="2"/>
  <c r="K351" i="2" s="1"/>
  <c r="C352" i="2"/>
  <c r="K352" i="2" s="1"/>
  <c r="C353" i="2"/>
  <c r="K353" i="2" s="1"/>
  <c r="C354" i="2"/>
  <c r="K354" i="2" s="1"/>
  <c r="C355" i="2"/>
  <c r="K355" i="2" s="1"/>
  <c r="C356" i="2"/>
  <c r="K356" i="2" s="1"/>
  <c r="C357" i="2"/>
  <c r="K357" i="2" s="1"/>
  <c r="C358" i="2"/>
  <c r="K358" i="2" s="1"/>
  <c r="C359" i="2"/>
  <c r="K359" i="2" s="1"/>
  <c r="C360" i="2"/>
  <c r="K360" i="2" s="1"/>
  <c r="C361" i="2"/>
  <c r="K361" i="2" s="1"/>
  <c r="C362" i="2"/>
  <c r="K362" i="2" s="1"/>
  <c r="C363" i="2"/>
  <c r="K363" i="2" s="1"/>
  <c r="C364" i="2"/>
  <c r="K364" i="2" s="1"/>
  <c r="C365" i="2"/>
  <c r="K365" i="2" s="1"/>
  <c r="C366" i="2"/>
  <c r="K366" i="2" s="1"/>
  <c r="C367" i="2"/>
  <c r="K367" i="2" s="1"/>
  <c r="C368" i="2"/>
  <c r="K368" i="2" s="1"/>
  <c r="C369" i="2"/>
  <c r="K369" i="2" s="1"/>
  <c r="C370" i="2"/>
  <c r="K370" i="2" s="1"/>
  <c r="C371" i="2"/>
  <c r="K371" i="2" s="1"/>
  <c r="C372" i="2"/>
  <c r="K372" i="2" s="1"/>
  <c r="C373" i="2"/>
  <c r="K373" i="2" s="1"/>
  <c r="C374" i="2"/>
  <c r="K374" i="2" s="1"/>
  <c r="C375" i="2"/>
  <c r="K375" i="2" s="1"/>
  <c r="C376" i="2"/>
  <c r="K376" i="2" s="1"/>
  <c r="C377" i="2"/>
  <c r="K377" i="2" s="1"/>
  <c r="C378" i="2"/>
  <c r="K378" i="2" s="1"/>
  <c r="C379" i="2"/>
  <c r="K379" i="2" s="1"/>
  <c r="C380" i="2"/>
  <c r="K380" i="2" s="1"/>
  <c r="C381" i="2"/>
  <c r="K381" i="2" s="1"/>
  <c r="C382" i="2"/>
  <c r="K382" i="2" s="1"/>
  <c r="C383" i="2"/>
  <c r="K383" i="2" s="1"/>
  <c r="C384" i="2"/>
  <c r="K384" i="2" s="1"/>
  <c r="C385" i="2"/>
  <c r="K385" i="2" s="1"/>
  <c r="C386" i="2"/>
  <c r="K386" i="2" s="1"/>
  <c r="C387" i="2"/>
  <c r="K387" i="2" s="1"/>
  <c r="C388" i="2"/>
  <c r="K388" i="2" s="1"/>
  <c r="C389" i="2"/>
  <c r="K389" i="2" s="1"/>
  <c r="C390" i="2"/>
  <c r="K390" i="2" s="1"/>
  <c r="C391" i="2"/>
  <c r="K391" i="2" s="1"/>
  <c r="C392" i="2"/>
  <c r="K392" i="2" s="1"/>
  <c r="C393" i="2"/>
  <c r="K393" i="2" s="1"/>
  <c r="C394" i="2"/>
  <c r="K394" i="2" s="1"/>
  <c r="C395" i="2"/>
  <c r="K395" i="2" s="1"/>
  <c r="C396" i="2"/>
  <c r="K396" i="2" s="1"/>
  <c r="C397" i="2"/>
  <c r="K397" i="2" s="1"/>
  <c r="C398" i="2"/>
  <c r="K398" i="2" s="1"/>
  <c r="C399" i="2"/>
  <c r="K399" i="2" s="1"/>
  <c r="C400" i="2"/>
  <c r="K400" i="2" s="1"/>
  <c r="C401" i="2"/>
  <c r="K401" i="2" s="1"/>
  <c r="C402" i="2"/>
  <c r="K402" i="2" s="1"/>
  <c r="C403" i="2"/>
  <c r="K403" i="2" s="1"/>
  <c r="C404" i="2"/>
  <c r="K404" i="2" s="1"/>
  <c r="C405" i="2"/>
  <c r="K405" i="2" s="1"/>
  <c r="C406" i="2"/>
  <c r="K406" i="2" s="1"/>
  <c r="C407" i="2"/>
  <c r="K407" i="2" s="1"/>
  <c r="C408" i="2"/>
  <c r="K408" i="2" s="1"/>
  <c r="C409" i="2"/>
  <c r="K409" i="2" s="1"/>
  <c r="C410" i="2"/>
  <c r="K410" i="2" s="1"/>
  <c r="C411" i="2"/>
  <c r="K411" i="2" s="1"/>
  <c r="C412" i="2"/>
  <c r="K412" i="2" s="1"/>
  <c r="C413" i="2"/>
  <c r="K413" i="2" s="1"/>
  <c r="C414" i="2"/>
  <c r="K414" i="2" s="1"/>
  <c r="C415" i="2"/>
  <c r="K415" i="2" s="1"/>
  <c r="C416" i="2"/>
  <c r="K416" i="2" s="1"/>
  <c r="C417" i="2"/>
  <c r="K417" i="2" s="1"/>
  <c r="C418" i="2"/>
  <c r="K418" i="2" s="1"/>
  <c r="C419" i="2"/>
  <c r="K419" i="2" s="1"/>
  <c r="C420" i="2"/>
  <c r="K420" i="2" s="1"/>
  <c r="C421" i="2"/>
  <c r="K421" i="2" s="1"/>
  <c r="C422" i="2"/>
  <c r="K422" i="2" s="1"/>
  <c r="C423" i="2"/>
  <c r="K423" i="2" s="1"/>
  <c r="C424" i="2"/>
  <c r="K424" i="2" s="1"/>
  <c r="C425" i="2"/>
  <c r="K425" i="2" s="1"/>
  <c r="C426" i="2"/>
  <c r="K426" i="2" s="1"/>
  <c r="C427" i="2"/>
  <c r="K427" i="2" s="1"/>
  <c r="C428" i="2"/>
  <c r="K428" i="2" s="1"/>
  <c r="C429" i="2"/>
  <c r="K429" i="2" s="1"/>
  <c r="C430" i="2"/>
  <c r="K430" i="2" s="1"/>
  <c r="C431" i="2"/>
  <c r="K431" i="2" s="1"/>
  <c r="C432" i="2"/>
  <c r="K432" i="2" s="1"/>
  <c r="C433" i="2"/>
  <c r="K433" i="2" s="1"/>
  <c r="C434" i="2"/>
  <c r="K434" i="2" s="1"/>
  <c r="C435" i="2"/>
  <c r="K435" i="2" s="1"/>
  <c r="C436" i="2"/>
  <c r="K436" i="2" s="1"/>
  <c r="C437" i="2"/>
  <c r="K437" i="2" s="1"/>
  <c r="C438" i="2"/>
  <c r="K438" i="2" s="1"/>
  <c r="C439" i="2"/>
  <c r="K439" i="2" s="1"/>
  <c r="C440" i="2"/>
  <c r="K440" i="2" s="1"/>
  <c r="C441" i="2"/>
  <c r="K441" i="2" s="1"/>
  <c r="C442" i="2"/>
  <c r="K442" i="2" s="1"/>
  <c r="C443" i="2"/>
  <c r="K443" i="2" s="1"/>
  <c r="C444" i="2"/>
  <c r="K444" i="2" s="1"/>
  <c r="C445" i="2"/>
  <c r="K445" i="2" s="1"/>
  <c r="C446" i="2"/>
  <c r="K446" i="2" s="1"/>
  <c r="C447" i="2"/>
  <c r="K447" i="2" s="1"/>
  <c r="C448" i="2"/>
  <c r="K448" i="2" s="1"/>
  <c r="C449" i="2"/>
  <c r="K449" i="2" s="1"/>
  <c r="C450" i="2"/>
  <c r="K450" i="2" s="1"/>
  <c r="C451" i="2"/>
  <c r="K451" i="2" s="1"/>
  <c r="C452" i="2"/>
  <c r="K452" i="2" s="1"/>
  <c r="C453" i="2"/>
  <c r="K453" i="2" s="1"/>
  <c r="C454" i="2"/>
  <c r="K454" i="2" s="1"/>
  <c r="C455" i="2"/>
  <c r="K455" i="2" s="1"/>
  <c r="C456" i="2"/>
  <c r="K456" i="2" s="1"/>
  <c r="C457" i="2"/>
  <c r="K457" i="2" s="1"/>
  <c r="C458" i="2"/>
  <c r="K458" i="2" s="1"/>
  <c r="C459" i="2"/>
  <c r="K459" i="2" s="1"/>
  <c r="C460" i="2"/>
  <c r="K460" i="2" s="1"/>
  <c r="C461" i="2"/>
  <c r="K461" i="2" s="1"/>
  <c r="C462" i="2"/>
  <c r="K462" i="2" s="1"/>
  <c r="C463" i="2"/>
  <c r="K463" i="2" s="1"/>
  <c r="C464" i="2"/>
  <c r="K464" i="2" s="1"/>
  <c r="C465" i="2"/>
  <c r="K465" i="2" s="1"/>
  <c r="C466" i="2"/>
  <c r="K466" i="2" s="1"/>
  <c r="C467" i="2"/>
  <c r="K467" i="2" s="1"/>
  <c r="C468" i="2"/>
  <c r="K468" i="2" s="1"/>
  <c r="C469" i="2"/>
  <c r="K469" i="2" s="1"/>
  <c r="C470" i="2"/>
  <c r="K470" i="2" s="1"/>
  <c r="C471" i="2"/>
  <c r="K471" i="2" s="1"/>
  <c r="C472" i="2"/>
  <c r="K472" i="2" s="1"/>
  <c r="C473" i="2"/>
  <c r="K473" i="2" s="1"/>
  <c r="C474" i="2"/>
  <c r="K474" i="2" s="1"/>
  <c r="C475" i="2"/>
  <c r="K475" i="2" s="1"/>
  <c r="C476" i="2"/>
  <c r="K476" i="2" s="1"/>
  <c r="C477" i="2"/>
  <c r="K477" i="2" s="1"/>
  <c r="C478" i="2"/>
  <c r="K478" i="2" s="1"/>
  <c r="C479" i="2"/>
  <c r="K479" i="2" s="1"/>
  <c r="C480" i="2"/>
  <c r="K480" i="2" s="1"/>
  <c r="C481" i="2"/>
  <c r="K481" i="2" s="1"/>
  <c r="C482" i="2"/>
  <c r="K482" i="2" s="1"/>
  <c r="C483" i="2"/>
  <c r="K483" i="2" s="1"/>
  <c r="C484" i="2"/>
  <c r="K484" i="2" s="1"/>
  <c r="C485" i="2"/>
  <c r="K485" i="2" s="1"/>
  <c r="C486" i="2"/>
  <c r="K486" i="2" s="1"/>
  <c r="C487" i="2"/>
  <c r="K487" i="2" s="1"/>
  <c r="C488" i="2"/>
  <c r="K488" i="2" s="1"/>
  <c r="C489" i="2"/>
  <c r="K489" i="2" s="1"/>
  <c r="C490" i="2"/>
  <c r="K490" i="2" s="1"/>
  <c r="C491" i="2"/>
  <c r="K491" i="2" s="1"/>
  <c r="C492" i="2"/>
  <c r="K492" i="2" s="1"/>
  <c r="C493" i="2"/>
  <c r="K493" i="2" s="1"/>
  <c r="C494" i="2"/>
  <c r="K494" i="2" s="1"/>
  <c r="C495" i="2"/>
  <c r="K495" i="2" s="1"/>
  <c r="C496" i="2"/>
  <c r="K496" i="2" s="1"/>
  <c r="C497" i="2"/>
  <c r="K497" i="2" s="1"/>
  <c r="C498" i="2"/>
  <c r="K498" i="2" s="1"/>
  <c r="C499" i="2"/>
  <c r="K499" i="2" s="1"/>
  <c r="C500" i="2"/>
  <c r="K500" i="2" s="1"/>
  <c r="C501" i="2"/>
  <c r="K501" i="2" s="1"/>
  <c r="C502" i="2"/>
  <c r="K502" i="2" s="1"/>
  <c r="C503" i="2"/>
  <c r="K503" i="2" s="1"/>
  <c r="C504" i="2"/>
  <c r="K504" i="2" s="1"/>
  <c r="C505" i="2"/>
  <c r="K505" i="2" s="1"/>
  <c r="C506" i="2"/>
  <c r="K506" i="2" s="1"/>
  <c r="C507" i="2"/>
  <c r="K507" i="2" s="1"/>
  <c r="C508" i="2"/>
  <c r="K508" i="2" s="1"/>
  <c r="C509" i="2"/>
  <c r="K509" i="2" s="1"/>
  <c r="C510" i="2"/>
  <c r="K510" i="2" s="1"/>
  <c r="C511" i="2"/>
  <c r="K511" i="2" s="1"/>
  <c r="C512" i="2"/>
  <c r="K512" i="2" s="1"/>
  <c r="C513" i="2"/>
  <c r="K513" i="2" s="1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169" i="2" l="1"/>
  <c r="L170" i="2"/>
  <c r="L172" i="2"/>
  <c r="L175" i="2"/>
  <c r="L177" i="2"/>
  <c r="L179" i="2"/>
  <c r="L181" i="2"/>
  <c r="L182" i="2"/>
  <c r="L185" i="2"/>
  <c r="L187" i="2"/>
  <c r="L189" i="2"/>
  <c r="L190" i="2"/>
  <c r="L192" i="2"/>
  <c r="L194" i="2"/>
  <c r="L168" i="2"/>
  <c r="P168" i="2" s="1"/>
  <c r="L171" i="2"/>
  <c r="P171" i="2" s="1"/>
  <c r="L173" i="2"/>
  <c r="L174" i="2"/>
  <c r="L176" i="2"/>
  <c r="L178" i="2"/>
  <c r="L180" i="2"/>
  <c r="L183" i="2"/>
  <c r="L184" i="2"/>
  <c r="L186" i="2"/>
  <c r="L188" i="2"/>
  <c r="L191" i="2"/>
  <c r="L193" i="2"/>
  <c r="L195" i="2"/>
  <c r="L53" i="2"/>
  <c r="P53" i="2" s="1"/>
  <c r="L54" i="2"/>
  <c r="P54" i="2" s="1"/>
  <c r="L55" i="2"/>
  <c r="P55" i="2" s="1"/>
  <c r="L56" i="2"/>
  <c r="P56" i="2" s="1"/>
  <c r="L57" i="2"/>
  <c r="P57" i="2" s="1"/>
  <c r="L58" i="2"/>
  <c r="P58" i="2" s="1"/>
  <c r="L59" i="2"/>
  <c r="P59" i="2" s="1"/>
  <c r="L60" i="2"/>
  <c r="P60" i="2" s="1"/>
  <c r="L61" i="2"/>
  <c r="P61" i="2" s="1"/>
  <c r="L62" i="2"/>
  <c r="P62" i="2" s="1"/>
  <c r="L63" i="2"/>
  <c r="P63" i="2" s="1"/>
  <c r="L64" i="2"/>
  <c r="P64" i="2" s="1"/>
  <c r="L65" i="2"/>
  <c r="P65" i="2" s="1"/>
  <c r="L66" i="2"/>
  <c r="P66" i="2" s="1"/>
  <c r="L67" i="2"/>
  <c r="P67" i="2" s="1"/>
  <c r="L69" i="2"/>
  <c r="P69" i="2" s="1"/>
  <c r="L70" i="2"/>
  <c r="P70" i="2" s="1"/>
  <c r="L71" i="2"/>
  <c r="P71" i="2" s="1"/>
  <c r="L73" i="2"/>
  <c r="P73" i="2" s="1"/>
  <c r="L74" i="2"/>
  <c r="P74" i="2" s="1"/>
  <c r="L76" i="2"/>
  <c r="P76" i="2" s="1"/>
  <c r="L78" i="2"/>
  <c r="P78" i="2" s="1"/>
  <c r="L81" i="2"/>
  <c r="P81" i="2" s="1"/>
  <c r="L83" i="2"/>
  <c r="P83" i="2" s="1"/>
  <c r="L85" i="2"/>
  <c r="P85" i="2" s="1"/>
  <c r="L87" i="2"/>
  <c r="P87" i="2" s="1"/>
  <c r="L89" i="2"/>
  <c r="P89" i="2" s="1"/>
  <c r="L91" i="2"/>
  <c r="P91" i="2" s="1"/>
  <c r="L93" i="2"/>
  <c r="P93" i="2" s="1"/>
  <c r="L95" i="2"/>
  <c r="P95" i="2" s="1"/>
  <c r="L97" i="2"/>
  <c r="P97" i="2" s="1"/>
  <c r="L99" i="2"/>
  <c r="P99" i="2" s="1"/>
  <c r="L101" i="2"/>
  <c r="P101" i="2" s="1"/>
  <c r="L103" i="2"/>
  <c r="P103" i="2" s="1"/>
  <c r="L104" i="2"/>
  <c r="P104" i="2" s="1"/>
  <c r="L106" i="2"/>
  <c r="P106" i="2" s="1"/>
  <c r="L109" i="2"/>
  <c r="P109" i="2" s="1"/>
  <c r="L111" i="2"/>
  <c r="P111" i="2" s="1"/>
  <c r="L113" i="2"/>
  <c r="P113" i="2" s="1"/>
  <c r="L115" i="2"/>
  <c r="P115" i="2" s="1"/>
  <c r="L117" i="2"/>
  <c r="P117" i="2" s="1"/>
  <c r="L119" i="2"/>
  <c r="P119" i="2" s="1"/>
  <c r="L123" i="2"/>
  <c r="P123" i="2" s="1"/>
  <c r="L126" i="2"/>
  <c r="P126" i="2" s="1"/>
  <c r="L129" i="2"/>
  <c r="P129" i="2" s="1"/>
  <c r="L132" i="2"/>
  <c r="P132" i="2" s="1"/>
  <c r="L135" i="2"/>
  <c r="P135" i="2" s="1"/>
  <c r="L138" i="2"/>
  <c r="P138" i="2" s="1"/>
  <c r="L142" i="2"/>
  <c r="P142" i="2" s="1"/>
  <c r="L145" i="2"/>
  <c r="P145" i="2" s="1"/>
  <c r="L148" i="2"/>
  <c r="P148" i="2" s="1"/>
  <c r="L151" i="2"/>
  <c r="P151" i="2" s="1"/>
  <c r="L156" i="2"/>
  <c r="P156" i="2" s="1"/>
  <c r="L159" i="2"/>
  <c r="P159" i="2" s="1"/>
  <c r="L162" i="2"/>
  <c r="P162" i="2" s="1"/>
  <c r="L166" i="2"/>
  <c r="P166" i="2" s="1"/>
  <c r="L196" i="2"/>
  <c r="P196" i="2" s="1"/>
  <c r="L198" i="2"/>
  <c r="P198" i="2" s="1"/>
  <c r="L202" i="2"/>
  <c r="P202" i="2" s="1"/>
  <c r="L205" i="2"/>
  <c r="P205" i="2" s="1"/>
  <c r="L207" i="2"/>
  <c r="P207" i="2" s="1"/>
  <c r="L210" i="2"/>
  <c r="P210" i="2" s="1"/>
  <c r="L213" i="2"/>
  <c r="P213" i="2" s="1"/>
  <c r="L216" i="2"/>
  <c r="P216" i="2" s="1"/>
  <c r="L219" i="2"/>
  <c r="P219" i="2" s="1"/>
  <c r="L221" i="2"/>
  <c r="P221" i="2" s="1"/>
  <c r="L224" i="2"/>
  <c r="P224" i="2" s="1"/>
  <c r="L227" i="2"/>
  <c r="P227" i="2" s="1"/>
  <c r="L232" i="2"/>
  <c r="P232" i="2" s="1"/>
  <c r="L234" i="2"/>
  <c r="P234" i="2" s="1"/>
  <c r="L237" i="2"/>
  <c r="P237" i="2" s="1"/>
  <c r="L241" i="2"/>
  <c r="P241" i="2" s="1"/>
  <c r="L244" i="2"/>
  <c r="P244" i="2" s="1"/>
  <c r="L248" i="2"/>
  <c r="P248" i="2" s="1"/>
  <c r="L251" i="2"/>
  <c r="P251" i="2" s="1"/>
  <c r="L254" i="2"/>
  <c r="P254" i="2" s="1"/>
  <c r="L258" i="2"/>
  <c r="P258" i="2" s="1"/>
  <c r="L261" i="2"/>
  <c r="P261" i="2" s="1"/>
  <c r="L264" i="2"/>
  <c r="P264" i="2" s="1"/>
  <c r="L267" i="2"/>
  <c r="P267" i="2" s="1"/>
  <c r="L270" i="2"/>
  <c r="P270" i="2" s="1"/>
  <c r="L273" i="2"/>
  <c r="P273" i="2" s="1"/>
  <c r="L277" i="2"/>
  <c r="P277" i="2" s="1"/>
  <c r="L280" i="2"/>
  <c r="P280" i="2" s="1"/>
  <c r="L282" i="2"/>
  <c r="P282" i="2" s="1"/>
  <c r="L285" i="2"/>
  <c r="P285" i="2" s="1"/>
  <c r="L296" i="2"/>
  <c r="P296" i="2" s="1"/>
  <c r="L299" i="2"/>
  <c r="P299" i="2" s="1"/>
  <c r="L302" i="2"/>
  <c r="P302" i="2" s="1"/>
  <c r="L305" i="2"/>
  <c r="P305" i="2" s="1"/>
  <c r="L310" i="2"/>
  <c r="P310" i="2" s="1"/>
  <c r="L313" i="2"/>
  <c r="P313" i="2" s="1"/>
  <c r="L316" i="2"/>
  <c r="P316" i="2" s="1"/>
  <c r="L319" i="2"/>
  <c r="P319" i="2" s="1"/>
  <c r="L322" i="2"/>
  <c r="P322" i="2" s="1"/>
  <c r="L324" i="2"/>
  <c r="P324" i="2" s="1"/>
  <c r="L326" i="2"/>
  <c r="P326" i="2" s="1"/>
  <c r="L328" i="2"/>
  <c r="P328" i="2" s="1"/>
  <c r="L330" i="2"/>
  <c r="P330" i="2" s="1"/>
  <c r="L333" i="2"/>
  <c r="P333" i="2" s="1"/>
  <c r="L335" i="2"/>
  <c r="P335" i="2" s="1"/>
  <c r="L338" i="2"/>
  <c r="P338" i="2" s="1"/>
  <c r="L341" i="2"/>
  <c r="P341" i="2" s="1"/>
  <c r="L344" i="2"/>
  <c r="P344" i="2" s="1"/>
  <c r="L347" i="2"/>
  <c r="P347" i="2" s="1"/>
  <c r="L350" i="2"/>
  <c r="P350" i="2" s="1"/>
  <c r="L353" i="2"/>
  <c r="P353" i="2" s="1"/>
  <c r="L357" i="2"/>
  <c r="P357" i="2" s="1"/>
  <c r="L360" i="2"/>
  <c r="P360" i="2" s="1"/>
  <c r="L363" i="2"/>
  <c r="P363" i="2" s="1"/>
  <c r="L366" i="2"/>
  <c r="P366" i="2" s="1"/>
  <c r="L369" i="2"/>
  <c r="P369" i="2" s="1"/>
  <c r="L373" i="2"/>
  <c r="P373" i="2" s="1"/>
  <c r="L376" i="2"/>
  <c r="P376" i="2" s="1"/>
  <c r="L378" i="2"/>
  <c r="P378" i="2" s="1"/>
  <c r="L381" i="2"/>
  <c r="P381" i="2" s="1"/>
  <c r="L384" i="2"/>
  <c r="P384" i="2" s="1"/>
  <c r="L387" i="2"/>
  <c r="P387" i="2" s="1"/>
  <c r="L390" i="2"/>
  <c r="P390" i="2" s="1"/>
  <c r="L393" i="2"/>
  <c r="P393" i="2" s="1"/>
  <c r="L395" i="2"/>
  <c r="P395" i="2" s="1"/>
  <c r="L397" i="2"/>
  <c r="P397" i="2" s="1"/>
  <c r="L399" i="2"/>
  <c r="P399" i="2" s="1"/>
  <c r="L402" i="2"/>
  <c r="P402" i="2" s="1"/>
  <c r="L405" i="2"/>
  <c r="P405" i="2" s="1"/>
  <c r="L408" i="2"/>
  <c r="P408" i="2" s="1"/>
  <c r="L411" i="2"/>
  <c r="P411" i="2" s="1"/>
  <c r="L415" i="2"/>
  <c r="P415" i="2" s="1"/>
  <c r="L418" i="2"/>
  <c r="P418" i="2" s="1"/>
  <c r="L422" i="2"/>
  <c r="P422" i="2" s="1"/>
  <c r="L425" i="2"/>
  <c r="P425" i="2" s="1"/>
  <c r="L428" i="2"/>
  <c r="P428" i="2" s="1"/>
  <c r="L431" i="2"/>
  <c r="P431" i="2" s="1"/>
  <c r="L435" i="2"/>
  <c r="P435" i="2" s="1"/>
  <c r="L437" i="2"/>
  <c r="P437" i="2" s="1"/>
  <c r="L440" i="2"/>
  <c r="P440" i="2" s="1"/>
  <c r="L445" i="2"/>
  <c r="P445" i="2" s="1"/>
  <c r="L448" i="2"/>
  <c r="P448" i="2" s="1"/>
  <c r="L451" i="2"/>
  <c r="P451" i="2" s="1"/>
  <c r="L454" i="2"/>
  <c r="P454" i="2" s="1"/>
  <c r="L457" i="2"/>
  <c r="P457" i="2" s="1"/>
  <c r="L107" i="2"/>
  <c r="P107" i="2" s="1"/>
  <c r="L121" i="2"/>
  <c r="P121" i="2" s="1"/>
  <c r="L124" i="2"/>
  <c r="P124" i="2" s="1"/>
  <c r="L128" i="2"/>
  <c r="P128" i="2" s="1"/>
  <c r="L130" i="2"/>
  <c r="P130" i="2" s="1"/>
  <c r="L134" i="2"/>
  <c r="P134" i="2" s="1"/>
  <c r="L137" i="2"/>
  <c r="P137" i="2" s="1"/>
  <c r="L140" i="2"/>
  <c r="P140" i="2" s="1"/>
  <c r="L143" i="2"/>
  <c r="P143" i="2" s="1"/>
  <c r="L146" i="2"/>
  <c r="P146" i="2" s="1"/>
  <c r="L149" i="2"/>
  <c r="P149" i="2" s="1"/>
  <c r="L152" i="2"/>
  <c r="P152" i="2" s="1"/>
  <c r="L154" i="2"/>
  <c r="P154" i="2" s="1"/>
  <c r="L158" i="2"/>
  <c r="P158" i="2" s="1"/>
  <c r="L161" i="2"/>
  <c r="P161" i="2" s="1"/>
  <c r="L164" i="2"/>
  <c r="P164" i="2" s="1"/>
  <c r="L167" i="2"/>
  <c r="P167" i="2" s="1"/>
  <c r="L200" i="2"/>
  <c r="P200" i="2" s="1"/>
  <c r="L203" i="2"/>
  <c r="P203" i="2" s="1"/>
  <c r="L206" i="2"/>
  <c r="P206" i="2" s="1"/>
  <c r="L208" i="2"/>
  <c r="P208" i="2" s="1"/>
  <c r="L211" i="2"/>
  <c r="P211" i="2" s="1"/>
  <c r="L214" i="2"/>
  <c r="P214" i="2" s="1"/>
  <c r="L217" i="2"/>
  <c r="P217" i="2" s="1"/>
  <c r="L220" i="2"/>
  <c r="P220" i="2" s="1"/>
  <c r="L225" i="2"/>
  <c r="P225" i="2" s="1"/>
  <c r="L228" i="2"/>
  <c r="P228" i="2" s="1"/>
  <c r="L230" i="2"/>
  <c r="P230" i="2" s="1"/>
  <c r="L233" i="2"/>
  <c r="P233" i="2" s="1"/>
  <c r="L236" i="2"/>
  <c r="P236" i="2" s="1"/>
  <c r="L239" i="2"/>
  <c r="P239" i="2" s="1"/>
  <c r="L242" i="2"/>
  <c r="P242" i="2" s="1"/>
  <c r="L245" i="2"/>
  <c r="P245" i="2" s="1"/>
  <c r="L247" i="2"/>
  <c r="P247" i="2" s="1"/>
  <c r="L250" i="2"/>
  <c r="P250" i="2" s="1"/>
  <c r="L253" i="2"/>
  <c r="P253" i="2" s="1"/>
  <c r="L256" i="2"/>
  <c r="P256" i="2" s="1"/>
  <c r="L260" i="2"/>
  <c r="P260" i="2" s="1"/>
  <c r="L263" i="2"/>
  <c r="P263" i="2" s="1"/>
  <c r="L266" i="2"/>
  <c r="P266" i="2" s="1"/>
  <c r="L269" i="2"/>
  <c r="P269" i="2" s="1"/>
  <c r="L271" i="2"/>
  <c r="P271" i="2" s="1"/>
  <c r="L274" i="2"/>
  <c r="P274" i="2" s="1"/>
  <c r="L276" i="2"/>
  <c r="P276" i="2" s="1"/>
  <c r="L279" i="2"/>
  <c r="P279" i="2" s="1"/>
  <c r="L284" i="2"/>
  <c r="P284" i="2" s="1"/>
  <c r="L286" i="2"/>
  <c r="P286" i="2" s="1"/>
  <c r="L288" i="2"/>
  <c r="P288" i="2" s="1"/>
  <c r="L290" i="2"/>
  <c r="P290" i="2" s="1"/>
  <c r="L292" i="2"/>
  <c r="P292" i="2" s="1"/>
  <c r="L295" i="2"/>
  <c r="P295" i="2" s="1"/>
  <c r="L298" i="2"/>
  <c r="P298" i="2" s="1"/>
  <c r="L301" i="2"/>
  <c r="P301" i="2" s="1"/>
  <c r="L304" i="2"/>
  <c r="P304" i="2" s="1"/>
  <c r="L307" i="2"/>
  <c r="P307" i="2" s="1"/>
  <c r="L309" i="2"/>
  <c r="P309" i="2" s="1"/>
  <c r="L312" i="2"/>
  <c r="P312" i="2" s="1"/>
  <c r="L315" i="2"/>
  <c r="P315" i="2" s="1"/>
  <c r="L318" i="2"/>
  <c r="P318" i="2" s="1"/>
  <c r="L321" i="2"/>
  <c r="P321" i="2" s="1"/>
  <c r="L323" i="2"/>
  <c r="P323" i="2" s="1"/>
  <c r="L325" i="2"/>
  <c r="P325" i="2" s="1"/>
  <c r="L327" i="2"/>
  <c r="P327" i="2" s="1"/>
  <c r="L329" i="2"/>
  <c r="P329" i="2" s="1"/>
  <c r="L331" i="2"/>
  <c r="P331" i="2" s="1"/>
  <c r="L334" i="2"/>
  <c r="P334" i="2" s="1"/>
  <c r="L337" i="2"/>
  <c r="P337" i="2" s="1"/>
  <c r="L340" i="2"/>
  <c r="P340" i="2" s="1"/>
  <c r="L343" i="2"/>
  <c r="P343" i="2" s="1"/>
  <c r="L346" i="2"/>
  <c r="P346" i="2" s="1"/>
  <c r="L349" i="2"/>
  <c r="P349" i="2" s="1"/>
  <c r="L352" i="2"/>
  <c r="P352" i="2" s="1"/>
  <c r="L355" i="2"/>
  <c r="P355" i="2" s="1"/>
  <c r="L358" i="2"/>
  <c r="P358" i="2" s="1"/>
  <c r="L361" i="2"/>
  <c r="P361" i="2" s="1"/>
  <c r="L364" i="2"/>
  <c r="P364" i="2" s="1"/>
  <c r="L367" i="2"/>
  <c r="P367" i="2" s="1"/>
  <c r="L370" i="2"/>
  <c r="P370" i="2" s="1"/>
  <c r="L372" i="2"/>
  <c r="P372" i="2" s="1"/>
  <c r="L374" i="2"/>
  <c r="P374" i="2" s="1"/>
  <c r="L377" i="2"/>
  <c r="P377" i="2" s="1"/>
  <c r="L380" i="2"/>
  <c r="P380" i="2" s="1"/>
  <c r="L383" i="2"/>
  <c r="P383" i="2" s="1"/>
  <c r="L386" i="2"/>
  <c r="P386" i="2" s="1"/>
  <c r="L389" i="2"/>
  <c r="P389" i="2" s="1"/>
  <c r="L392" i="2"/>
  <c r="P392" i="2" s="1"/>
  <c r="L400" i="2"/>
  <c r="P400" i="2" s="1"/>
  <c r="L404" i="2"/>
  <c r="P404" i="2" s="1"/>
  <c r="L407" i="2"/>
  <c r="P407" i="2" s="1"/>
  <c r="L410" i="2"/>
  <c r="P410" i="2" s="1"/>
  <c r="L413" i="2"/>
  <c r="P413" i="2" s="1"/>
  <c r="L416" i="2"/>
  <c r="P416" i="2" s="1"/>
  <c r="L419" i="2"/>
  <c r="P419" i="2" s="1"/>
  <c r="L421" i="2"/>
  <c r="P421" i="2" s="1"/>
  <c r="L424" i="2"/>
  <c r="P424" i="2" s="1"/>
  <c r="L427" i="2"/>
  <c r="P427" i="2" s="1"/>
  <c r="L430" i="2"/>
  <c r="P430" i="2" s="1"/>
  <c r="L433" i="2"/>
  <c r="P433" i="2" s="1"/>
  <c r="L436" i="2"/>
  <c r="P436" i="2" s="1"/>
  <c r="L438" i="2"/>
  <c r="P438" i="2" s="1"/>
  <c r="L441" i="2"/>
  <c r="P441" i="2" s="1"/>
  <c r="L444" i="2"/>
  <c r="P444" i="2" s="1"/>
  <c r="L446" i="2"/>
  <c r="P446" i="2" s="1"/>
  <c r="L450" i="2"/>
  <c r="P450" i="2" s="1"/>
  <c r="L453" i="2"/>
  <c r="P453" i="2" s="1"/>
  <c r="L456" i="2"/>
  <c r="P456" i="2" s="1"/>
  <c r="L459" i="2"/>
  <c r="P459" i="2" s="1"/>
  <c r="L460" i="2"/>
  <c r="P460" i="2" s="1"/>
  <c r="L461" i="2"/>
  <c r="P461" i="2" s="1"/>
  <c r="L462" i="2"/>
  <c r="P462" i="2" s="1"/>
  <c r="L463" i="2"/>
  <c r="P463" i="2" s="1"/>
  <c r="L464" i="2"/>
  <c r="P464" i="2" s="1"/>
  <c r="L465" i="2"/>
  <c r="P465" i="2" s="1"/>
  <c r="L466" i="2"/>
  <c r="P466" i="2" s="1"/>
  <c r="L467" i="2"/>
  <c r="P467" i="2" s="1"/>
  <c r="L468" i="2"/>
  <c r="P468" i="2" s="1"/>
  <c r="L469" i="2"/>
  <c r="P469" i="2" s="1"/>
  <c r="L470" i="2"/>
  <c r="P470" i="2" s="1"/>
  <c r="L471" i="2"/>
  <c r="P471" i="2" s="1"/>
  <c r="L472" i="2"/>
  <c r="P472" i="2" s="1"/>
  <c r="L473" i="2"/>
  <c r="P473" i="2" s="1"/>
  <c r="L474" i="2"/>
  <c r="P474" i="2" s="1"/>
  <c r="L475" i="2"/>
  <c r="P475" i="2" s="1"/>
  <c r="L476" i="2"/>
  <c r="P476" i="2" s="1"/>
  <c r="L477" i="2"/>
  <c r="P477" i="2" s="1"/>
  <c r="L478" i="2"/>
  <c r="P478" i="2" s="1"/>
  <c r="L479" i="2"/>
  <c r="P479" i="2" s="1"/>
  <c r="L480" i="2"/>
  <c r="P480" i="2" s="1"/>
  <c r="L481" i="2"/>
  <c r="P481" i="2" s="1"/>
  <c r="L482" i="2"/>
  <c r="P482" i="2" s="1"/>
  <c r="L483" i="2"/>
  <c r="P483" i="2" s="1"/>
  <c r="L484" i="2"/>
  <c r="P484" i="2" s="1"/>
  <c r="L485" i="2"/>
  <c r="P485" i="2" s="1"/>
  <c r="L486" i="2"/>
  <c r="P486" i="2" s="1"/>
  <c r="L487" i="2"/>
  <c r="P487" i="2" s="1"/>
  <c r="L488" i="2"/>
  <c r="P488" i="2" s="1"/>
  <c r="L489" i="2"/>
  <c r="P489" i="2" s="1"/>
  <c r="L490" i="2"/>
  <c r="P490" i="2" s="1"/>
  <c r="L491" i="2"/>
  <c r="P491" i="2" s="1"/>
  <c r="L492" i="2"/>
  <c r="P492" i="2" s="1"/>
  <c r="L493" i="2"/>
  <c r="P493" i="2" s="1"/>
  <c r="L494" i="2"/>
  <c r="P494" i="2" s="1"/>
  <c r="L495" i="2"/>
  <c r="P495" i="2" s="1"/>
  <c r="L496" i="2"/>
  <c r="P496" i="2" s="1"/>
  <c r="L497" i="2"/>
  <c r="P497" i="2" s="1"/>
  <c r="L498" i="2"/>
  <c r="P498" i="2" s="1"/>
  <c r="L499" i="2"/>
  <c r="P499" i="2" s="1"/>
  <c r="L500" i="2"/>
  <c r="P500" i="2" s="1"/>
  <c r="L501" i="2"/>
  <c r="P501" i="2" s="1"/>
  <c r="L502" i="2"/>
  <c r="P502" i="2" s="1"/>
  <c r="L503" i="2"/>
  <c r="P503" i="2" s="1"/>
  <c r="L504" i="2"/>
  <c r="P504" i="2" s="1"/>
  <c r="L505" i="2"/>
  <c r="P505" i="2" s="1"/>
  <c r="L506" i="2"/>
  <c r="P506" i="2" s="1"/>
  <c r="L507" i="2"/>
  <c r="P507" i="2" s="1"/>
  <c r="L508" i="2"/>
  <c r="P508" i="2" s="1"/>
  <c r="L509" i="2"/>
  <c r="P509" i="2" s="1"/>
  <c r="L510" i="2"/>
  <c r="P510" i="2" s="1"/>
  <c r="L511" i="2"/>
  <c r="P511" i="2" s="1"/>
  <c r="L512" i="2"/>
  <c r="P512" i="2" s="1"/>
  <c r="L513" i="2"/>
  <c r="P513" i="2" s="1"/>
  <c r="L514" i="2"/>
  <c r="P514" i="2" s="1"/>
  <c r="L515" i="2"/>
  <c r="P515" i="2" s="1"/>
  <c r="L516" i="2"/>
  <c r="P516" i="2" s="1"/>
  <c r="L517" i="2"/>
  <c r="P517" i="2" s="1"/>
  <c r="L518" i="2"/>
  <c r="P518" i="2" s="1"/>
  <c r="L519" i="2"/>
  <c r="P519" i="2" s="1"/>
  <c r="L520" i="2"/>
  <c r="P520" i="2" s="1"/>
  <c r="L521" i="2"/>
  <c r="P521" i="2" s="1"/>
  <c r="L522" i="2"/>
  <c r="P522" i="2" s="1"/>
  <c r="L523" i="2"/>
  <c r="P523" i="2" s="1"/>
  <c r="L524" i="2"/>
  <c r="P524" i="2" s="1"/>
  <c r="L525" i="2"/>
  <c r="P525" i="2" s="1"/>
  <c r="L526" i="2"/>
  <c r="P526" i="2" s="1"/>
  <c r="L527" i="2"/>
  <c r="P527" i="2" s="1"/>
  <c r="L528" i="2"/>
  <c r="P528" i="2" s="1"/>
  <c r="L529" i="2"/>
  <c r="P529" i="2" s="1"/>
  <c r="L530" i="2"/>
  <c r="P530" i="2" s="1"/>
  <c r="L531" i="2"/>
  <c r="P531" i="2" s="1"/>
  <c r="L532" i="2"/>
  <c r="P532" i="2" s="1"/>
  <c r="L533" i="2"/>
  <c r="P533" i="2" s="1"/>
  <c r="L534" i="2"/>
  <c r="P534" i="2" s="1"/>
  <c r="L535" i="2"/>
  <c r="P535" i="2" s="1"/>
  <c r="L536" i="2"/>
  <c r="P536" i="2" s="1"/>
  <c r="L537" i="2"/>
  <c r="P537" i="2" s="1"/>
  <c r="L538" i="2"/>
  <c r="P538" i="2" s="1"/>
  <c r="L539" i="2"/>
  <c r="P539" i="2" s="1"/>
  <c r="L540" i="2"/>
  <c r="P540" i="2" s="1"/>
  <c r="L541" i="2"/>
  <c r="P541" i="2" s="1"/>
  <c r="L542" i="2"/>
  <c r="P542" i="2" s="1"/>
  <c r="L543" i="2"/>
  <c r="P543" i="2" s="1"/>
  <c r="L544" i="2"/>
  <c r="P544" i="2" s="1"/>
  <c r="L545" i="2"/>
  <c r="P545" i="2" s="1"/>
  <c r="L546" i="2"/>
  <c r="P546" i="2" s="1"/>
  <c r="L547" i="2"/>
  <c r="P547" i="2" s="1"/>
  <c r="L548" i="2"/>
  <c r="P548" i="2" s="1"/>
  <c r="L549" i="2"/>
  <c r="P549" i="2" s="1"/>
  <c r="L550" i="2"/>
  <c r="P550" i="2" s="1"/>
  <c r="L551" i="2"/>
  <c r="P551" i="2" s="1"/>
  <c r="L552" i="2"/>
  <c r="P552" i="2" s="1"/>
  <c r="L553" i="2"/>
  <c r="P553" i="2" s="1"/>
  <c r="L554" i="2"/>
  <c r="P554" i="2" s="1"/>
  <c r="L555" i="2"/>
  <c r="P555" i="2" s="1"/>
  <c r="L556" i="2"/>
  <c r="P556" i="2" s="1"/>
  <c r="L557" i="2"/>
  <c r="P557" i="2" s="1"/>
  <c r="L558" i="2"/>
  <c r="P558" i="2" s="1"/>
  <c r="L559" i="2"/>
  <c r="P559" i="2" s="1"/>
  <c r="L560" i="2"/>
  <c r="P560" i="2" s="1"/>
  <c r="L561" i="2"/>
  <c r="P561" i="2" s="1"/>
  <c r="L562" i="2"/>
  <c r="P562" i="2" s="1"/>
  <c r="L563" i="2"/>
  <c r="P563" i="2" s="1"/>
  <c r="L564" i="2"/>
  <c r="P564" i="2" s="1"/>
  <c r="L565" i="2"/>
  <c r="P565" i="2" s="1"/>
  <c r="L566" i="2"/>
  <c r="P566" i="2" s="1"/>
  <c r="L567" i="2"/>
  <c r="P567" i="2" s="1"/>
  <c r="L568" i="2"/>
  <c r="P568" i="2" s="1"/>
  <c r="L569" i="2"/>
  <c r="P569" i="2" s="1"/>
  <c r="L570" i="2"/>
  <c r="P570" i="2" s="1"/>
  <c r="L571" i="2"/>
  <c r="P571" i="2" s="1"/>
  <c r="L572" i="2"/>
  <c r="P572" i="2" s="1"/>
  <c r="L573" i="2"/>
  <c r="P573" i="2" s="1"/>
  <c r="L574" i="2"/>
  <c r="P574" i="2" s="1"/>
  <c r="L575" i="2"/>
  <c r="P575" i="2" s="1"/>
  <c r="L576" i="2"/>
  <c r="P576" i="2" s="1"/>
  <c r="L577" i="2"/>
  <c r="P577" i="2" s="1"/>
  <c r="L578" i="2"/>
  <c r="P578" i="2" s="1"/>
  <c r="L579" i="2"/>
  <c r="P579" i="2" s="1"/>
  <c r="L580" i="2"/>
  <c r="P580" i="2" s="1"/>
  <c r="L581" i="2"/>
  <c r="P581" i="2" s="1"/>
  <c r="L582" i="2"/>
  <c r="P582" i="2" s="1"/>
  <c r="L583" i="2"/>
  <c r="P583" i="2" s="1"/>
  <c r="L584" i="2"/>
  <c r="P584" i="2" s="1"/>
  <c r="L585" i="2"/>
  <c r="P585" i="2" s="1"/>
  <c r="L586" i="2"/>
  <c r="P586" i="2" s="1"/>
  <c r="L587" i="2"/>
  <c r="P587" i="2" s="1"/>
  <c r="L588" i="2"/>
  <c r="P588" i="2" s="1"/>
  <c r="L589" i="2"/>
  <c r="P589" i="2" s="1"/>
  <c r="L590" i="2"/>
  <c r="P590" i="2" s="1"/>
  <c r="L591" i="2"/>
  <c r="P591" i="2" s="1"/>
  <c r="P169" i="2"/>
  <c r="P170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L68" i="2"/>
  <c r="P68" i="2" s="1"/>
  <c r="L72" i="2"/>
  <c r="P72" i="2" s="1"/>
  <c r="L75" i="2"/>
  <c r="P75" i="2" s="1"/>
  <c r="L77" i="2"/>
  <c r="P77" i="2" s="1"/>
  <c r="L80" i="2"/>
  <c r="P80" i="2" s="1"/>
  <c r="L82" i="2"/>
  <c r="P82" i="2" s="1"/>
  <c r="L84" i="2"/>
  <c r="P84" i="2" s="1"/>
  <c r="L86" i="2"/>
  <c r="P86" i="2" s="1"/>
  <c r="L88" i="2"/>
  <c r="P88" i="2" s="1"/>
  <c r="L90" i="2"/>
  <c r="P90" i="2" s="1"/>
  <c r="L92" i="2"/>
  <c r="P92" i="2" s="1"/>
  <c r="L94" i="2"/>
  <c r="P94" i="2" s="1"/>
  <c r="L96" i="2"/>
  <c r="P96" i="2" s="1"/>
  <c r="L98" i="2"/>
  <c r="P98" i="2" s="1"/>
  <c r="L100" i="2"/>
  <c r="P100" i="2" s="1"/>
  <c r="L102" i="2"/>
  <c r="P102" i="2" s="1"/>
  <c r="L105" i="2"/>
  <c r="P105" i="2" s="1"/>
  <c r="L108" i="2"/>
  <c r="P108" i="2" s="1"/>
  <c r="L110" i="2"/>
  <c r="P110" i="2" s="1"/>
  <c r="L112" i="2"/>
  <c r="P112" i="2" s="1"/>
  <c r="L114" i="2"/>
  <c r="P114" i="2" s="1"/>
  <c r="L116" i="2"/>
  <c r="P116" i="2" s="1"/>
  <c r="L118" i="2"/>
  <c r="P118" i="2" s="1"/>
  <c r="L120" i="2"/>
  <c r="P120" i="2" s="1"/>
  <c r="L122" i="2"/>
  <c r="P122" i="2" s="1"/>
  <c r="L125" i="2"/>
  <c r="P125" i="2" s="1"/>
  <c r="L127" i="2"/>
  <c r="P127" i="2" s="1"/>
  <c r="L131" i="2"/>
  <c r="P131" i="2" s="1"/>
  <c r="L133" i="2"/>
  <c r="P133" i="2" s="1"/>
  <c r="L136" i="2"/>
  <c r="P136" i="2" s="1"/>
  <c r="L139" i="2"/>
  <c r="P139" i="2" s="1"/>
  <c r="L141" i="2"/>
  <c r="P141" i="2" s="1"/>
  <c r="L144" i="2"/>
  <c r="P144" i="2" s="1"/>
  <c r="L147" i="2"/>
  <c r="P147" i="2" s="1"/>
  <c r="L150" i="2"/>
  <c r="P150" i="2" s="1"/>
  <c r="L153" i="2"/>
  <c r="P153" i="2" s="1"/>
  <c r="L155" i="2"/>
  <c r="P155" i="2" s="1"/>
  <c r="L157" i="2"/>
  <c r="P157" i="2" s="1"/>
  <c r="L160" i="2"/>
  <c r="P160" i="2" s="1"/>
  <c r="L163" i="2"/>
  <c r="P163" i="2" s="1"/>
  <c r="L165" i="2"/>
  <c r="P165" i="2" s="1"/>
  <c r="L197" i="2"/>
  <c r="P197" i="2" s="1"/>
  <c r="L199" i="2"/>
  <c r="P199" i="2" s="1"/>
  <c r="L201" i="2"/>
  <c r="P201" i="2" s="1"/>
  <c r="L204" i="2"/>
  <c r="P204" i="2" s="1"/>
  <c r="L209" i="2"/>
  <c r="P209" i="2" s="1"/>
  <c r="L212" i="2"/>
  <c r="P212" i="2" s="1"/>
  <c r="L215" i="2"/>
  <c r="P215" i="2" s="1"/>
  <c r="L218" i="2"/>
  <c r="P218" i="2" s="1"/>
  <c r="L222" i="2"/>
  <c r="P222" i="2" s="1"/>
  <c r="L223" i="2"/>
  <c r="P223" i="2" s="1"/>
  <c r="L226" i="2"/>
  <c r="P226" i="2" s="1"/>
  <c r="L229" i="2"/>
  <c r="P229" i="2" s="1"/>
  <c r="L231" i="2"/>
  <c r="P231" i="2" s="1"/>
  <c r="L235" i="2"/>
  <c r="P235" i="2" s="1"/>
  <c r="L238" i="2"/>
  <c r="P238" i="2" s="1"/>
  <c r="L240" i="2"/>
  <c r="P240" i="2" s="1"/>
  <c r="L243" i="2"/>
  <c r="P243" i="2" s="1"/>
  <c r="L246" i="2"/>
  <c r="P246" i="2" s="1"/>
  <c r="L249" i="2"/>
  <c r="P249" i="2" s="1"/>
  <c r="L252" i="2"/>
  <c r="P252" i="2" s="1"/>
  <c r="L255" i="2"/>
  <c r="P255" i="2" s="1"/>
  <c r="L257" i="2"/>
  <c r="P257" i="2" s="1"/>
  <c r="L259" i="2"/>
  <c r="P259" i="2" s="1"/>
  <c r="L262" i="2"/>
  <c r="P262" i="2" s="1"/>
  <c r="L265" i="2"/>
  <c r="P265" i="2" s="1"/>
  <c r="L268" i="2"/>
  <c r="P268" i="2" s="1"/>
  <c r="L272" i="2"/>
  <c r="P272" i="2" s="1"/>
  <c r="L275" i="2"/>
  <c r="P275" i="2" s="1"/>
  <c r="L278" i="2"/>
  <c r="P278" i="2" s="1"/>
  <c r="L281" i="2"/>
  <c r="P281" i="2" s="1"/>
  <c r="L283" i="2"/>
  <c r="P283" i="2" s="1"/>
  <c r="L287" i="2"/>
  <c r="P287" i="2" s="1"/>
  <c r="L289" i="2"/>
  <c r="P289" i="2" s="1"/>
  <c r="L291" i="2"/>
  <c r="P291" i="2" s="1"/>
  <c r="L293" i="2"/>
  <c r="P293" i="2" s="1"/>
  <c r="L294" i="2"/>
  <c r="P294" i="2" s="1"/>
  <c r="L297" i="2"/>
  <c r="P297" i="2" s="1"/>
  <c r="L300" i="2"/>
  <c r="P300" i="2" s="1"/>
  <c r="L303" i="2"/>
  <c r="P303" i="2" s="1"/>
  <c r="L306" i="2"/>
  <c r="P306" i="2" s="1"/>
  <c r="L308" i="2"/>
  <c r="P308" i="2" s="1"/>
  <c r="L311" i="2"/>
  <c r="P311" i="2" s="1"/>
  <c r="L314" i="2"/>
  <c r="P314" i="2" s="1"/>
  <c r="L317" i="2"/>
  <c r="P317" i="2" s="1"/>
  <c r="L320" i="2"/>
  <c r="P320" i="2" s="1"/>
  <c r="L332" i="2"/>
  <c r="P332" i="2" s="1"/>
  <c r="L336" i="2"/>
  <c r="P336" i="2" s="1"/>
  <c r="L339" i="2"/>
  <c r="P339" i="2" s="1"/>
  <c r="L342" i="2"/>
  <c r="P342" i="2" s="1"/>
  <c r="L345" i="2"/>
  <c r="P345" i="2" s="1"/>
  <c r="L348" i="2"/>
  <c r="P348" i="2" s="1"/>
  <c r="L351" i="2"/>
  <c r="P351" i="2" s="1"/>
  <c r="L354" i="2"/>
  <c r="P354" i="2" s="1"/>
  <c r="L356" i="2"/>
  <c r="P356" i="2" s="1"/>
  <c r="L359" i="2"/>
  <c r="P359" i="2" s="1"/>
  <c r="L362" i="2"/>
  <c r="P362" i="2" s="1"/>
  <c r="L365" i="2"/>
  <c r="P365" i="2" s="1"/>
  <c r="L368" i="2"/>
  <c r="P368" i="2" s="1"/>
  <c r="L371" i="2"/>
  <c r="P371" i="2" s="1"/>
  <c r="L375" i="2"/>
  <c r="P375" i="2" s="1"/>
  <c r="L379" i="2"/>
  <c r="P379" i="2" s="1"/>
  <c r="L382" i="2"/>
  <c r="P382" i="2" s="1"/>
  <c r="L385" i="2"/>
  <c r="P385" i="2" s="1"/>
  <c r="L388" i="2"/>
  <c r="P388" i="2" s="1"/>
  <c r="L391" i="2"/>
  <c r="P391" i="2" s="1"/>
  <c r="L394" i="2"/>
  <c r="P394" i="2" s="1"/>
  <c r="L396" i="2"/>
  <c r="P396" i="2" s="1"/>
  <c r="L398" i="2"/>
  <c r="P398" i="2" s="1"/>
  <c r="L401" i="2"/>
  <c r="P401" i="2" s="1"/>
  <c r="L403" i="2"/>
  <c r="P403" i="2" s="1"/>
  <c r="L406" i="2"/>
  <c r="P406" i="2" s="1"/>
  <c r="L409" i="2"/>
  <c r="P409" i="2" s="1"/>
  <c r="L412" i="2"/>
  <c r="P412" i="2" s="1"/>
  <c r="L414" i="2"/>
  <c r="P414" i="2" s="1"/>
  <c r="L417" i="2"/>
  <c r="P417" i="2" s="1"/>
  <c r="L420" i="2"/>
  <c r="P420" i="2" s="1"/>
  <c r="L423" i="2"/>
  <c r="P423" i="2" s="1"/>
  <c r="L426" i="2"/>
  <c r="P426" i="2" s="1"/>
  <c r="L429" i="2"/>
  <c r="P429" i="2" s="1"/>
  <c r="L432" i="2"/>
  <c r="P432" i="2" s="1"/>
  <c r="L434" i="2"/>
  <c r="P434" i="2" s="1"/>
  <c r="L439" i="2"/>
  <c r="P439" i="2" s="1"/>
  <c r="L442" i="2"/>
  <c r="P442" i="2" s="1"/>
  <c r="L443" i="2"/>
  <c r="P443" i="2" s="1"/>
  <c r="L447" i="2"/>
  <c r="P447" i="2" s="1"/>
  <c r="L449" i="2"/>
  <c r="P449" i="2" s="1"/>
  <c r="L452" i="2"/>
  <c r="P452" i="2" s="1"/>
  <c r="L455" i="2"/>
  <c r="P455" i="2" s="1"/>
  <c r="L458" i="2"/>
  <c r="P458" i="2" s="1"/>
  <c r="C592" i="2"/>
  <c r="L592" i="2"/>
  <c r="P592" i="2" s="1"/>
  <c r="L593" i="2"/>
  <c r="P593" i="2" s="1"/>
  <c r="C593" i="2"/>
  <c r="C594" i="2"/>
  <c r="L594" i="2"/>
  <c r="P594" i="2" s="1"/>
  <c r="C595" i="2"/>
  <c r="L595" i="2"/>
  <c r="P595" i="2" s="1"/>
  <c r="L596" i="2"/>
  <c r="P596" i="2" s="1"/>
  <c r="C596" i="2"/>
  <c r="L597" i="2"/>
  <c r="P597" i="2" s="1"/>
  <c r="C597" i="2"/>
  <c r="C598" i="2"/>
  <c r="L598" i="2"/>
  <c r="P598" i="2" s="1"/>
  <c r="L599" i="2"/>
  <c r="P599" i="2" s="1"/>
  <c r="C599" i="2"/>
  <c r="C600" i="2"/>
  <c r="L600" i="2"/>
  <c r="P600" i="2" s="1"/>
  <c r="C601" i="2"/>
  <c r="L601" i="2"/>
  <c r="P601" i="2" s="1"/>
  <c r="C602" i="2"/>
  <c r="L602" i="2"/>
  <c r="P602" i="2" s="1"/>
  <c r="C603" i="2"/>
  <c r="L603" i="2"/>
  <c r="P603" i="2" s="1"/>
  <c r="C604" i="2"/>
  <c r="L604" i="2"/>
  <c r="P604" i="2" s="1"/>
  <c r="C605" i="2"/>
  <c r="L605" i="2"/>
  <c r="P605" i="2" s="1"/>
  <c r="C606" i="2"/>
  <c r="L606" i="2"/>
  <c r="P606" i="2" s="1"/>
  <c r="C607" i="2"/>
  <c r="L607" i="2"/>
  <c r="P607" i="2" s="1"/>
  <c r="C608" i="2"/>
  <c r="L608" i="2"/>
  <c r="P608" i="2" s="1"/>
  <c r="C609" i="2"/>
  <c r="L609" i="2"/>
  <c r="P609" i="2" s="1"/>
  <c r="C610" i="2"/>
  <c r="L610" i="2"/>
  <c r="P610" i="2" s="1"/>
  <c r="C611" i="2"/>
  <c r="L611" i="2"/>
  <c r="P611" i="2" s="1"/>
  <c r="C612" i="2"/>
  <c r="L612" i="2"/>
  <c r="P612" i="2" s="1"/>
  <c r="L613" i="2"/>
  <c r="P613" i="2" s="1"/>
  <c r="C613" i="2"/>
  <c r="C614" i="2"/>
  <c r="L614" i="2"/>
  <c r="P614" i="2" s="1"/>
  <c r="C615" i="2"/>
  <c r="L615" i="2"/>
  <c r="P615" i="2" s="1"/>
  <c r="L616" i="2"/>
  <c r="P616" i="2" s="1"/>
  <c r="C616" i="2"/>
  <c r="L617" i="2"/>
  <c r="P617" i="2" s="1"/>
  <c r="C617" i="2"/>
  <c r="L618" i="2"/>
  <c r="P618" i="2" s="1"/>
  <c r="C618" i="2"/>
  <c r="L619" i="2"/>
  <c r="P619" i="2" s="1"/>
  <c r="C619" i="2"/>
  <c r="L620" i="2"/>
  <c r="P620" i="2" s="1"/>
  <c r="C620" i="2"/>
  <c r="C621" i="2"/>
  <c r="L621" i="2"/>
  <c r="P621" i="2" s="1"/>
  <c r="C622" i="2"/>
  <c r="L622" i="2"/>
  <c r="P622" i="2" s="1"/>
  <c r="L623" i="2"/>
  <c r="P623" i="2" s="1"/>
  <c r="C623" i="2"/>
  <c r="L624" i="2"/>
  <c r="P624" i="2" s="1"/>
  <c r="C624" i="2"/>
  <c r="C625" i="2"/>
  <c r="L625" i="2"/>
  <c r="P625" i="2" s="1"/>
  <c r="C626" i="2"/>
  <c r="L626" i="2"/>
  <c r="P626" i="2" s="1"/>
  <c r="L627" i="2"/>
  <c r="P627" i="2" s="1"/>
  <c r="C627" i="2"/>
  <c r="C628" i="2"/>
  <c r="L628" i="2"/>
  <c r="P628" i="2" s="1"/>
  <c r="C629" i="2"/>
  <c r="L629" i="2"/>
  <c r="P629" i="2" s="1"/>
  <c r="C630" i="2"/>
  <c r="L630" i="2"/>
  <c r="P630" i="2" s="1"/>
  <c r="C631" i="2"/>
  <c r="L631" i="2"/>
  <c r="P631" i="2" s="1"/>
  <c r="C632" i="2"/>
  <c r="L632" i="2"/>
  <c r="P632" i="2" s="1"/>
  <c r="C633" i="2"/>
  <c r="L633" i="2"/>
  <c r="P633" i="2" s="1"/>
  <c r="C634" i="2"/>
  <c r="L634" i="2"/>
  <c r="P634" i="2" s="1"/>
  <c r="L635" i="2"/>
  <c r="P635" i="2" s="1"/>
  <c r="C635" i="2"/>
  <c r="L636" i="2"/>
  <c r="P636" i="2" s="1"/>
  <c r="C636" i="2"/>
  <c r="L637" i="2"/>
  <c r="P637" i="2" s="1"/>
  <c r="C637" i="2"/>
  <c r="L638" i="2"/>
  <c r="P638" i="2" s="1"/>
  <c r="C638" i="2"/>
  <c r="L639" i="2"/>
  <c r="P639" i="2" s="1"/>
  <c r="C639" i="2"/>
  <c r="C640" i="2"/>
  <c r="L640" i="2"/>
  <c r="P640" i="2" s="1"/>
  <c r="C641" i="2"/>
  <c r="L641" i="2"/>
  <c r="P641" i="2" s="1"/>
  <c r="C642" i="2"/>
  <c r="L642" i="2"/>
  <c r="P642" i="2" s="1"/>
  <c r="C643" i="2"/>
  <c r="L643" i="2"/>
  <c r="P643" i="2" s="1"/>
  <c r="C644" i="2"/>
  <c r="L644" i="2"/>
  <c r="P644" i="2" s="1"/>
  <c r="C645" i="2"/>
  <c r="L645" i="2"/>
  <c r="P645" i="2" s="1"/>
  <c r="C646" i="2"/>
  <c r="L646" i="2"/>
  <c r="P646" i="2" s="1"/>
  <c r="C647" i="2"/>
  <c r="L647" i="2"/>
  <c r="P647" i="2" s="1"/>
  <c r="L648" i="2"/>
  <c r="P648" i="2" s="1"/>
  <c r="C648" i="2"/>
  <c r="C649" i="2"/>
  <c r="L649" i="2"/>
  <c r="P649" i="2" s="1"/>
  <c r="C650" i="2"/>
  <c r="L650" i="2"/>
  <c r="P650" i="2" s="1"/>
  <c r="C651" i="2"/>
  <c r="L651" i="2"/>
  <c r="P651" i="2" s="1"/>
  <c r="C652" i="2"/>
  <c r="L652" i="2"/>
  <c r="P652" i="2" s="1"/>
  <c r="C653" i="2"/>
  <c r="L653" i="2"/>
  <c r="P653" i="2" s="1"/>
  <c r="C654" i="2"/>
  <c r="L654" i="2"/>
  <c r="P654" i="2" s="1"/>
  <c r="C655" i="2"/>
  <c r="L655" i="2"/>
  <c r="P655" i="2" s="1"/>
  <c r="C656" i="2"/>
  <c r="L656" i="2"/>
  <c r="P656" i="2" s="1"/>
  <c r="C657" i="2"/>
  <c r="L657" i="2"/>
  <c r="P657" i="2" s="1"/>
  <c r="C658" i="2"/>
  <c r="L658" i="2"/>
  <c r="P658" i="2" s="1"/>
  <c r="C659" i="2"/>
  <c r="L659" i="2"/>
  <c r="P659" i="2" s="1"/>
  <c r="C660" i="2"/>
  <c r="L660" i="2"/>
  <c r="P660" i="2" s="1"/>
  <c r="C661" i="2"/>
  <c r="L661" i="2"/>
  <c r="P661" i="2" s="1"/>
  <c r="C662" i="2"/>
  <c r="L662" i="2"/>
  <c r="P662" i="2" s="1"/>
  <c r="L663" i="2"/>
  <c r="P663" i="2" s="1"/>
  <c r="C663" i="2"/>
  <c r="C664" i="2"/>
  <c r="L664" i="2"/>
  <c r="P664" i="2" s="1"/>
  <c r="C665" i="2"/>
  <c r="L665" i="2"/>
  <c r="P665" i="2" s="1"/>
  <c r="C666" i="2"/>
  <c r="L666" i="2"/>
  <c r="P666" i="2" s="1"/>
  <c r="C667" i="2"/>
  <c r="L667" i="2"/>
  <c r="P667" i="2" s="1"/>
  <c r="C668" i="2"/>
  <c r="L668" i="2"/>
  <c r="P668" i="2" s="1"/>
  <c r="C669" i="2"/>
  <c r="L669" i="2"/>
  <c r="P669" i="2" s="1"/>
  <c r="C670" i="2"/>
  <c r="L670" i="2"/>
  <c r="P670" i="2" s="1"/>
  <c r="C671" i="2"/>
  <c r="L671" i="2"/>
  <c r="P671" i="2" s="1"/>
  <c r="C672" i="2"/>
  <c r="L672" i="2"/>
  <c r="P672" i="2" s="1"/>
  <c r="C673" i="2"/>
  <c r="L673" i="2"/>
  <c r="P673" i="2" s="1"/>
  <c r="C674" i="2"/>
  <c r="L674" i="2"/>
  <c r="P674" i="2" s="1"/>
  <c r="C675" i="2"/>
  <c r="L675" i="2"/>
  <c r="P675" i="2" s="1"/>
  <c r="C676" i="2"/>
  <c r="L676" i="2"/>
  <c r="P676" i="2" s="1"/>
  <c r="L677" i="2"/>
  <c r="P677" i="2" s="1"/>
  <c r="C677" i="2"/>
  <c r="C678" i="2"/>
  <c r="L678" i="2"/>
  <c r="P678" i="2" s="1"/>
  <c r="C679" i="2"/>
  <c r="L679" i="2"/>
  <c r="P679" i="2" s="1"/>
  <c r="C680" i="2"/>
  <c r="L680" i="2"/>
  <c r="P680" i="2" s="1"/>
  <c r="C681" i="2"/>
  <c r="L681" i="2"/>
  <c r="P681" i="2" s="1"/>
  <c r="C682" i="2"/>
  <c r="L682" i="2"/>
  <c r="P682" i="2" s="1"/>
  <c r="L683" i="2"/>
  <c r="P683" i="2" s="1"/>
  <c r="C683" i="2"/>
  <c r="L684" i="2"/>
  <c r="P684" i="2" s="1"/>
  <c r="C684" i="2"/>
  <c r="L685" i="2"/>
  <c r="P685" i="2" s="1"/>
  <c r="C685" i="2"/>
  <c r="L686" i="2"/>
  <c r="P686" i="2" s="1"/>
  <c r="C686" i="2"/>
  <c r="L687" i="2"/>
  <c r="P687" i="2" s="1"/>
  <c r="C687" i="2"/>
  <c r="L688" i="2"/>
  <c r="P688" i="2" s="1"/>
  <c r="C688" i="2"/>
  <c r="L689" i="2"/>
  <c r="P689" i="2" s="1"/>
  <c r="C689" i="2"/>
  <c r="L690" i="2"/>
  <c r="P690" i="2" s="1"/>
  <c r="C690" i="2"/>
  <c r="L691" i="2"/>
  <c r="P691" i="2" s="1"/>
  <c r="C691" i="2"/>
  <c r="L692" i="2"/>
  <c r="P692" i="2" s="1"/>
  <c r="C692" i="2"/>
  <c r="L693" i="2"/>
  <c r="P693" i="2" s="1"/>
  <c r="C693" i="2"/>
  <c r="L694" i="2"/>
  <c r="P694" i="2" s="1"/>
  <c r="C694" i="2"/>
  <c r="L695" i="2"/>
  <c r="P695" i="2" s="1"/>
  <c r="C695" i="2"/>
  <c r="L696" i="2"/>
  <c r="P696" i="2" s="1"/>
  <c r="C696" i="2"/>
  <c r="K696" i="2" s="1"/>
  <c r="L697" i="2"/>
  <c r="P697" i="2" s="1"/>
  <c r="C697" i="2"/>
  <c r="K697" i="2" s="1"/>
  <c r="C698" i="2"/>
  <c r="K698" i="2" s="1"/>
  <c r="L698" i="2"/>
  <c r="P698" i="2" s="1"/>
  <c r="L699" i="2"/>
  <c r="P699" i="2" s="1"/>
  <c r="C699" i="2"/>
  <c r="K699" i="2" s="1"/>
  <c r="C700" i="2"/>
  <c r="K700" i="2" s="1"/>
  <c r="L700" i="2"/>
  <c r="P700" i="2" s="1"/>
  <c r="C701" i="2"/>
  <c r="K701" i="2" s="1"/>
  <c r="L701" i="2"/>
  <c r="P701" i="2" s="1"/>
  <c r="C702" i="2"/>
  <c r="K702" i="2" s="1"/>
  <c r="L702" i="2"/>
  <c r="P702" i="2" s="1"/>
  <c r="L703" i="2"/>
  <c r="P703" i="2" s="1"/>
  <c r="C703" i="2"/>
  <c r="L704" i="2"/>
  <c r="P704" i="2" s="1"/>
  <c r="C704" i="2"/>
  <c r="L705" i="2"/>
  <c r="P705" i="2" s="1"/>
  <c r="C705" i="2"/>
  <c r="L706" i="2"/>
  <c r="P706" i="2" s="1"/>
  <c r="C706" i="2"/>
  <c r="L707" i="2"/>
  <c r="P707" i="2" s="1"/>
  <c r="C707" i="2"/>
  <c r="L708" i="2"/>
  <c r="P708" i="2" s="1"/>
  <c r="C708" i="2"/>
  <c r="L709" i="2"/>
  <c r="P709" i="2" s="1"/>
  <c r="C709" i="2"/>
  <c r="L710" i="2"/>
  <c r="P710" i="2" s="1"/>
  <c r="C710" i="2"/>
  <c r="C711" i="2"/>
  <c r="L711" i="2"/>
  <c r="P711" i="2" s="1"/>
  <c r="C712" i="2"/>
  <c r="L712" i="2"/>
  <c r="P712" i="2" s="1"/>
  <c r="L713" i="2"/>
  <c r="P713" i="2" s="1"/>
  <c r="C713" i="2"/>
  <c r="C714" i="2"/>
  <c r="L714" i="2"/>
  <c r="P714" i="2" s="1"/>
  <c r="L715" i="2"/>
  <c r="P715" i="2" s="1"/>
  <c r="C715" i="2"/>
  <c r="L716" i="2"/>
  <c r="P716" i="2" s="1"/>
  <c r="C716" i="2"/>
  <c r="L717" i="2"/>
  <c r="P717" i="2" s="1"/>
  <c r="C717" i="2"/>
  <c r="L718" i="2"/>
  <c r="P718" i="2" s="1"/>
  <c r="C718" i="2"/>
  <c r="C719" i="2"/>
  <c r="L719" i="2"/>
  <c r="P719" i="2" s="1"/>
  <c r="C720" i="2"/>
  <c r="L720" i="2"/>
  <c r="P720" i="2" s="1"/>
  <c r="L721" i="2"/>
  <c r="P721" i="2" s="1"/>
  <c r="C721" i="2"/>
  <c r="L722" i="2"/>
  <c r="P722" i="2" s="1"/>
  <c r="C722" i="2"/>
  <c r="C723" i="2"/>
  <c r="L723" i="2"/>
  <c r="P723" i="2" s="1"/>
  <c r="L724" i="2"/>
  <c r="P724" i="2" s="1"/>
  <c r="C724" i="2"/>
  <c r="L725" i="2"/>
  <c r="P725" i="2" s="1"/>
  <c r="C725" i="2"/>
  <c r="C726" i="2"/>
  <c r="L726" i="2"/>
  <c r="P726" i="2" s="1"/>
  <c r="L727" i="2"/>
  <c r="P727" i="2" s="1"/>
  <c r="C727" i="2"/>
  <c r="C728" i="2"/>
  <c r="L728" i="2"/>
  <c r="P728" i="2" s="1"/>
  <c r="L729" i="2"/>
  <c r="P729" i="2" s="1"/>
  <c r="C729" i="2"/>
  <c r="L730" i="2"/>
  <c r="P730" i="2" s="1"/>
  <c r="C730" i="2"/>
  <c r="L731" i="2"/>
  <c r="P731" i="2" s="1"/>
  <c r="C731" i="2"/>
  <c r="L732" i="2"/>
  <c r="P732" i="2" s="1"/>
  <c r="C732" i="2"/>
  <c r="L733" i="2"/>
  <c r="P733" i="2" s="1"/>
  <c r="C733" i="2"/>
  <c r="L734" i="2"/>
  <c r="P734" i="2" s="1"/>
  <c r="C734" i="2"/>
  <c r="C735" i="2"/>
  <c r="L735" i="2"/>
  <c r="P735" i="2" s="1"/>
  <c r="C736" i="2"/>
  <c r="L736" i="2"/>
  <c r="P736" i="2" s="1"/>
  <c r="C737" i="2"/>
  <c r="L737" i="2"/>
  <c r="P737" i="2" s="1"/>
  <c r="C738" i="2"/>
  <c r="L738" i="2"/>
  <c r="P738" i="2" s="1"/>
  <c r="L739" i="2"/>
  <c r="P739" i="2" s="1"/>
  <c r="C739" i="2"/>
  <c r="C740" i="2"/>
  <c r="L740" i="2"/>
  <c r="P740" i="2" s="1"/>
  <c r="C741" i="2"/>
  <c r="L741" i="2"/>
  <c r="P741" i="2" s="1"/>
  <c r="C742" i="2"/>
  <c r="L742" i="2"/>
  <c r="P742" i="2" s="1"/>
  <c r="C743" i="2"/>
  <c r="L743" i="2"/>
  <c r="P743" i="2" s="1"/>
  <c r="C744" i="2"/>
  <c r="L744" i="2"/>
  <c r="P744" i="2" s="1"/>
  <c r="C745" i="2"/>
  <c r="L745" i="2"/>
  <c r="P745" i="2" s="1"/>
  <c r="C746" i="2"/>
  <c r="L746" i="2"/>
  <c r="P746" i="2" s="1"/>
  <c r="C747" i="2"/>
  <c r="L747" i="2"/>
  <c r="P747" i="2" s="1"/>
  <c r="C748" i="2"/>
  <c r="L748" i="2"/>
  <c r="P748" i="2" s="1"/>
  <c r="C749" i="2"/>
  <c r="L749" i="2"/>
  <c r="P749" i="2" s="1"/>
  <c r="C750" i="2"/>
  <c r="L750" i="2"/>
  <c r="P750" i="2" s="1"/>
  <c r="L751" i="2"/>
  <c r="P751" i="2" s="1"/>
  <c r="C751" i="2"/>
  <c r="L752" i="2"/>
  <c r="P752" i="2" s="1"/>
  <c r="C752" i="2"/>
  <c r="L753" i="2"/>
  <c r="P753" i="2" s="1"/>
  <c r="C753" i="2"/>
  <c r="L754" i="2"/>
  <c r="P754" i="2" s="1"/>
  <c r="C754" i="2"/>
  <c r="L755" i="2"/>
  <c r="P755" i="2" s="1"/>
  <c r="C755" i="2"/>
  <c r="L756" i="2"/>
  <c r="P756" i="2" s="1"/>
  <c r="C756" i="2"/>
  <c r="L757" i="2"/>
  <c r="P757" i="2" s="1"/>
  <c r="C757" i="2"/>
  <c r="C758" i="2"/>
  <c r="L758" i="2"/>
  <c r="P758" i="2" s="1"/>
  <c r="L759" i="2"/>
  <c r="P759" i="2" s="1"/>
  <c r="C759" i="2"/>
  <c r="L760" i="2"/>
  <c r="P760" i="2" s="1"/>
  <c r="C760" i="2"/>
  <c r="L761" i="2"/>
  <c r="P761" i="2" s="1"/>
  <c r="C761" i="2"/>
  <c r="L762" i="2"/>
  <c r="P762" i="2" s="1"/>
  <c r="C762" i="2"/>
  <c r="L763" i="2"/>
  <c r="P763" i="2" s="1"/>
  <c r="C763" i="2"/>
  <c r="L764" i="2"/>
  <c r="P764" i="2" s="1"/>
  <c r="C764" i="2"/>
  <c r="L765" i="2"/>
  <c r="P765" i="2" s="1"/>
  <c r="C765" i="2"/>
  <c r="L766" i="2"/>
  <c r="P766" i="2" s="1"/>
  <c r="C766" i="2"/>
  <c r="L767" i="2"/>
  <c r="P767" i="2" s="1"/>
  <c r="C767" i="2"/>
  <c r="L768" i="2"/>
  <c r="P768" i="2" s="1"/>
  <c r="C768" i="2"/>
  <c r="L769" i="2"/>
  <c r="P769" i="2" s="1"/>
  <c r="C769" i="2"/>
  <c r="L770" i="2"/>
  <c r="P770" i="2" s="1"/>
  <c r="C770" i="2"/>
  <c r="L771" i="2"/>
  <c r="P771" i="2" s="1"/>
  <c r="C771" i="2"/>
  <c r="L772" i="2"/>
  <c r="P772" i="2" s="1"/>
  <c r="C772" i="2"/>
  <c r="L773" i="2"/>
  <c r="P773" i="2" s="1"/>
  <c r="C773" i="2"/>
  <c r="L774" i="2"/>
  <c r="P774" i="2" s="1"/>
  <c r="C774" i="2"/>
  <c r="L775" i="2"/>
  <c r="P775" i="2" s="1"/>
  <c r="C775" i="2"/>
  <c r="L776" i="2"/>
  <c r="P776" i="2" s="1"/>
  <c r="C776" i="2"/>
  <c r="L777" i="2"/>
  <c r="P777" i="2" s="1"/>
  <c r="C777" i="2"/>
  <c r="L778" i="2"/>
  <c r="P778" i="2" s="1"/>
  <c r="C778" i="2"/>
  <c r="L779" i="2"/>
  <c r="P779" i="2" s="1"/>
  <c r="C779" i="2"/>
  <c r="C780" i="2"/>
  <c r="L780" i="2"/>
  <c r="P780" i="2" s="1"/>
  <c r="C781" i="2"/>
  <c r="L781" i="2"/>
  <c r="P781" i="2" s="1"/>
  <c r="C782" i="2"/>
  <c r="L782" i="2"/>
  <c r="P782" i="2" s="1"/>
  <c r="L783" i="2"/>
  <c r="P783" i="2" s="1"/>
  <c r="C783" i="2"/>
  <c r="L784" i="2"/>
  <c r="P784" i="2" s="1"/>
  <c r="C784" i="2"/>
  <c r="L785" i="2"/>
  <c r="P785" i="2" s="1"/>
  <c r="C785" i="2"/>
  <c r="L786" i="2"/>
  <c r="P786" i="2" s="1"/>
  <c r="C786" i="2"/>
  <c r="C787" i="2"/>
  <c r="L787" i="2"/>
  <c r="P787" i="2" s="1"/>
  <c r="L788" i="2"/>
  <c r="P788" i="2" s="1"/>
  <c r="C788" i="2"/>
  <c r="C789" i="2"/>
  <c r="L789" i="2"/>
  <c r="P789" i="2" s="1"/>
  <c r="C790" i="2"/>
  <c r="L790" i="2"/>
  <c r="P790" i="2" s="1"/>
  <c r="L791" i="2"/>
  <c r="P791" i="2" s="1"/>
  <c r="C791" i="2"/>
  <c r="L792" i="2"/>
  <c r="P792" i="2" s="1"/>
  <c r="C792" i="2"/>
  <c r="L793" i="2"/>
  <c r="P793" i="2" s="1"/>
  <c r="C793" i="2"/>
  <c r="L794" i="2"/>
  <c r="P794" i="2" s="1"/>
  <c r="C794" i="2"/>
  <c r="L795" i="2"/>
  <c r="P795" i="2" s="1"/>
  <c r="C795" i="2"/>
  <c r="L796" i="2"/>
  <c r="P796" i="2" s="1"/>
  <c r="C796" i="2"/>
  <c r="L797" i="2"/>
  <c r="P797" i="2" s="1"/>
  <c r="C797" i="2"/>
  <c r="L798" i="2"/>
  <c r="P798" i="2" s="1"/>
  <c r="C798" i="2"/>
  <c r="K798" i="2" s="1"/>
  <c r="L799" i="2"/>
  <c r="P799" i="2" s="1"/>
  <c r="C799" i="2"/>
  <c r="K799" i="2" s="1"/>
  <c r="L800" i="2"/>
  <c r="P800" i="2" s="1"/>
  <c r="C800" i="2"/>
  <c r="K800" i="2" s="1"/>
  <c r="L801" i="2"/>
  <c r="P801" i="2" s="1"/>
  <c r="C801" i="2"/>
  <c r="K801" i="2" s="1"/>
  <c r="L802" i="2"/>
  <c r="P802" i="2" s="1"/>
  <c r="C802" i="2"/>
  <c r="K802" i="2" s="1"/>
  <c r="C803" i="2"/>
  <c r="K803" i="2" s="1"/>
  <c r="L803" i="2"/>
  <c r="P803" i="2" s="1"/>
  <c r="L804" i="2"/>
  <c r="P804" i="2" s="1"/>
  <c r="C804" i="2"/>
  <c r="K804" i="2" s="1"/>
  <c r="C805" i="2"/>
  <c r="K805" i="2" s="1"/>
  <c r="L805" i="2"/>
  <c r="P805" i="2" s="1"/>
  <c r="C806" i="2"/>
  <c r="K806" i="2" s="1"/>
  <c r="L806" i="2"/>
  <c r="P806" i="2" s="1"/>
  <c r="C807" i="2"/>
  <c r="K807" i="2" s="1"/>
  <c r="L807" i="2"/>
  <c r="P807" i="2" s="1"/>
  <c r="L808" i="2"/>
  <c r="P808" i="2" s="1"/>
  <c r="C808" i="2"/>
  <c r="K808" i="2" s="1"/>
  <c r="L809" i="2"/>
  <c r="P809" i="2" s="1"/>
  <c r="C809" i="2"/>
  <c r="K809" i="2" s="1"/>
  <c r="C810" i="2"/>
  <c r="K810" i="2" s="1"/>
  <c r="L810" i="2"/>
  <c r="P810" i="2" s="1"/>
  <c r="L811" i="2"/>
  <c r="P811" i="2" s="1"/>
  <c r="C811" i="2"/>
  <c r="K811" i="2" s="1"/>
  <c r="L812" i="2"/>
  <c r="P812" i="2" s="1"/>
  <c r="C812" i="2"/>
  <c r="K812" i="2" s="1"/>
  <c r="C813" i="2"/>
  <c r="K813" i="2" s="1"/>
  <c r="L813" i="2"/>
  <c r="P813" i="2" s="1"/>
  <c r="L814" i="2"/>
  <c r="P814" i="2" s="1"/>
  <c r="C814" i="2"/>
  <c r="C815" i="2"/>
  <c r="L815" i="2"/>
  <c r="P815" i="2" s="1"/>
  <c r="C816" i="2"/>
  <c r="L816" i="2"/>
  <c r="P816" i="2" s="1"/>
  <c r="C817" i="2"/>
  <c r="L817" i="2"/>
  <c r="P817" i="2" s="1"/>
  <c r="L818" i="2"/>
  <c r="P818" i="2" s="1"/>
  <c r="C818" i="2"/>
  <c r="C819" i="2"/>
  <c r="L819" i="2"/>
  <c r="P819" i="2" s="1"/>
  <c r="C820" i="2"/>
  <c r="L820" i="2"/>
  <c r="P820" i="2" s="1"/>
  <c r="C821" i="2"/>
  <c r="L821" i="2"/>
  <c r="P821" i="2" s="1"/>
  <c r="C822" i="2"/>
  <c r="L822" i="2"/>
  <c r="P822" i="2" s="1"/>
  <c r="C823" i="2"/>
  <c r="L823" i="2"/>
  <c r="P823" i="2" s="1"/>
  <c r="C824" i="2"/>
  <c r="L824" i="2"/>
  <c r="P824" i="2" s="1"/>
  <c r="C825" i="2"/>
  <c r="L825" i="2"/>
  <c r="P825" i="2" s="1"/>
  <c r="L826" i="2"/>
  <c r="P826" i="2" s="1"/>
  <c r="C826" i="2"/>
  <c r="C827" i="2"/>
  <c r="L827" i="2"/>
  <c r="P827" i="2" s="1"/>
  <c r="C828" i="2"/>
  <c r="L828" i="2"/>
  <c r="P828" i="2" s="1"/>
  <c r="C829" i="2"/>
  <c r="L829" i="2"/>
  <c r="P829" i="2" s="1"/>
  <c r="C830" i="2"/>
  <c r="L830" i="2"/>
  <c r="P830" i="2" s="1"/>
  <c r="C831" i="2"/>
  <c r="L831" i="2"/>
  <c r="P831" i="2" s="1"/>
  <c r="L832" i="2"/>
  <c r="P832" i="2" s="1"/>
  <c r="C832" i="2"/>
  <c r="C833" i="2"/>
  <c r="L833" i="2"/>
  <c r="P833" i="2" s="1"/>
  <c r="C834" i="2"/>
  <c r="L834" i="2"/>
  <c r="P834" i="2" s="1"/>
  <c r="C835" i="2"/>
  <c r="L835" i="2"/>
  <c r="P835" i="2" s="1"/>
  <c r="C836" i="2"/>
  <c r="L836" i="2"/>
  <c r="P836" i="2" s="1"/>
  <c r="C837" i="2"/>
  <c r="L837" i="2"/>
  <c r="P837" i="2" s="1"/>
  <c r="C838" i="2"/>
  <c r="L838" i="2"/>
  <c r="P838" i="2" s="1"/>
  <c r="C839" i="2"/>
  <c r="L839" i="2"/>
  <c r="P839" i="2" s="1"/>
  <c r="L840" i="2"/>
  <c r="P840" i="2" s="1"/>
  <c r="C840" i="2"/>
  <c r="L841" i="2"/>
  <c r="P841" i="2" s="1"/>
  <c r="C841" i="2"/>
  <c r="C842" i="2"/>
  <c r="L842" i="2"/>
  <c r="P842" i="2" s="1"/>
  <c r="C843" i="2"/>
  <c r="L843" i="2"/>
  <c r="P843" i="2" s="1"/>
  <c r="C844" i="2"/>
  <c r="L844" i="2"/>
  <c r="P844" i="2" s="1"/>
  <c r="C845" i="2"/>
  <c r="L845" i="2"/>
  <c r="P845" i="2" s="1"/>
  <c r="C846" i="2"/>
  <c r="L846" i="2"/>
  <c r="P846" i="2" s="1"/>
  <c r="C847" i="2"/>
  <c r="L847" i="2"/>
  <c r="P847" i="2" s="1"/>
  <c r="C848" i="2"/>
  <c r="L848" i="2"/>
  <c r="P848" i="2" s="1"/>
  <c r="C849" i="2"/>
  <c r="L849" i="2"/>
  <c r="P849" i="2" s="1"/>
  <c r="C850" i="2"/>
  <c r="L850" i="2"/>
  <c r="P850" i="2" s="1"/>
  <c r="L851" i="2"/>
  <c r="P851" i="2" s="1"/>
  <c r="C851" i="2"/>
  <c r="L852" i="2"/>
  <c r="P852" i="2" s="1"/>
  <c r="C852" i="2"/>
  <c r="L879" i="2"/>
  <c r="P879" i="2" s="1"/>
  <c r="C879" i="2"/>
  <c r="K879" i="2" s="1"/>
  <c r="L880" i="2"/>
  <c r="P880" i="2" s="1"/>
  <c r="C880" i="2"/>
  <c r="K880" i="2" s="1"/>
  <c r="C881" i="2"/>
  <c r="K881" i="2" s="1"/>
  <c r="L881" i="2"/>
  <c r="P881" i="2" s="1"/>
  <c r="L882" i="2"/>
  <c r="P882" i="2" s="1"/>
  <c r="C882" i="2"/>
  <c r="K882" i="2" s="1"/>
  <c r="L883" i="2"/>
  <c r="P883" i="2" s="1"/>
  <c r="C883" i="2"/>
  <c r="K883" i="2" s="1"/>
  <c r="L884" i="2"/>
  <c r="P884" i="2" s="1"/>
  <c r="C884" i="2"/>
  <c r="K884" i="2" s="1"/>
  <c r="C885" i="2"/>
  <c r="K885" i="2" s="1"/>
  <c r="L885" i="2"/>
  <c r="P885" i="2" s="1"/>
  <c r="C886" i="2"/>
  <c r="K886" i="2" s="1"/>
  <c r="L886" i="2"/>
  <c r="P886" i="2" s="1"/>
  <c r="L887" i="2"/>
  <c r="P887" i="2" s="1"/>
  <c r="C887" i="2"/>
  <c r="K887" i="2" s="1"/>
  <c r="L888" i="2"/>
  <c r="P888" i="2" s="1"/>
  <c r="C888" i="2"/>
  <c r="K888" i="2" s="1"/>
  <c r="L889" i="2"/>
  <c r="P889" i="2" s="1"/>
  <c r="C889" i="2"/>
  <c r="K889" i="2" s="1"/>
  <c r="L890" i="2"/>
  <c r="P890" i="2" s="1"/>
  <c r="C890" i="2"/>
  <c r="K890" i="2" s="1"/>
  <c r="L891" i="2"/>
  <c r="P891" i="2" s="1"/>
  <c r="C891" i="2"/>
  <c r="K891" i="2" s="1"/>
  <c r="L892" i="2"/>
  <c r="P892" i="2" s="1"/>
  <c r="C892" i="2"/>
  <c r="K892" i="2" s="1"/>
  <c r="C893" i="2"/>
  <c r="K893" i="2" s="1"/>
  <c r="L893" i="2"/>
  <c r="P893" i="2" s="1"/>
  <c r="L894" i="2"/>
  <c r="P894" i="2" s="1"/>
  <c r="C894" i="2"/>
  <c r="K894" i="2" s="1"/>
  <c r="C895" i="2"/>
  <c r="K895" i="2" s="1"/>
  <c r="L895" i="2"/>
  <c r="P895" i="2" s="1"/>
  <c r="C896" i="2"/>
  <c r="K896" i="2" s="1"/>
  <c r="L896" i="2"/>
  <c r="P896" i="2" s="1"/>
  <c r="C897" i="2"/>
  <c r="K897" i="2" s="1"/>
  <c r="L897" i="2"/>
  <c r="P897" i="2" s="1"/>
  <c r="C898" i="2"/>
  <c r="K898" i="2" s="1"/>
  <c r="L898" i="2"/>
  <c r="P898" i="2" s="1"/>
  <c r="C899" i="2"/>
  <c r="K899" i="2" s="1"/>
  <c r="L899" i="2"/>
  <c r="P899" i="2" s="1"/>
  <c r="C900" i="2"/>
  <c r="K900" i="2" s="1"/>
  <c r="L900" i="2"/>
  <c r="P900" i="2" s="1"/>
  <c r="C901" i="2"/>
  <c r="K901" i="2" s="1"/>
  <c r="L901" i="2"/>
  <c r="P901" i="2" s="1"/>
  <c r="L902" i="2"/>
  <c r="P902" i="2" s="1"/>
  <c r="C902" i="2"/>
  <c r="K902" i="2" s="1"/>
  <c r="L903" i="2"/>
  <c r="P903" i="2" s="1"/>
  <c r="C903" i="2"/>
  <c r="K903" i="2" s="1"/>
  <c r="C904" i="2"/>
  <c r="K904" i="2" s="1"/>
  <c r="L904" i="2"/>
  <c r="P904" i="2" s="1"/>
  <c r="C905" i="2"/>
  <c r="K905" i="2" s="1"/>
  <c r="L905" i="2"/>
  <c r="P905" i="2" s="1"/>
  <c r="C906" i="2"/>
  <c r="K906" i="2" s="1"/>
  <c r="L906" i="2"/>
  <c r="P906" i="2" s="1"/>
  <c r="L907" i="2"/>
  <c r="P907" i="2" s="1"/>
  <c r="C907" i="2"/>
  <c r="K907" i="2" s="1"/>
  <c r="L908" i="2"/>
  <c r="P908" i="2" s="1"/>
  <c r="C908" i="2"/>
  <c r="K908" i="2" s="1"/>
  <c r="L909" i="2"/>
  <c r="P909" i="2" s="1"/>
  <c r="C909" i="2"/>
  <c r="K909" i="2" s="1"/>
  <c r="L910" i="2"/>
  <c r="P910" i="2" s="1"/>
  <c r="C910" i="2"/>
  <c r="K910" i="2" s="1"/>
  <c r="L911" i="2"/>
  <c r="P911" i="2" s="1"/>
  <c r="C911" i="2"/>
  <c r="K911" i="2" s="1"/>
  <c r="L912" i="2"/>
  <c r="P912" i="2" s="1"/>
  <c r="C912" i="2"/>
  <c r="K912" i="2" s="1"/>
  <c r="L913" i="2"/>
  <c r="P913" i="2" s="1"/>
  <c r="C913" i="2"/>
  <c r="K913" i="2" s="1"/>
  <c r="C914" i="2"/>
  <c r="K914" i="2" s="1"/>
  <c r="L914" i="2"/>
  <c r="P914" i="2" s="1"/>
  <c r="L915" i="2"/>
  <c r="P915" i="2" s="1"/>
  <c r="C915" i="2"/>
  <c r="K915" i="2" s="1"/>
  <c r="L916" i="2"/>
  <c r="P916" i="2" s="1"/>
  <c r="C916" i="2"/>
  <c r="K916" i="2" s="1"/>
  <c r="C917" i="2"/>
  <c r="K917" i="2" s="1"/>
  <c r="L917" i="2"/>
  <c r="P917" i="2" s="1"/>
  <c r="L918" i="2"/>
  <c r="P918" i="2" s="1"/>
  <c r="C918" i="2"/>
  <c r="K918" i="2" s="1"/>
  <c r="L919" i="2"/>
  <c r="P919" i="2" s="1"/>
  <c r="C919" i="2"/>
  <c r="K919" i="2" s="1"/>
  <c r="C920" i="2"/>
  <c r="K920" i="2" s="1"/>
  <c r="L920" i="2"/>
  <c r="P920" i="2" s="1"/>
  <c r="C921" i="2"/>
  <c r="K921" i="2" s="1"/>
  <c r="L921" i="2"/>
  <c r="P921" i="2" s="1"/>
  <c r="C922" i="2"/>
  <c r="K922" i="2" s="1"/>
  <c r="L922" i="2"/>
  <c r="P922" i="2" s="1"/>
  <c r="L923" i="2"/>
  <c r="P923" i="2" s="1"/>
  <c r="C923" i="2"/>
  <c r="K923" i="2" s="1"/>
  <c r="L924" i="2"/>
  <c r="P924" i="2" s="1"/>
  <c r="C924" i="2"/>
  <c r="K924" i="2" s="1"/>
  <c r="L925" i="2"/>
  <c r="P925" i="2" s="1"/>
  <c r="C925" i="2"/>
  <c r="K925" i="2" s="1"/>
  <c r="L926" i="2"/>
  <c r="P926" i="2" s="1"/>
  <c r="C926" i="2"/>
  <c r="K926" i="2" s="1"/>
  <c r="L927" i="2"/>
  <c r="P927" i="2" s="1"/>
  <c r="C927" i="2"/>
  <c r="K927" i="2" s="1"/>
  <c r="L928" i="2"/>
  <c r="P928" i="2" s="1"/>
  <c r="C928" i="2"/>
  <c r="K928" i="2" s="1"/>
  <c r="L929" i="2"/>
  <c r="P929" i="2" s="1"/>
  <c r="C929" i="2"/>
  <c r="K929" i="2" s="1"/>
  <c r="L930" i="2"/>
  <c r="P930" i="2" s="1"/>
  <c r="C930" i="2"/>
  <c r="K930" i="2" s="1"/>
  <c r="C931" i="2"/>
  <c r="K931" i="2" s="1"/>
  <c r="L931" i="2"/>
  <c r="P931" i="2" s="1"/>
  <c r="M2" i="2" a="1"/>
  <c r="I2" i="2"/>
  <c r="E2" i="2" a="1"/>
  <c r="M3" i="2" a="1"/>
  <c r="E3" i="2" s="1" a="1"/>
  <c r="I3" i="2"/>
  <c r="C3" i="2" s="1"/>
  <c r="K3" i="2" s="1"/>
  <c r="L3" i="2"/>
  <c r="P3" i="2" s="1"/>
  <c r="M4" i="2" a="1"/>
  <c r="E4" i="2" s="1" a="1"/>
  <c r="I4" i="2"/>
  <c r="I5" i="2"/>
  <c r="M5" i="2" a="1"/>
  <c r="E5" i="2" s="1" a="1"/>
  <c r="I6" i="2"/>
  <c r="M6" i="2" a="1"/>
  <c r="E6" i="2" a="1"/>
  <c r="I7" i="2"/>
  <c r="M7" i="2" a="1"/>
  <c r="E7" i="2" a="1"/>
  <c r="M8" i="2" a="1"/>
  <c r="I8" i="2"/>
  <c r="C8" i="2" s="1"/>
  <c r="K8" i="2" s="1"/>
  <c r="E8" i="2" a="1"/>
  <c r="L8" i="2"/>
  <c r="P8" i="2" s="1"/>
  <c r="M9" i="2" a="1"/>
  <c r="E9" i="2" s="1" a="1"/>
  <c r="I9" i="2"/>
  <c r="M10" i="2" a="1"/>
  <c r="E10" i="2" s="1" a="1"/>
  <c r="I10" i="2"/>
  <c r="I11" i="2"/>
  <c r="C11" i="2" s="1"/>
  <c r="L11" i="2"/>
  <c r="P11" i="2"/>
  <c r="M11" i="2" a="1"/>
  <c r="E11" i="2" s="1" a="1"/>
  <c r="I12" i="2"/>
  <c r="C12" i="2" s="1"/>
  <c r="L12" i="2"/>
  <c r="P12" i="2"/>
  <c r="M12" i="2" a="1"/>
  <c r="E12" i="2" s="1" a="1"/>
  <c r="I13" i="2"/>
  <c r="C13" i="2" s="1"/>
  <c r="L13" i="2"/>
  <c r="P13" i="2"/>
  <c r="M13" i="2" a="1"/>
  <c r="E13" i="2" s="1" a="1"/>
  <c r="M14" i="2" a="1"/>
  <c r="I14" i="2"/>
  <c r="C14" i="2" s="1"/>
  <c r="K14" i="2" s="1"/>
  <c r="E14" i="2" a="1"/>
  <c r="L14" i="2"/>
  <c r="P14" i="2" s="1"/>
  <c r="M15" i="2" a="1"/>
  <c r="I15" i="2"/>
  <c r="C15" i="2" s="1"/>
  <c r="K15" i="2" s="1"/>
  <c r="E15" i="2" a="1"/>
  <c r="L15" i="2"/>
  <c r="P15" i="2" s="1"/>
  <c r="M16" i="2" a="1"/>
  <c r="E16" i="2" a="1"/>
  <c r="I16" i="2"/>
  <c r="M17" i="2" a="1"/>
  <c r="I17" i="2"/>
  <c r="C17" i="2" s="1"/>
  <c r="K17" i="2" s="1"/>
  <c r="L17" i="2"/>
  <c r="P17" i="2"/>
  <c r="E17" i="2" a="1"/>
  <c r="I18" i="2"/>
  <c r="C18" i="2" s="1"/>
  <c r="L18" i="2"/>
  <c r="P18" i="2"/>
  <c r="M18" i="2" a="1"/>
  <c r="E18" i="2" s="1" a="1"/>
  <c r="I19" i="2"/>
  <c r="M19" i="2" a="1"/>
  <c r="E19" i="2" s="1" a="1"/>
  <c r="I20" i="2"/>
  <c r="C20" i="2" s="1"/>
  <c r="L20" i="2"/>
  <c r="M20" i="2" a="1"/>
  <c r="E20" i="2" a="1"/>
  <c r="P20" i="2"/>
  <c r="M21" i="2" a="1"/>
  <c r="E21" i="2" a="1"/>
  <c r="I21" i="2"/>
  <c r="I22" i="2"/>
  <c r="C22" i="2" s="1"/>
  <c r="L22" i="2"/>
  <c r="P22" i="2" s="1"/>
  <c r="M22" i="2" a="1"/>
  <c r="E22" i="2" s="1" a="1"/>
  <c r="I23" i="2"/>
  <c r="M23" i="2" a="1"/>
  <c r="E23" i="2" s="1" a="1"/>
  <c r="I24" i="2"/>
  <c r="M24" i="2" a="1"/>
  <c r="E24" i="2" s="1" a="1"/>
  <c r="I25" i="2"/>
  <c r="M25" i="2" a="1"/>
  <c r="E25" i="2" s="1" a="1"/>
  <c r="I26" i="2"/>
  <c r="M26" i="2" a="1"/>
  <c r="E26" i="2" s="1" a="1"/>
  <c r="I27" i="2"/>
  <c r="M27" i="2" a="1"/>
  <c r="E27" i="2" s="1" a="1"/>
  <c r="I28" i="2"/>
  <c r="M28" i="2" a="1"/>
  <c r="E28" i="2" a="1"/>
  <c r="M29" i="2" a="1"/>
  <c r="I29" i="2"/>
  <c r="C29" i="2" s="1"/>
  <c r="K29" i="2" s="1"/>
  <c r="L29" i="2"/>
  <c r="P29" i="2" s="1"/>
  <c r="E29" i="2" a="1"/>
  <c r="M30" i="2" a="1"/>
  <c r="E30" i="2" s="1" a="1"/>
  <c r="I30" i="2"/>
  <c r="C30" i="2" s="1"/>
  <c r="K30" i="2" s="1"/>
  <c r="L30" i="2"/>
  <c r="P30" i="2" s="1"/>
  <c r="M31" i="2" a="1"/>
  <c r="E31" i="2" s="1" a="1"/>
  <c r="I31" i="2"/>
  <c r="M32" i="2" a="1"/>
  <c r="I32" i="2"/>
  <c r="E32" i="2" a="1"/>
  <c r="M33" i="2" a="1"/>
  <c r="E33" i="2" a="1"/>
  <c r="I33" i="2"/>
  <c r="I34" i="2"/>
  <c r="C34" i="2" s="1"/>
  <c r="M34" i="2" a="1"/>
  <c r="L34" i="2"/>
  <c r="E34" i="2" a="1"/>
  <c r="P34" i="2"/>
  <c r="I35" i="2"/>
  <c r="C35" i="2" s="1"/>
  <c r="M35" i="2" a="1"/>
  <c r="L35" i="2"/>
  <c r="E35" i="2" a="1"/>
  <c r="P35" i="2"/>
  <c r="I36" i="2"/>
  <c r="C36" i="2" s="1"/>
  <c r="M36" i="2" a="1"/>
  <c r="L36" i="2"/>
  <c r="E36" i="2" a="1"/>
  <c r="P36" i="2"/>
  <c r="M37" i="2" a="1"/>
  <c r="E37" i="2" s="1" a="1"/>
  <c r="I37" i="2"/>
  <c r="I38" i="2"/>
  <c r="C38" i="2" s="1"/>
  <c r="L38" i="2"/>
  <c r="P38" i="2" s="1"/>
  <c r="M38" i="2" a="1"/>
  <c r="E38" i="2" s="1" a="1"/>
  <c r="I39" i="2"/>
  <c r="C39" i="2" s="1"/>
  <c r="L39" i="2"/>
  <c r="M39" i="2" a="1"/>
  <c r="P39" i="2"/>
  <c r="E39" i="2" a="1"/>
  <c r="I40" i="2"/>
  <c r="C40" i="2" s="1"/>
  <c r="M40" i="2" a="1"/>
  <c r="L40" i="2"/>
  <c r="P40" i="2" s="1"/>
  <c r="E40" i="2" a="1"/>
  <c r="M41" i="2" a="1"/>
  <c r="I41" i="2"/>
  <c r="C41" i="2" s="1"/>
  <c r="K41" i="2" s="1"/>
  <c r="E41" i="2" a="1"/>
  <c r="L41" i="2"/>
  <c r="P41" i="2" s="1"/>
  <c r="M42" i="2" a="1"/>
  <c r="E42" i="2" a="1"/>
  <c r="I42" i="2"/>
  <c r="M43" i="2" a="1"/>
  <c r="I43" i="2"/>
  <c r="C43" i="2" s="1"/>
  <c r="K43" i="2" s="1"/>
  <c r="L43" i="2"/>
  <c r="P43" i="2" s="1"/>
  <c r="E43" i="2" a="1"/>
  <c r="M44" i="2" a="1"/>
  <c r="I44" i="2"/>
  <c r="C44" i="2" s="1"/>
  <c r="K44" i="2" s="1"/>
  <c r="L44" i="2"/>
  <c r="P44" i="2" s="1"/>
  <c r="E44" i="2" a="1"/>
  <c r="M45" i="2" a="1"/>
  <c r="I45" i="2"/>
  <c r="C45" i="2" s="1"/>
  <c r="K45" i="2" s="1"/>
  <c r="L45" i="2"/>
  <c r="P45" i="2" s="1"/>
  <c r="E45" i="2" a="1"/>
  <c r="M46" i="2" a="1"/>
  <c r="I46" i="2"/>
  <c r="E46" i="2" a="1"/>
  <c r="M47" i="2" a="1"/>
  <c r="I47" i="2"/>
  <c r="C47" i="2" s="1"/>
  <c r="K47" i="2" s="1"/>
  <c r="L47" i="2"/>
  <c r="P47" i="2" s="1"/>
  <c r="E47" i="2" a="1"/>
  <c r="I48" i="2"/>
  <c r="C48" i="2" s="1"/>
  <c r="M48" i="2" a="1"/>
  <c r="E48" i="2" s="1" a="1"/>
  <c r="L48" i="2"/>
  <c r="P48" i="2" s="1"/>
  <c r="I49" i="2"/>
  <c r="C49" i="2" s="1"/>
  <c r="M49" i="2" a="1"/>
  <c r="E49" i="2" s="1" a="1"/>
  <c r="L49" i="2"/>
  <c r="P49" i="2"/>
  <c r="I50" i="2"/>
  <c r="C50" i="2" s="1"/>
  <c r="M50" i="2" a="1"/>
  <c r="E50" i="2" s="1" a="1"/>
  <c r="L50" i="2"/>
  <c r="P50" i="2"/>
  <c r="I51" i="2"/>
  <c r="C51" i="2" s="1"/>
  <c r="L51" i="2"/>
  <c r="P51" i="2" s="1"/>
  <c r="M51" i="2" a="1"/>
  <c r="E51" i="2" a="1"/>
  <c r="I52" i="2"/>
  <c r="M52" i="2" a="1"/>
  <c r="E52" i="2" s="1" a="1"/>
  <c r="D79" i="2" a="1"/>
  <c r="L79" i="2" s="1"/>
  <c r="P79" i="2"/>
  <c r="M514" i="2" a="1"/>
  <c r="M515" i="2" a="1"/>
  <c r="M516" i="2" a="1"/>
  <c r="M517" i="2" a="1"/>
  <c r="M518" i="2" a="1"/>
  <c r="M519" i="2" a="1"/>
  <c r="M520" i="2" a="1"/>
  <c r="M521" i="2" a="1"/>
  <c r="M522" i="2" a="1"/>
  <c r="M523" i="2" a="1"/>
  <c r="M524" i="2" a="1"/>
  <c r="M525" i="2" a="1"/>
  <c r="M526" i="2" a="1"/>
  <c r="M527" i="2" a="1"/>
  <c r="M528" i="2" a="1"/>
  <c r="M529" i="2" a="1"/>
  <c r="M530" i="2" a="1"/>
  <c r="M531" i="2" a="1"/>
  <c r="M532" i="2" a="1"/>
  <c r="M533" i="2" a="1"/>
  <c r="M534" i="2" a="1"/>
  <c r="M535" i="2" a="1"/>
  <c r="M536" i="2" a="1"/>
  <c r="M537" i="2" a="1"/>
  <c r="M538" i="2" a="1"/>
  <c r="M539" i="2" a="1"/>
  <c r="M540" i="2" a="1"/>
  <c r="M541" i="2" a="1"/>
  <c r="M542" i="2" a="1"/>
  <c r="M543" i="2" a="1"/>
  <c r="M544" i="2" a="1"/>
  <c r="M545" i="2" a="1"/>
  <c r="M546" i="2" a="1"/>
  <c r="M547" i="2" a="1"/>
  <c r="M548" i="2" a="1"/>
  <c r="M549" i="2" a="1"/>
  <c r="M550" i="2" a="1"/>
  <c r="M551" i="2" a="1"/>
  <c r="M552" i="2" a="1"/>
  <c r="M553" i="2" a="1"/>
  <c r="M554" i="2" a="1"/>
  <c r="M555" i="2" a="1"/>
  <c r="M556" i="2" a="1"/>
  <c r="M557" i="2" a="1"/>
  <c r="M558" i="2" a="1"/>
  <c r="M559" i="2" a="1"/>
  <c r="M560" i="2" a="1"/>
  <c r="M561" i="2" a="1"/>
  <c r="M562" i="2" a="1"/>
  <c r="M563" i="2" a="1"/>
  <c r="M564" i="2" a="1"/>
  <c r="M565" i="2" a="1"/>
  <c r="M566" i="2" a="1"/>
  <c r="M567" i="2" a="1"/>
  <c r="M568" i="2" a="1"/>
  <c r="M569" i="2" a="1"/>
  <c r="M570" i="2" a="1"/>
  <c r="M571" i="2" a="1"/>
  <c r="M572" i="2" a="1"/>
  <c r="M573" i="2" a="1"/>
  <c r="M574" i="2" a="1"/>
  <c r="M575" i="2" a="1"/>
  <c r="M576" i="2" a="1"/>
  <c r="M577" i="2" a="1"/>
  <c r="M578" i="2" a="1"/>
  <c r="M579" i="2" a="1"/>
  <c r="M580" i="2" a="1"/>
  <c r="M581" i="2" a="1"/>
  <c r="M582" i="2" a="1"/>
  <c r="M583" i="2" a="1"/>
  <c r="M584" i="2" a="1"/>
  <c r="M585" i="2" a="1"/>
  <c r="M586" i="2" a="1"/>
  <c r="M587" i="2" a="1"/>
  <c r="M588" i="2" a="1"/>
  <c r="M589" i="2" a="1"/>
  <c r="M590" i="2" a="1"/>
  <c r="M591" i="2" a="1"/>
  <c r="M592" i="2" a="1"/>
  <c r="M593" i="2" a="1"/>
  <c r="M594" i="2" a="1"/>
  <c r="M595" i="2" a="1"/>
  <c r="M596" i="2" a="1"/>
  <c r="M597" i="2" a="1"/>
  <c r="M598" i="2" a="1"/>
  <c r="M599" i="2" a="1"/>
  <c r="M600" i="2" a="1"/>
  <c r="M601" i="2" a="1"/>
  <c r="M602" i="2" a="1"/>
  <c r="M603" i="2" a="1"/>
  <c r="M604" i="2" a="1"/>
  <c r="M605" i="2" a="1"/>
  <c r="M606" i="2" a="1"/>
  <c r="M607" i="2" a="1"/>
  <c r="M608" i="2" a="1"/>
  <c r="M609" i="2" a="1"/>
  <c r="M610" i="2" a="1"/>
  <c r="M611" i="2" a="1"/>
  <c r="M612" i="2" a="1"/>
  <c r="M613" i="2" a="1"/>
  <c r="M614" i="2" a="1"/>
  <c r="M615" i="2" a="1"/>
  <c r="M616" i="2" a="1"/>
  <c r="M617" i="2" a="1"/>
  <c r="M618" i="2" a="1"/>
  <c r="M619" i="2" a="1"/>
  <c r="M620" i="2" a="1"/>
  <c r="M621" i="2" a="1"/>
  <c r="M622" i="2" a="1"/>
  <c r="M623" i="2" a="1"/>
  <c r="M624" i="2" a="1"/>
  <c r="M625" i="2" a="1"/>
  <c r="M626" i="2" a="1"/>
  <c r="M627" i="2" a="1"/>
  <c r="M628" i="2" a="1"/>
  <c r="M629" i="2" a="1"/>
  <c r="M630" i="2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L853" i="2"/>
  <c r="P853" i="2" s="1"/>
  <c r="M854" i="2" a="1"/>
  <c r="L854" i="2"/>
  <c r="P854" i="2" s="1"/>
  <c r="M855" i="2" a="1"/>
  <c r="L855" i="2"/>
  <c r="P855" i="2" s="1"/>
  <c r="L856" i="2"/>
  <c r="P856" i="2" s="1"/>
  <c r="M856" i="2" a="1"/>
  <c r="M857" i="2" a="1"/>
  <c r="L857" i="2"/>
  <c r="P857" i="2" s="1"/>
  <c r="M858" i="2" a="1"/>
  <c r="L858" i="2"/>
  <c r="P858" i="2" s="1"/>
  <c r="L859" i="2"/>
  <c r="P859" i="2" s="1"/>
  <c r="M859" i="2" a="1"/>
  <c r="L860" i="2"/>
  <c r="P860" i="2" s="1"/>
  <c r="M860" i="2" a="1"/>
  <c r="M861" i="2" a="1"/>
  <c r="L861" i="2"/>
  <c r="P861" i="2" s="1"/>
  <c r="L862" i="2"/>
  <c r="P862" i="2" s="1"/>
  <c r="M862" i="2" a="1"/>
  <c r="M863" i="2" a="1"/>
  <c r="L863" i="2"/>
  <c r="P863" i="2"/>
  <c r="M864" i="2" a="1"/>
  <c r="L864" i="2"/>
  <c r="P864" i="2"/>
  <c r="M865" i="2" a="1"/>
  <c r="L865" i="2"/>
  <c r="P865" i="2" s="1"/>
  <c r="M866" i="2" a="1"/>
  <c r="L866" i="2"/>
  <c r="P866" i="2" s="1"/>
  <c r="L867" i="2"/>
  <c r="P867" i="2" s="1"/>
  <c r="M867" i="2" a="1"/>
  <c r="L868" i="2"/>
  <c r="P868" i="2" s="1"/>
  <c r="M868" i="2" a="1"/>
  <c r="L869" i="2"/>
  <c r="P869" i="2" s="1"/>
  <c r="M869" i="2" a="1"/>
  <c r="L870" i="2"/>
  <c r="P870" i="2" s="1"/>
  <c r="M870" i="2" a="1"/>
  <c r="L871" i="2"/>
  <c r="P871" i="2" s="1"/>
  <c r="M871" i="2" a="1"/>
  <c r="M872" i="2" a="1"/>
  <c r="L872" i="2"/>
  <c r="P872" i="2" s="1"/>
  <c r="L873" i="2"/>
  <c r="P873" i="2" s="1"/>
  <c r="M873" i="2" a="1"/>
  <c r="L874" i="2"/>
  <c r="P874" i="2" s="1"/>
  <c r="M874" i="2" a="1"/>
  <c r="M875" i="2" a="1"/>
  <c r="L875" i="2"/>
  <c r="P875" i="2" s="1"/>
  <c r="M876" i="2" a="1"/>
  <c r="L876" i="2"/>
  <c r="P876" i="2" s="1"/>
  <c r="M877" i="2" a="1"/>
  <c r="L877" i="2"/>
  <c r="P877" i="2" s="1"/>
  <c r="M878" i="2" a="1"/>
  <c r="L878" i="2"/>
  <c r="P878" i="2" s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L932" i="2"/>
  <c r="P932" i="2" s="1"/>
  <c r="M932" i="2" a="1"/>
  <c r="M933" i="2" a="1"/>
  <c r="L933" i="2"/>
  <c r="P933" i="2" s="1"/>
  <c r="L934" i="2"/>
  <c r="M934" i="2" a="1"/>
  <c r="P934" i="2"/>
  <c r="L935" i="2"/>
  <c r="P935" i="2" s="1"/>
  <c r="M935" i="2" a="1"/>
  <c r="L936" i="2"/>
  <c r="P936" i="2" s="1"/>
  <c r="M936" i="2" a="1"/>
  <c r="M937" i="2" a="1"/>
  <c r="L937" i="2"/>
  <c r="P937" i="2" s="1"/>
  <c r="M938" i="2" a="1"/>
  <c r="L938" i="2"/>
  <c r="P938" i="2" s="1"/>
  <c r="M939" i="2" a="1"/>
  <c r="L939" i="2"/>
  <c r="P939" i="2" s="1"/>
  <c r="M940" i="2" a="1"/>
  <c r="L940" i="2"/>
  <c r="P940" i="2" s="1"/>
  <c r="L941" i="2"/>
  <c r="P941" i="2" s="1"/>
  <c r="M941" i="2" a="1"/>
  <c r="M942" i="2" a="1"/>
  <c r="L942" i="2"/>
  <c r="P942" i="2" s="1"/>
  <c r="M943" i="2" a="1"/>
  <c r="L943" i="2"/>
  <c r="P943" i="2" s="1"/>
  <c r="M944" i="2" a="1"/>
  <c r="L944" i="2"/>
  <c r="P944" i="2" s="1"/>
  <c r="M945" i="2" a="1"/>
  <c r="L945" i="2"/>
  <c r="P945" i="2" s="1"/>
  <c r="M946" i="2" a="1"/>
  <c r="L946" i="2"/>
  <c r="P946" i="2" s="1"/>
  <c r="M947" i="2" a="1"/>
  <c r="L947" i="2"/>
  <c r="P947" i="2" s="1"/>
  <c r="L948" i="2"/>
  <c r="P948" i="2" s="1"/>
  <c r="M948" i="2" a="1"/>
  <c r="M949" i="2" a="1"/>
  <c r="L949" i="2"/>
  <c r="P949" i="2" s="1"/>
  <c r="M950" i="2" a="1"/>
  <c r="L950" i="2"/>
  <c r="P950" i="2" s="1"/>
  <c r="L951" i="2"/>
  <c r="P951" i="2" s="1"/>
  <c r="M951" i="2" a="1"/>
  <c r="M952" i="2" a="1"/>
  <c r="L952" i="2"/>
  <c r="P952" i="2" s="1"/>
  <c r="M953" i="2" a="1"/>
  <c r="L953" i="2"/>
  <c r="P953" i="2" s="1"/>
  <c r="M954" i="2" a="1"/>
  <c r="L954" i="2"/>
  <c r="P954" i="2" s="1"/>
  <c r="L955" i="2"/>
  <c r="P955" i="2" s="1"/>
  <c r="M955" i="2" a="1"/>
  <c r="M956" i="2" a="1"/>
  <c r="L956" i="2"/>
  <c r="P956" i="2" s="1"/>
  <c r="M957" i="2" a="1"/>
  <c r="L957" i="2"/>
  <c r="P957" i="2" s="1"/>
  <c r="L958" i="2"/>
  <c r="P958" i="2" s="1"/>
  <c r="M958" i="2" a="1"/>
  <c r="L959" i="2"/>
  <c r="P959" i="2" s="1"/>
  <c r="M959" i="2" a="1"/>
  <c r="L960" i="2"/>
  <c r="P960" i="2" s="1"/>
  <c r="M960" i="2" a="1"/>
  <c r="M961" i="2" a="1"/>
  <c r="L961" i="2"/>
  <c r="P961" i="2" s="1"/>
  <c r="M962" i="2" a="1"/>
  <c r="L962" i="2"/>
  <c r="P962" i="2" s="1"/>
  <c r="M963" i="2" a="1"/>
  <c r="L963" i="2"/>
  <c r="P963" i="2" s="1"/>
  <c r="M964" i="2" a="1"/>
  <c r="L964" i="2"/>
  <c r="P964" i="2" s="1"/>
  <c r="L965" i="2"/>
  <c r="P965" i="2" s="1"/>
  <c r="M965" i="2" a="1"/>
  <c r="M966" i="2" a="1"/>
  <c r="L966" i="2"/>
  <c r="P966" i="2" s="1"/>
  <c r="M967" i="2" a="1"/>
  <c r="L967" i="2"/>
  <c r="P967" i="2" s="1"/>
  <c r="L968" i="2"/>
  <c r="P968" i="2" s="1"/>
  <c r="M968" i="2" a="1"/>
  <c r="L969" i="2"/>
  <c r="P969" i="2" s="1"/>
  <c r="M969" i="2" a="1"/>
  <c r="L970" i="2"/>
  <c r="P970" i="2" s="1"/>
  <c r="M970" i="2" a="1"/>
  <c r="M971" i="2" a="1"/>
  <c r="L971" i="2"/>
  <c r="P971" i="2" s="1"/>
  <c r="M972" i="2" a="1"/>
  <c r="L972" i="2"/>
  <c r="P972" i="2" s="1"/>
  <c r="M973" i="2" a="1"/>
  <c r="L973" i="2"/>
  <c r="P973" i="2" s="1"/>
  <c r="L974" i="2"/>
  <c r="P974" i="2" s="1"/>
  <c r="M974" i="2" a="1"/>
  <c r="L975" i="2"/>
  <c r="P975" i="2" s="1"/>
  <c r="M975" i="2" a="1"/>
  <c r="L976" i="2"/>
  <c r="P976" i="2" s="1"/>
  <c r="M976" i="2" a="1"/>
  <c r="M977" i="2" a="1"/>
  <c r="L977" i="2"/>
  <c r="P977" i="2" s="1"/>
  <c r="L978" i="2"/>
  <c r="P978" i="2" s="1"/>
  <c r="M978" i="2" a="1"/>
  <c r="M979" i="2" a="1"/>
  <c r="L979" i="2"/>
  <c r="P979" i="2" s="1"/>
  <c r="M980" i="2" a="1"/>
  <c r="L980" i="2"/>
  <c r="P980" i="2" s="1"/>
  <c r="L981" i="2"/>
  <c r="P981" i="2" s="1"/>
  <c r="M981" i="2" a="1"/>
  <c r="M982" i="2" a="1"/>
  <c r="L982" i="2"/>
  <c r="P982" i="2" s="1"/>
  <c r="L983" i="2"/>
  <c r="P983" i="2" s="1"/>
  <c r="M983" i="2" a="1"/>
  <c r="M984" i="2" a="1"/>
  <c r="L984" i="2"/>
  <c r="P984" i="2" s="1"/>
  <c r="M985" i="2" a="1"/>
  <c r="L985" i="2"/>
  <c r="P985" i="2" s="1"/>
  <c r="M986" i="2" a="1"/>
  <c r="L986" i="2"/>
  <c r="P986" i="2" s="1"/>
  <c r="M987" i="2" a="1"/>
  <c r="L987" i="2"/>
  <c r="P987" i="2" s="1"/>
  <c r="M988" i="2" a="1"/>
  <c r="L988" i="2"/>
  <c r="P988" i="2" s="1"/>
  <c r="M989" i="2" a="1"/>
  <c r="L989" i="2"/>
  <c r="P989" i="2" s="1"/>
  <c r="L990" i="2"/>
  <c r="P990" i="2" s="1"/>
  <c r="M990" i="2" a="1"/>
  <c r="L991" i="2"/>
  <c r="P991" i="2" s="1"/>
  <c r="M991" i="2" a="1"/>
  <c r="L992" i="2"/>
  <c r="P992" i="2" s="1"/>
  <c r="M992" i="2" a="1"/>
  <c r="L993" i="2"/>
  <c r="P993" i="2" s="1"/>
  <c r="M993" i="2" a="1"/>
  <c r="L994" i="2"/>
  <c r="P994" i="2" s="1"/>
  <c r="M994" i="2" a="1"/>
  <c r="L995" i="2"/>
  <c r="P995" i="2" s="1"/>
  <c r="M995" i="2" a="1"/>
  <c r="L996" i="2"/>
  <c r="P996" i="2" s="1"/>
  <c r="M996" i="2" a="1"/>
  <c r="L997" i="2"/>
  <c r="P997" i="2" s="1"/>
  <c r="M997" i="2" a="1"/>
  <c r="L998" i="2"/>
  <c r="P998" i="2" s="1"/>
  <c r="M998" i="2" a="1"/>
  <c r="L999" i="2"/>
  <c r="P999" i="2" s="1"/>
  <c r="M999" i="2" a="1"/>
  <c r="L1000" i="2"/>
  <c r="P1000" i="2" s="1"/>
  <c r="M1000" i="2" a="1"/>
  <c r="L1001" i="2"/>
  <c r="P1001" i="2" s="1"/>
  <c r="M1001" i="2" a="1"/>
  <c r="P189" i="2"/>
  <c r="P190" i="2"/>
  <c r="P191" i="2"/>
  <c r="P192" i="2"/>
  <c r="P193" i="2"/>
  <c r="P194" i="2"/>
  <c r="P195" i="2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A2" i="2" l="1"/>
  <c r="J2" i="2"/>
  <c r="A3" i="2"/>
  <c r="J3" i="2"/>
  <c r="A4" i="2"/>
  <c r="J4" i="2"/>
  <c r="A5" i="2"/>
  <c r="J5" i="2"/>
  <c r="A6" i="2"/>
  <c r="J6" i="2"/>
  <c r="A7" i="2"/>
  <c r="J7" i="2"/>
  <c r="A8" i="2"/>
  <c r="J8" i="2"/>
  <c r="A9" i="2"/>
  <c r="J9" i="2"/>
  <c r="A10" i="2"/>
  <c r="J10" i="2"/>
  <c r="A11" i="2"/>
  <c r="J11" i="2"/>
  <c r="A12" i="2"/>
  <c r="J12" i="2"/>
  <c r="A13" i="2"/>
  <c r="J13" i="2"/>
  <c r="A14" i="2"/>
  <c r="J14" i="2"/>
  <c r="A15" i="2"/>
  <c r="J15" i="2"/>
  <c r="A16" i="2"/>
  <c r="J16" i="2"/>
  <c r="A17" i="2"/>
  <c r="J17" i="2"/>
  <c r="A18" i="2"/>
  <c r="J18" i="2"/>
  <c r="A19" i="2"/>
  <c r="J19" i="2"/>
  <c r="A20" i="2"/>
  <c r="J20" i="2"/>
  <c r="A21" i="2"/>
  <c r="J21" i="2"/>
  <c r="A22" i="2"/>
  <c r="J22" i="2"/>
  <c r="A23" i="2"/>
  <c r="J23" i="2"/>
  <c r="A24" i="2"/>
  <c r="J24" i="2"/>
  <c r="A25" i="2"/>
  <c r="J25" i="2"/>
  <c r="A26" i="2"/>
  <c r="J26" i="2"/>
  <c r="A27" i="2"/>
  <c r="J27" i="2"/>
  <c r="A28" i="2"/>
  <c r="J28" i="2"/>
  <c r="A29" i="2"/>
  <c r="J29" i="2"/>
  <c r="A30" i="2"/>
  <c r="J30" i="2"/>
  <c r="A31" i="2"/>
  <c r="J31" i="2"/>
  <c r="A32" i="2"/>
  <c r="J32" i="2"/>
  <c r="A33" i="2"/>
  <c r="J33" i="2"/>
  <c r="A34" i="2"/>
  <c r="J34" i="2"/>
  <c r="A35" i="2"/>
  <c r="J35" i="2"/>
  <c r="A36" i="2"/>
  <c r="J36" i="2"/>
  <c r="A37" i="2"/>
  <c r="J37" i="2"/>
  <c r="A38" i="2"/>
  <c r="J38" i="2"/>
  <c r="A39" i="2"/>
  <c r="J39" i="2"/>
  <c r="A40" i="2"/>
  <c r="J40" i="2"/>
  <c r="A41" i="2"/>
  <c r="J41" i="2"/>
  <c r="A42" i="2"/>
  <c r="J42" i="2"/>
  <c r="A43" i="2"/>
  <c r="J43" i="2"/>
  <c r="A44" i="2"/>
  <c r="J44" i="2"/>
  <c r="A45" i="2"/>
  <c r="J45" i="2"/>
  <c r="A46" i="2"/>
  <c r="J46" i="2"/>
  <c r="A47" i="2"/>
  <c r="J47" i="2"/>
  <c r="A48" i="2"/>
  <c r="J48" i="2"/>
  <c r="A49" i="2"/>
  <c r="J49" i="2"/>
  <c r="A50" i="2"/>
  <c r="J50" i="2"/>
  <c r="A51" i="2"/>
  <c r="J51" i="2"/>
  <c r="A52" i="2"/>
  <c r="J52" i="2"/>
  <c r="K514" i="2"/>
  <c r="A514" i="2"/>
  <c r="E514" i="2" a="1"/>
  <c r="J514" i="2"/>
  <c r="K515" i="2"/>
  <c r="A515" i="2"/>
  <c r="E515" i="2" a="1"/>
  <c r="J515" i="2"/>
  <c r="K516" i="2"/>
  <c r="A516" i="2"/>
  <c r="E516" i="2" a="1"/>
  <c r="J516" i="2"/>
  <c r="K517" i="2"/>
  <c r="A517" i="2"/>
  <c r="E517" i="2" a="1"/>
  <c r="J517" i="2"/>
  <c r="K518" i="2"/>
  <c r="A518" i="2"/>
  <c r="E518" i="2" a="1"/>
  <c r="J518" i="2"/>
  <c r="K519" i="2"/>
  <c r="A519" i="2"/>
  <c r="E519" i="2" a="1"/>
  <c r="J519" i="2"/>
  <c r="K520" i="2"/>
  <c r="A520" i="2"/>
  <c r="E520" i="2" a="1"/>
  <c r="J520" i="2"/>
  <c r="K521" i="2"/>
  <c r="A521" i="2"/>
  <c r="E521" i="2" a="1"/>
  <c r="J521" i="2"/>
  <c r="K522" i="2"/>
  <c r="A522" i="2"/>
  <c r="E522" i="2" a="1"/>
  <c r="J522" i="2"/>
  <c r="K523" i="2"/>
  <c r="A523" i="2"/>
  <c r="E523" i="2" a="1"/>
  <c r="J523" i="2"/>
  <c r="K524" i="2"/>
  <c r="A524" i="2"/>
  <c r="E524" i="2" a="1"/>
  <c r="J524" i="2"/>
  <c r="K525" i="2"/>
  <c r="A525" i="2"/>
  <c r="E525" i="2" a="1"/>
  <c r="J525" i="2"/>
  <c r="K526" i="2"/>
  <c r="A526" i="2"/>
  <c r="E526" i="2" a="1"/>
  <c r="J526" i="2"/>
  <c r="K527" i="2"/>
  <c r="A527" i="2"/>
  <c r="E527" i="2" a="1"/>
  <c r="J527" i="2"/>
  <c r="K528" i="2"/>
  <c r="A528" i="2"/>
  <c r="E528" i="2" a="1"/>
  <c r="J528" i="2"/>
  <c r="K529" i="2"/>
  <c r="A529" i="2"/>
  <c r="E529" i="2" a="1"/>
  <c r="J529" i="2"/>
  <c r="K530" i="2"/>
  <c r="A530" i="2"/>
  <c r="E530" i="2" a="1"/>
  <c r="J530" i="2"/>
  <c r="K531" i="2"/>
  <c r="A531" i="2"/>
  <c r="E531" i="2" a="1"/>
  <c r="J531" i="2"/>
  <c r="K532" i="2"/>
  <c r="A532" i="2"/>
  <c r="E532" i="2" a="1"/>
  <c r="J532" i="2"/>
  <c r="K533" i="2"/>
  <c r="A533" i="2"/>
  <c r="E533" i="2" a="1"/>
  <c r="J533" i="2"/>
  <c r="K534" i="2"/>
  <c r="A534" i="2"/>
  <c r="E534" i="2" a="1"/>
  <c r="J534" i="2"/>
  <c r="K535" i="2"/>
  <c r="A535" i="2"/>
  <c r="E535" i="2" a="1"/>
  <c r="J535" i="2"/>
  <c r="K536" i="2"/>
  <c r="A536" i="2"/>
  <c r="E536" i="2" a="1"/>
  <c r="J536" i="2"/>
  <c r="K537" i="2"/>
  <c r="A537" i="2"/>
  <c r="E537" i="2" a="1"/>
  <c r="J537" i="2"/>
  <c r="K538" i="2"/>
  <c r="A538" i="2"/>
  <c r="E538" i="2" a="1"/>
  <c r="J538" i="2"/>
  <c r="K539" i="2"/>
  <c r="A539" i="2"/>
  <c r="E539" i="2" a="1"/>
  <c r="J539" i="2"/>
  <c r="K540" i="2"/>
  <c r="A540" i="2"/>
  <c r="E540" i="2" a="1"/>
  <c r="J540" i="2"/>
  <c r="K541" i="2"/>
  <c r="A541" i="2"/>
  <c r="E541" i="2" a="1"/>
  <c r="J541" i="2"/>
  <c r="K542" i="2"/>
  <c r="A542" i="2"/>
  <c r="J542" i="2"/>
  <c r="E542" i="2" a="1"/>
  <c r="K543" i="2"/>
  <c r="A543" i="2"/>
  <c r="E543" i="2" a="1"/>
  <c r="J543" i="2"/>
  <c r="K544" i="2"/>
  <c r="A544" i="2"/>
  <c r="E544" i="2" a="1"/>
  <c r="J544" i="2"/>
  <c r="K545" i="2"/>
  <c r="A545" i="2"/>
  <c r="J545" i="2"/>
  <c r="E545" i="2" a="1"/>
  <c r="K546" i="2"/>
  <c r="A546" i="2"/>
  <c r="E546" i="2" a="1"/>
  <c r="J546" i="2"/>
  <c r="K547" i="2"/>
  <c r="A547" i="2"/>
  <c r="E547" i="2" a="1"/>
  <c r="J547" i="2"/>
  <c r="K548" i="2"/>
  <c r="A548" i="2"/>
  <c r="E548" i="2" a="1"/>
  <c r="J548" i="2"/>
  <c r="K549" i="2"/>
  <c r="A549" i="2"/>
  <c r="E549" i="2" a="1"/>
  <c r="J549" i="2"/>
  <c r="K550" i="2"/>
  <c r="A550" i="2"/>
  <c r="E550" i="2" a="1"/>
  <c r="J550" i="2"/>
  <c r="K551" i="2"/>
  <c r="A551" i="2"/>
  <c r="J551" i="2"/>
  <c r="E551" i="2" a="1"/>
  <c r="K552" i="2"/>
  <c r="A552" i="2"/>
  <c r="J552" i="2"/>
  <c r="E552" i="2" a="1"/>
  <c r="K553" i="2"/>
  <c r="A553" i="2"/>
  <c r="E553" i="2" a="1"/>
  <c r="J553" i="2"/>
  <c r="K554" i="2"/>
  <c r="A554" i="2"/>
  <c r="E554" i="2" a="1"/>
  <c r="J554" i="2"/>
  <c r="K555" i="2"/>
  <c r="A555" i="2"/>
  <c r="E555" i="2" a="1"/>
  <c r="J555" i="2"/>
  <c r="K556" i="2"/>
  <c r="A556" i="2"/>
  <c r="E556" i="2" a="1"/>
  <c r="J556" i="2"/>
  <c r="K557" i="2"/>
  <c r="A557" i="2"/>
  <c r="E557" i="2" a="1"/>
  <c r="J557" i="2"/>
  <c r="K558" i="2"/>
  <c r="A558" i="2"/>
  <c r="J558" i="2"/>
  <c r="E558" i="2" a="1"/>
  <c r="K559" i="2"/>
  <c r="A559" i="2"/>
  <c r="J559" i="2"/>
  <c r="E559" i="2" a="1"/>
  <c r="K560" i="2"/>
  <c r="A560" i="2"/>
  <c r="E560" i="2" a="1"/>
  <c r="J560" i="2"/>
  <c r="K561" i="2"/>
  <c r="A561" i="2"/>
  <c r="E561" i="2" a="1"/>
  <c r="J561" i="2"/>
  <c r="K562" i="2"/>
  <c r="A562" i="2"/>
  <c r="E562" i="2" a="1"/>
  <c r="J562" i="2"/>
  <c r="K563" i="2"/>
  <c r="A563" i="2"/>
  <c r="E563" i="2" a="1"/>
  <c r="J563" i="2"/>
  <c r="K564" i="2"/>
  <c r="A564" i="2"/>
  <c r="E564" i="2" a="1"/>
  <c r="J564" i="2"/>
  <c r="K565" i="2"/>
  <c r="A565" i="2"/>
  <c r="J565" i="2"/>
  <c r="E565" i="2" a="1"/>
  <c r="K566" i="2"/>
  <c r="A566" i="2"/>
  <c r="J566" i="2"/>
  <c r="E566" i="2" a="1"/>
  <c r="K567" i="2"/>
  <c r="E567" i="2" a="1"/>
  <c r="A567" i="2"/>
  <c r="J567" i="2"/>
  <c r="K568" i="2"/>
  <c r="A568" i="2"/>
  <c r="E568" i="2" a="1"/>
  <c r="J568" i="2"/>
  <c r="K569" i="2"/>
  <c r="E569" i="2" a="1"/>
  <c r="A569" i="2"/>
  <c r="J569" i="2"/>
  <c r="K570" i="2"/>
  <c r="A570" i="2"/>
  <c r="E570" i="2" a="1"/>
  <c r="J570" i="2"/>
  <c r="K571" i="2"/>
  <c r="A571" i="2"/>
  <c r="E571" i="2" a="1"/>
  <c r="J571" i="2"/>
  <c r="K572" i="2"/>
  <c r="A572" i="2"/>
  <c r="J572" i="2"/>
  <c r="E572" i="2" a="1"/>
  <c r="K573" i="2"/>
  <c r="A573" i="2"/>
  <c r="J573" i="2"/>
  <c r="E573" i="2" a="1"/>
  <c r="K574" i="2"/>
  <c r="E574" i="2" a="1"/>
  <c r="A574" i="2"/>
  <c r="J574" i="2"/>
  <c r="K575" i="2"/>
  <c r="E575" i="2" a="1"/>
  <c r="A575" i="2"/>
  <c r="J575" i="2"/>
  <c r="K576" i="2"/>
  <c r="A576" i="2"/>
  <c r="E576" i="2" a="1"/>
  <c r="J576" i="2"/>
  <c r="K577" i="2"/>
  <c r="A577" i="2"/>
  <c r="E577" i="2" a="1"/>
  <c r="J577" i="2"/>
  <c r="K578" i="2"/>
  <c r="A578" i="2"/>
  <c r="E578" i="2" a="1"/>
  <c r="J578" i="2"/>
  <c r="K579" i="2"/>
  <c r="A579" i="2"/>
  <c r="J579" i="2"/>
  <c r="E579" i="2" a="1"/>
  <c r="K580" i="2"/>
  <c r="A580" i="2"/>
  <c r="J580" i="2"/>
  <c r="E580" i="2" a="1"/>
  <c r="K581" i="2"/>
  <c r="E581" i="2" a="1"/>
  <c r="A581" i="2"/>
  <c r="J581" i="2"/>
  <c r="K582" i="2"/>
  <c r="E582" i="2" a="1"/>
  <c r="A582" i="2"/>
  <c r="J582" i="2"/>
  <c r="K583" i="2"/>
  <c r="A583" i="2"/>
  <c r="E583" i="2" a="1"/>
  <c r="J583" i="2"/>
  <c r="K584" i="2"/>
  <c r="A584" i="2"/>
  <c r="E584" i="2" a="1"/>
  <c r="J584" i="2"/>
  <c r="K585" i="2"/>
  <c r="A585" i="2"/>
  <c r="J585" i="2"/>
  <c r="E585" i="2" a="1"/>
  <c r="K586" i="2"/>
  <c r="A586" i="2"/>
  <c r="E586" i="2" a="1"/>
  <c r="J586" i="2"/>
  <c r="K587" i="2"/>
  <c r="E587" i="2" a="1"/>
  <c r="A587" i="2"/>
  <c r="J587" i="2"/>
  <c r="K588" i="2"/>
  <c r="A588" i="2"/>
  <c r="J588" i="2"/>
  <c r="E588" i="2" a="1"/>
  <c r="K589" i="2"/>
  <c r="A589" i="2"/>
  <c r="E589" i="2" a="1"/>
  <c r="J589" i="2"/>
  <c r="K590" i="2"/>
  <c r="E590" i="2" a="1"/>
  <c r="A590" i="2"/>
  <c r="J590" i="2"/>
  <c r="K591" i="2"/>
  <c r="A591" i="2"/>
  <c r="E591" i="2" a="1"/>
  <c r="J591" i="2"/>
  <c r="A592" i="2"/>
  <c r="J592" i="2"/>
  <c r="E592" i="2" a="1"/>
  <c r="A593" i="2"/>
  <c r="E593" i="2" a="1"/>
  <c r="J593" i="2"/>
  <c r="A594" i="2"/>
  <c r="J594" i="2"/>
  <c r="E594" i="2" a="1"/>
  <c r="E595" i="2" a="1"/>
  <c r="A595" i="2"/>
  <c r="J595" i="2"/>
  <c r="A596" i="2"/>
  <c r="E596" i="2" a="1"/>
  <c r="J596" i="2"/>
  <c r="A597" i="2"/>
  <c r="E597" i="2" a="1"/>
  <c r="J597" i="2"/>
  <c r="A598" i="2"/>
  <c r="J598" i="2"/>
  <c r="E598" i="2" a="1"/>
  <c r="A599" i="2"/>
  <c r="J599" i="2"/>
  <c r="E599" i="2" a="1"/>
  <c r="A600" i="2"/>
  <c r="E600" i="2" a="1"/>
  <c r="J600" i="2"/>
  <c r="E601" i="2" a="1"/>
  <c r="A601" i="2"/>
  <c r="J601" i="2"/>
  <c r="E602" i="2" a="1"/>
  <c r="A602" i="2"/>
  <c r="J602" i="2"/>
  <c r="A603" i="2"/>
  <c r="E603" i="2" a="1"/>
  <c r="J603" i="2"/>
  <c r="A604" i="2"/>
  <c r="E604" i="2" a="1"/>
  <c r="J604" i="2"/>
  <c r="A605" i="2"/>
  <c r="J605" i="2"/>
  <c r="E605" i="2" a="1"/>
  <c r="A606" i="2"/>
  <c r="J606" i="2"/>
  <c r="E606" i="2" a="1"/>
  <c r="E607" i="2" a="1"/>
  <c r="A607" i="2"/>
  <c r="J607" i="2"/>
  <c r="E608" i="2" a="1"/>
  <c r="A608" i="2"/>
  <c r="J608" i="2"/>
  <c r="A609" i="2"/>
  <c r="E609" i="2" a="1"/>
  <c r="J609" i="2"/>
  <c r="A610" i="2"/>
  <c r="E610" i="2" a="1"/>
  <c r="J610" i="2"/>
  <c r="A611" i="2"/>
  <c r="E611" i="2" a="1"/>
  <c r="J611" i="2"/>
  <c r="A612" i="2"/>
  <c r="J612" i="2"/>
  <c r="E612" i="2" a="1"/>
  <c r="A613" i="2"/>
  <c r="J613" i="2"/>
  <c r="E613" i="2" a="1"/>
  <c r="E614" i="2" a="1"/>
  <c r="A614" i="2"/>
  <c r="J614" i="2"/>
  <c r="A615" i="2"/>
  <c r="E615" i="2" a="1"/>
  <c r="J615" i="2"/>
  <c r="E616" i="2" a="1"/>
  <c r="A616" i="2"/>
  <c r="J616" i="2"/>
  <c r="A617" i="2"/>
  <c r="E617" i="2" a="1"/>
  <c r="J617" i="2"/>
  <c r="A618" i="2"/>
  <c r="E618" i="2" a="1"/>
  <c r="J618" i="2"/>
  <c r="A619" i="2"/>
  <c r="J619" i="2"/>
  <c r="E619" i="2" a="1"/>
  <c r="A620" i="2"/>
  <c r="J620" i="2"/>
  <c r="E620" i="2" a="1"/>
  <c r="E621" i="2" a="1"/>
  <c r="A621" i="2"/>
  <c r="J621" i="2"/>
  <c r="E622" i="2" a="1"/>
  <c r="A622" i="2"/>
  <c r="J622" i="2"/>
  <c r="A623" i="2"/>
  <c r="E623" i="2" a="1"/>
  <c r="J623" i="2"/>
  <c r="A624" i="2"/>
  <c r="E624" i="2" a="1"/>
  <c r="J624" i="2"/>
  <c r="A625" i="2"/>
  <c r="E625" i="2" a="1"/>
  <c r="J625" i="2"/>
  <c r="A626" i="2"/>
  <c r="J626" i="2"/>
  <c r="E626" i="2" a="1"/>
  <c r="A627" i="2"/>
  <c r="J627" i="2"/>
  <c r="E627" i="2" a="1"/>
  <c r="E628" i="2" a="1"/>
  <c r="A628" i="2"/>
  <c r="J628" i="2"/>
  <c r="E629" i="2" a="1"/>
  <c r="A629" i="2"/>
  <c r="J629" i="2"/>
  <c r="A630" i="2"/>
  <c r="E630" i="2" a="1"/>
  <c r="J630" i="2"/>
  <c r="A631" i="2"/>
  <c r="E631" i="2" a="1"/>
  <c r="J631" i="2"/>
  <c r="A632" i="2"/>
  <c r="E632" i="2" a="1"/>
  <c r="J632" i="2"/>
  <c r="A633" i="2"/>
  <c r="J633" i="2"/>
  <c r="E633" i="2" a="1"/>
  <c r="A634" i="2"/>
  <c r="J634" i="2"/>
  <c r="E634" i="2" a="1"/>
  <c r="E635" i="2" a="1"/>
  <c r="A635" i="2"/>
  <c r="J635" i="2"/>
  <c r="E636" i="2" a="1"/>
  <c r="A636" i="2"/>
  <c r="J636" i="2"/>
  <c r="A637" i="2"/>
  <c r="E637" i="2" a="1"/>
  <c r="J637" i="2"/>
  <c r="A638" i="2"/>
  <c r="E638" i="2" a="1"/>
  <c r="J638" i="2"/>
  <c r="A639" i="2"/>
  <c r="E639" i="2" a="1"/>
  <c r="J639" i="2"/>
  <c r="A640" i="2"/>
  <c r="J640" i="2"/>
  <c r="E640" i="2" a="1"/>
  <c r="A641" i="2"/>
  <c r="J641" i="2"/>
  <c r="E641" i="2" a="1"/>
  <c r="E642" i="2" a="1"/>
  <c r="A642" i="2"/>
  <c r="J642" i="2"/>
  <c r="E643" i="2" a="1"/>
  <c r="A643" i="2"/>
  <c r="J643" i="2"/>
  <c r="A644" i="2"/>
  <c r="E644" i="2" a="1"/>
  <c r="J644" i="2"/>
  <c r="A645" i="2"/>
  <c r="E645" i="2" a="1"/>
  <c r="J645" i="2"/>
  <c r="A646" i="2"/>
  <c r="E646" i="2" a="1"/>
  <c r="J646" i="2"/>
  <c r="A647" i="2"/>
  <c r="J647" i="2"/>
  <c r="E647" i="2" a="1"/>
  <c r="A648" i="2"/>
  <c r="J648" i="2"/>
  <c r="E648" i="2" a="1"/>
  <c r="E649" i="2" a="1"/>
  <c r="A649" i="2"/>
  <c r="J649" i="2"/>
  <c r="E650" i="2" a="1"/>
  <c r="A650" i="2"/>
  <c r="J650" i="2"/>
  <c r="A651" i="2"/>
  <c r="E651" i="2" a="1"/>
  <c r="J651" i="2"/>
  <c r="A652" i="2"/>
  <c r="E652" i="2" a="1"/>
  <c r="J652" i="2"/>
  <c r="E653" i="2" a="1"/>
  <c r="A653" i="2"/>
  <c r="J653" i="2"/>
  <c r="A654" i="2"/>
  <c r="E654" i="2" a="1"/>
  <c r="J654" i="2"/>
  <c r="E655" i="2" a="1"/>
  <c r="A655" i="2"/>
  <c r="J655" i="2"/>
  <c r="A656" i="2"/>
  <c r="E656" i="2" a="1"/>
  <c r="J656" i="2"/>
  <c r="A657" i="2"/>
  <c r="J657" i="2"/>
  <c r="E657" i="2" a="1"/>
  <c r="A658" i="2"/>
  <c r="J658" i="2"/>
  <c r="E658" i="2" a="1"/>
  <c r="A659" i="2"/>
  <c r="E659" i="2" a="1"/>
  <c r="J659" i="2"/>
  <c r="E660" i="2" a="1"/>
  <c r="A660" i="2"/>
  <c r="J660" i="2"/>
  <c r="A661" i="2"/>
  <c r="E661" i="2" a="1"/>
  <c r="J661" i="2"/>
  <c r="E662" i="2" a="1"/>
  <c r="A662" i="2"/>
  <c r="J662" i="2"/>
  <c r="A663" i="2"/>
  <c r="J663" i="2"/>
  <c r="E663" i="2" a="1"/>
  <c r="A664" i="2"/>
  <c r="E664" i="2" a="1"/>
  <c r="J664" i="2"/>
  <c r="A665" i="2"/>
  <c r="J665" i="2"/>
  <c r="E665" i="2" a="1"/>
  <c r="A666" i="2"/>
  <c r="E666" i="2" a="1"/>
  <c r="J666" i="2"/>
  <c r="E667" i="2" a="1"/>
  <c r="A667" i="2"/>
  <c r="J667" i="2"/>
  <c r="E668" i="2" a="1"/>
  <c r="A668" i="2"/>
  <c r="J668" i="2"/>
  <c r="A669" i="2"/>
  <c r="E669" i="2" a="1"/>
  <c r="J669" i="2"/>
  <c r="A670" i="2"/>
  <c r="J670" i="2"/>
  <c r="E670" i="2" a="1"/>
  <c r="A671" i="2"/>
  <c r="J671" i="2"/>
  <c r="E671" i="2" a="1"/>
  <c r="A672" i="2"/>
  <c r="E672" i="2" a="1"/>
  <c r="J672" i="2"/>
  <c r="E673" i="2" a="1"/>
  <c r="A673" i="2"/>
  <c r="J673" i="2"/>
  <c r="E674" i="2" a="1"/>
  <c r="A674" i="2"/>
  <c r="J674" i="2"/>
  <c r="A675" i="2"/>
  <c r="E675" i="2" a="1"/>
  <c r="J675" i="2"/>
  <c r="A676" i="2"/>
  <c r="J676" i="2"/>
  <c r="E676" i="2" a="1"/>
  <c r="A677" i="2"/>
  <c r="J677" i="2"/>
  <c r="E677" i="2" a="1"/>
  <c r="A678" i="2"/>
  <c r="E678" i="2" a="1"/>
  <c r="J678" i="2"/>
  <c r="E679" i="2" a="1"/>
  <c r="A679" i="2"/>
  <c r="J679" i="2"/>
  <c r="E680" i="2" a="1"/>
  <c r="A680" i="2"/>
  <c r="J680" i="2"/>
  <c r="A681" i="2"/>
  <c r="E681" i="2" a="1"/>
  <c r="J681" i="2"/>
  <c r="A682" i="2"/>
  <c r="J682" i="2"/>
  <c r="E682" i="2" a="1"/>
  <c r="A683" i="2"/>
  <c r="J683" i="2"/>
  <c r="E683" i="2" a="1"/>
  <c r="A684" i="2"/>
  <c r="E684" i="2" a="1"/>
  <c r="J684" i="2"/>
  <c r="E685" i="2" a="1"/>
  <c r="A685" i="2"/>
  <c r="J685" i="2"/>
  <c r="A686" i="2"/>
  <c r="E686" i="2" a="1"/>
  <c r="J686" i="2"/>
  <c r="E687" i="2" a="1"/>
  <c r="A687" i="2"/>
  <c r="J687" i="2"/>
  <c r="A688" i="2"/>
  <c r="J688" i="2"/>
  <c r="E688" i="2" a="1"/>
  <c r="A689" i="2"/>
  <c r="J689" i="2"/>
  <c r="E689" i="2" a="1"/>
  <c r="A690" i="2"/>
  <c r="E690" i="2" a="1"/>
  <c r="J690" i="2"/>
  <c r="E691" i="2" a="1"/>
  <c r="A691" i="2"/>
  <c r="J691" i="2"/>
  <c r="A692" i="2"/>
  <c r="E692" i="2" a="1"/>
  <c r="J692" i="2"/>
  <c r="E693" i="2" a="1"/>
  <c r="A693" i="2"/>
  <c r="J693" i="2"/>
  <c r="A694" i="2"/>
  <c r="J694" i="2"/>
  <c r="E694" i="2" a="1"/>
  <c r="A695" i="2"/>
  <c r="J695" i="2"/>
  <c r="E695" i="2" a="1"/>
  <c r="A696" i="2"/>
  <c r="E696" i="2" a="1"/>
  <c r="J696" i="2"/>
  <c r="E697" i="2" a="1"/>
  <c r="A697" i="2"/>
  <c r="J697" i="2"/>
  <c r="A698" i="2"/>
  <c r="E698" i="2" a="1"/>
  <c r="J698" i="2"/>
  <c r="E699" i="2" a="1"/>
  <c r="A699" i="2"/>
  <c r="J699" i="2"/>
  <c r="A700" i="2"/>
  <c r="J700" i="2"/>
  <c r="E700" i="2" a="1"/>
  <c r="A701" i="2"/>
  <c r="J701" i="2"/>
  <c r="E701" i="2" a="1"/>
  <c r="A702" i="2"/>
  <c r="E702" i="2" a="1"/>
  <c r="J702" i="2"/>
  <c r="E703" i="2" a="1"/>
  <c r="A703" i="2"/>
  <c r="J703" i="2"/>
  <c r="A704" i="2"/>
  <c r="E704" i="2" a="1"/>
  <c r="J704" i="2"/>
  <c r="E705" i="2" a="1"/>
  <c r="A705" i="2"/>
  <c r="J705" i="2"/>
  <c r="A706" i="2"/>
  <c r="J706" i="2"/>
  <c r="E706" i="2" a="1"/>
  <c r="A707" i="2"/>
  <c r="J707" i="2"/>
  <c r="E707" i="2" a="1"/>
  <c r="A708" i="2"/>
  <c r="E708" i="2" a="1"/>
  <c r="J708" i="2"/>
  <c r="E709" i="2" a="1"/>
  <c r="A709" i="2"/>
  <c r="J709" i="2"/>
  <c r="A710" i="2"/>
  <c r="E710" i="2" a="1"/>
  <c r="J710" i="2"/>
  <c r="E711" i="2" a="1"/>
  <c r="A711" i="2"/>
  <c r="J711" i="2"/>
  <c r="A712" i="2"/>
  <c r="J712" i="2"/>
  <c r="E712" i="2" a="1"/>
  <c r="A713" i="2"/>
  <c r="J713" i="2"/>
  <c r="E713" i="2" a="1"/>
  <c r="E714" i="2" a="1"/>
  <c r="A714" i="2"/>
  <c r="J714" i="2"/>
  <c r="A715" i="2"/>
  <c r="E715" i="2" a="1"/>
  <c r="J715" i="2"/>
  <c r="E716" i="2" a="1"/>
  <c r="A716" i="2"/>
  <c r="J716" i="2"/>
  <c r="A717" i="2"/>
  <c r="E717" i="2" a="1"/>
  <c r="J717" i="2"/>
  <c r="A718" i="2"/>
  <c r="J718" i="2"/>
  <c r="E718" i="2" a="1"/>
  <c r="A719" i="2"/>
  <c r="E719" i="2" a="1"/>
  <c r="J719" i="2"/>
  <c r="E720" i="2" a="1"/>
  <c r="A720" i="2"/>
  <c r="J720" i="2"/>
  <c r="E721" i="2" a="1"/>
  <c r="A721" i="2"/>
  <c r="J721" i="2"/>
  <c r="A722" i="2"/>
  <c r="J722" i="2"/>
  <c r="E722" i="2" a="1"/>
  <c r="A723" i="2"/>
  <c r="E723" i="2" a="1"/>
  <c r="J723" i="2"/>
  <c r="A724" i="2"/>
  <c r="E724" i="2" a="1"/>
  <c r="J724" i="2"/>
  <c r="A725" i="2"/>
  <c r="J725" i="2"/>
  <c r="E725" i="2" a="1"/>
  <c r="A726" i="2"/>
  <c r="E726" i="2" a="1"/>
  <c r="J726" i="2"/>
  <c r="E727" i="2" a="1"/>
  <c r="A727" i="2"/>
  <c r="J727" i="2"/>
  <c r="E728" i="2" a="1"/>
  <c r="A728" i="2"/>
  <c r="J728" i="2"/>
  <c r="A729" i="2"/>
  <c r="J729" i="2"/>
  <c r="E729" i="2" a="1"/>
  <c r="A730" i="2"/>
  <c r="E730" i="2" a="1"/>
  <c r="J730" i="2"/>
  <c r="A731" i="2"/>
  <c r="E731" i="2" a="1"/>
  <c r="J731" i="2"/>
  <c r="A732" i="2"/>
  <c r="E732" i="2" a="1"/>
  <c r="J732" i="2"/>
  <c r="A733" i="2"/>
  <c r="J733" i="2"/>
  <c r="E733" i="2" a="1"/>
  <c r="E734" i="2" a="1"/>
  <c r="A734" i="2"/>
  <c r="J734" i="2"/>
  <c r="E735" i="2" a="1"/>
  <c r="A735" i="2"/>
  <c r="J735" i="2"/>
  <c r="A736" i="2"/>
  <c r="J736" i="2"/>
  <c r="E736" i="2" a="1"/>
  <c r="A737" i="2"/>
  <c r="E737" i="2" a="1"/>
  <c r="J737" i="2"/>
  <c r="A738" i="2"/>
  <c r="E738" i="2" a="1"/>
  <c r="J738" i="2"/>
  <c r="A739" i="2"/>
  <c r="E739" i="2" a="1"/>
  <c r="J739" i="2"/>
  <c r="E740" i="2" a="1"/>
  <c r="A740" i="2"/>
  <c r="J740" i="2"/>
  <c r="A741" i="2"/>
  <c r="J741" i="2"/>
  <c r="E741" i="2" a="1"/>
  <c r="E742" i="2" a="1"/>
  <c r="A742" i="2"/>
  <c r="J742" i="2"/>
  <c r="A743" i="2"/>
  <c r="J743" i="2"/>
  <c r="E743" i="2" a="1"/>
  <c r="A744" i="2"/>
  <c r="E744" i="2" a="1"/>
  <c r="J744" i="2"/>
  <c r="A745" i="2"/>
  <c r="E745" i="2" a="1"/>
  <c r="J745" i="2"/>
  <c r="E746" i="2" a="1"/>
  <c r="A746" i="2"/>
  <c r="J746" i="2"/>
  <c r="A747" i="2"/>
  <c r="E747" i="2" a="1"/>
  <c r="J747" i="2"/>
  <c r="A748" i="2"/>
  <c r="J748" i="2"/>
  <c r="E748" i="2" a="1"/>
  <c r="E749" i="2" a="1"/>
  <c r="A749" i="2"/>
  <c r="J749" i="2"/>
  <c r="A750" i="2"/>
  <c r="J750" i="2"/>
  <c r="E750" i="2" a="1"/>
  <c r="A751" i="2"/>
  <c r="E751" i="2" a="1"/>
  <c r="J751" i="2"/>
  <c r="E752" i="2" a="1"/>
  <c r="A752" i="2"/>
  <c r="J752" i="2"/>
  <c r="A753" i="2"/>
  <c r="E753" i="2" a="1"/>
  <c r="J753" i="2"/>
  <c r="A754" i="2"/>
  <c r="E754" i="2" a="1"/>
  <c r="J754" i="2"/>
  <c r="A755" i="2"/>
  <c r="J755" i="2"/>
  <c r="E755" i="2" a="1"/>
  <c r="E756" i="2" a="1"/>
  <c r="A756" i="2"/>
  <c r="J756" i="2"/>
  <c r="A757" i="2"/>
  <c r="J757" i="2"/>
  <c r="E757" i="2" a="1"/>
  <c r="A758" i="2"/>
  <c r="E758" i="2" a="1"/>
  <c r="J758" i="2"/>
  <c r="E759" i="2" a="1"/>
  <c r="A759" i="2"/>
  <c r="J759" i="2"/>
  <c r="A760" i="2"/>
  <c r="E760" i="2" a="1"/>
  <c r="J760" i="2"/>
  <c r="A761" i="2"/>
  <c r="E761" i="2" a="1"/>
  <c r="J761" i="2"/>
  <c r="E762" i="2" a="1"/>
  <c r="A762" i="2"/>
  <c r="J762" i="2"/>
  <c r="A763" i="2"/>
  <c r="J763" i="2"/>
  <c r="E763" i="2" a="1"/>
  <c r="A764" i="2"/>
  <c r="E764" i="2" a="1"/>
  <c r="J764" i="2"/>
  <c r="E765" i="2" a="1"/>
  <c r="A765" i="2"/>
  <c r="J765" i="2"/>
  <c r="A766" i="2"/>
  <c r="E766" i="2" a="1"/>
  <c r="J766" i="2"/>
  <c r="A767" i="2"/>
  <c r="E767" i="2" a="1"/>
  <c r="J767" i="2"/>
  <c r="E768" i="2" a="1"/>
  <c r="A768" i="2"/>
  <c r="J768" i="2"/>
  <c r="A769" i="2"/>
  <c r="J769" i="2"/>
  <c r="E769" i="2" a="1"/>
  <c r="E770" i="2" a="1"/>
  <c r="A770" i="2"/>
  <c r="J770" i="2"/>
  <c r="A771" i="2"/>
  <c r="E771" i="2" a="1"/>
  <c r="J771" i="2"/>
  <c r="A772" i="2"/>
  <c r="E772" i="2" a="1"/>
  <c r="J772" i="2"/>
  <c r="A773" i="2"/>
  <c r="E773" i="2" a="1"/>
  <c r="J773" i="2"/>
  <c r="E774" i="2" a="1"/>
  <c r="A774" i="2"/>
  <c r="J774" i="2"/>
  <c r="A775" i="2"/>
  <c r="J775" i="2"/>
  <c r="E775" i="2" a="1"/>
  <c r="A776" i="2"/>
  <c r="E776" i="2" a="1"/>
  <c r="J776" i="2"/>
  <c r="E777" i="2" a="1"/>
  <c r="A777" i="2"/>
  <c r="J777" i="2"/>
  <c r="A778" i="2"/>
  <c r="E778" i="2" a="1"/>
  <c r="J778" i="2"/>
  <c r="A779" i="2"/>
  <c r="E779" i="2" a="1"/>
  <c r="J779" i="2"/>
  <c r="E780" i="2" a="1"/>
  <c r="A780" i="2"/>
  <c r="J780" i="2"/>
  <c r="A781" i="2"/>
  <c r="E781" i="2" a="1"/>
  <c r="J781" i="2"/>
  <c r="E782" i="2" a="1"/>
  <c r="A782" i="2"/>
  <c r="J782" i="2"/>
  <c r="A783" i="2"/>
  <c r="E783" i="2" a="1"/>
  <c r="J783" i="2"/>
  <c r="A784" i="2"/>
  <c r="J784" i="2"/>
  <c r="E784" i="2" a="1"/>
  <c r="A785" i="2"/>
  <c r="J785" i="2"/>
  <c r="E785" i="2" a="1"/>
  <c r="A786" i="2"/>
  <c r="E786" i="2" a="1"/>
  <c r="J786" i="2"/>
  <c r="A787" i="2"/>
  <c r="E787" i="2" a="1"/>
  <c r="J787" i="2"/>
  <c r="A788" i="2"/>
  <c r="E788" i="2" a="1"/>
  <c r="J788" i="2"/>
  <c r="E789" i="2" a="1"/>
  <c r="A789" i="2"/>
  <c r="J789" i="2"/>
  <c r="E790" i="2" a="1"/>
  <c r="A790" i="2"/>
  <c r="J790" i="2"/>
  <c r="A791" i="2"/>
  <c r="J791" i="2"/>
  <c r="E791" i="2" a="1"/>
  <c r="A792" i="2"/>
  <c r="E792" i="2" a="1"/>
  <c r="J792" i="2"/>
  <c r="A793" i="2"/>
  <c r="J793" i="2"/>
  <c r="E793" i="2" a="1"/>
  <c r="A794" i="2"/>
  <c r="E794" i="2" a="1"/>
  <c r="J794" i="2"/>
  <c r="E795" i="2" a="1"/>
  <c r="A795" i="2"/>
  <c r="J795" i="2"/>
  <c r="A796" i="2"/>
  <c r="E796" i="2" a="1"/>
  <c r="J796" i="2"/>
  <c r="E797" i="2" a="1"/>
  <c r="A797" i="2"/>
  <c r="J797" i="2"/>
  <c r="A798" i="2"/>
  <c r="E798" i="2" a="1"/>
  <c r="J798" i="2"/>
  <c r="A799" i="2"/>
  <c r="J799" i="2"/>
  <c r="E799" i="2" a="1"/>
  <c r="A800" i="2"/>
  <c r="J800" i="2"/>
  <c r="E800" i="2" a="1"/>
  <c r="A801" i="2"/>
  <c r="E801" i="2" a="1"/>
  <c r="J801" i="2"/>
  <c r="E802" i="2" a="1"/>
  <c r="A802" i="2"/>
  <c r="J802" i="2"/>
  <c r="A803" i="2"/>
  <c r="E803" i="2" a="1"/>
  <c r="J803" i="2"/>
  <c r="E804" i="2" a="1"/>
  <c r="A804" i="2"/>
  <c r="J804" i="2"/>
  <c r="A805" i="2"/>
  <c r="E805" i="2" a="1"/>
  <c r="J805" i="2"/>
  <c r="A806" i="2"/>
  <c r="J806" i="2"/>
  <c r="E806" i="2" a="1"/>
  <c r="A807" i="2"/>
  <c r="J807" i="2"/>
  <c r="E807" i="2" a="1"/>
  <c r="A808" i="2"/>
  <c r="E808" i="2" a="1"/>
  <c r="J808" i="2"/>
  <c r="E809" i="2" a="1"/>
  <c r="A809" i="2"/>
  <c r="J809" i="2"/>
  <c r="A810" i="2"/>
  <c r="E810" i="2" a="1"/>
  <c r="J810" i="2"/>
  <c r="E811" i="2" a="1"/>
  <c r="A811" i="2"/>
  <c r="J811" i="2"/>
  <c r="A812" i="2"/>
  <c r="E812" i="2" a="1"/>
  <c r="J812" i="2"/>
  <c r="A813" i="2"/>
  <c r="J813" i="2"/>
  <c r="E813" i="2" a="1"/>
  <c r="A814" i="2"/>
  <c r="J814" i="2"/>
  <c r="E814" i="2" a="1"/>
  <c r="A815" i="2"/>
  <c r="E815" i="2" a="1"/>
  <c r="J815" i="2"/>
  <c r="E816" i="2" a="1"/>
  <c r="A816" i="2"/>
  <c r="J816" i="2"/>
  <c r="E817" i="2" a="1"/>
  <c r="A817" i="2"/>
  <c r="J817" i="2"/>
  <c r="A818" i="2"/>
  <c r="E818" i="2" a="1"/>
  <c r="J818" i="2"/>
  <c r="A819" i="2"/>
  <c r="E819" i="2" a="1"/>
  <c r="J819" i="2"/>
  <c r="A820" i="2"/>
  <c r="J820" i="2"/>
  <c r="E820" i="2" a="1"/>
  <c r="A821" i="2"/>
  <c r="E821" i="2" a="1"/>
  <c r="J821" i="2"/>
  <c r="A822" i="2"/>
  <c r="J822" i="2"/>
  <c r="E822" i="2" a="1"/>
  <c r="E823" i="2" a="1"/>
  <c r="A823" i="2"/>
  <c r="J823" i="2"/>
  <c r="A824" i="2"/>
  <c r="E824" i="2" a="1"/>
  <c r="J824" i="2"/>
  <c r="E825" i="2" a="1"/>
  <c r="A825" i="2"/>
  <c r="J825" i="2"/>
  <c r="A826" i="2"/>
  <c r="E826" i="2" a="1"/>
  <c r="J826" i="2"/>
  <c r="A827" i="2"/>
  <c r="J827" i="2"/>
  <c r="E827" i="2" a="1"/>
  <c r="A828" i="2"/>
  <c r="E828" i="2" a="1"/>
  <c r="J828" i="2"/>
  <c r="A829" i="2"/>
  <c r="J829" i="2"/>
  <c r="E829" i="2" a="1"/>
  <c r="E830" i="2" a="1"/>
  <c r="A830" i="2"/>
  <c r="J830" i="2"/>
  <c r="A831" i="2"/>
  <c r="E831" i="2" a="1"/>
  <c r="J831" i="2"/>
  <c r="E832" i="2" a="1"/>
  <c r="A832" i="2"/>
  <c r="J832" i="2"/>
  <c r="A833" i="2"/>
  <c r="E833" i="2" a="1"/>
  <c r="J833" i="2"/>
  <c r="A834" i="2"/>
  <c r="J834" i="2"/>
  <c r="E834" i="2" a="1"/>
  <c r="A835" i="2"/>
  <c r="E835" i="2" a="1"/>
  <c r="J835" i="2"/>
  <c r="A836" i="2"/>
  <c r="J836" i="2"/>
  <c r="E836" i="2" a="1"/>
  <c r="E837" i="2" a="1"/>
  <c r="A837" i="2"/>
  <c r="J837" i="2"/>
  <c r="A838" i="2"/>
  <c r="E838" i="2" a="1"/>
  <c r="J838" i="2"/>
  <c r="E839" i="2" a="1"/>
  <c r="A839" i="2"/>
  <c r="J839" i="2"/>
  <c r="A840" i="2"/>
  <c r="E840" i="2" a="1"/>
  <c r="J840" i="2"/>
  <c r="A841" i="2"/>
  <c r="J841" i="2"/>
  <c r="E841" i="2" a="1"/>
  <c r="A842" i="2"/>
  <c r="E842" i="2" a="1"/>
  <c r="J842" i="2"/>
  <c r="A843" i="2"/>
  <c r="J843" i="2"/>
  <c r="E843" i="2" a="1"/>
  <c r="E844" i="2" a="1"/>
  <c r="A844" i="2"/>
  <c r="J844" i="2"/>
  <c r="A845" i="2"/>
  <c r="E845" i="2" a="1"/>
  <c r="J845" i="2"/>
  <c r="E846" i="2" a="1"/>
  <c r="A846" i="2"/>
  <c r="J846" i="2"/>
  <c r="A847" i="2"/>
  <c r="E847" i="2" a="1"/>
  <c r="J847" i="2"/>
  <c r="A848" i="2"/>
  <c r="J848" i="2"/>
  <c r="E848" i="2" a="1"/>
  <c r="A849" i="2"/>
  <c r="E849" i="2" a="1"/>
  <c r="J849" i="2"/>
  <c r="A850" i="2"/>
  <c r="J850" i="2"/>
  <c r="E850" i="2" a="1"/>
  <c r="E851" i="2" a="1"/>
  <c r="A851" i="2"/>
  <c r="J851" i="2"/>
  <c r="A852" i="2"/>
  <c r="E852" i="2" a="1"/>
  <c r="J852" i="2"/>
  <c r="K853" i="2"/>
  <c r="A853" i="2"/>
  <c r="E853" i="2" a="1"/>
  <c r="J853" i="2"/>
  <c r="K854" i="2"/>
  <c r="E854" i="2" a="1"/>
  <c r="A854" i="2"/>
  <c r="J854" i="2"/>
  <c r="K855" i="2"/>
  <c r="A855" i="2"/>
  <c r="J855" i="2"/>
  <c r="E855" i="2" a="1"/>
  <c r="K856" i="2"/>
  <c r="A856" i="2"/>
  <c r="E856" i="2" a="1"/>
  <c r="J856" i="2"/>
  <c r="K857" i="2"/>
  <c r="E857" i="2" a="1"/>
  <c r="A857" i="2"/>
  <c r="J857" i="2"/>
  <c r="K858" i="2"/>
  <c r="A858" i="2"/>
  <c r="J858" i="2"/>
  <c r="E858" i="2" a="1"/>
  <c r="K859" i="2"/>
  <c r="A859" i="2"/>
  <c r="E859" i="2" a="1"/>
  <c r="J859" i="2"/>
  <c r="K860" i="2"/>
  <c r="A860" i="2"/>
  <c r="E860" i="2" a="1"/>
  <c r="J860" i="2"/>
  <c r="K861" i="2"/>
  <c r="E861" i="2" a="1"/>
  <c r="A861" i="2"/>
  <c r="J861" i="2"/>
  <c r="K862" i="2"/>
  <c r="A862" i="2"/>
  <c r="J862" i="2"/>
  <c r="E862" i="2" a="1"/>
  <c r="K863" i="2"/>
  <c r="A863" i="2"/>
  <c r="J863" i="2"/>
  <c r="E863" i="2" a="1"/>
  <c r="K864" i="2"/>
  <c r="E864" i="2" a="1"/>
  <c r="A864" i="2"/>
  <c r="J864" i="2"/>
  <c r="K865" i="2"/>
  <c r="A865" i="2"/>
  <c r="E865" i="2" a="1"/>
  <c r="J865" i="2"/>
  <c r="K866" i="2"/>
  <c r="A866" i="2"/>
  <c r="E866" i="2" a="1"/>
  <c r="J866" i="2"/>
  <c r="K867" i="2"/>
  <c r="A867" i="2"/>
  <c r="E867" i="2" a="1"/>
  <c r="J867" i="2"/>
  <c r="K868" i="2"/>
  <c r="E868" i="2" a="1"/>
  <c r="A868" i="2"/>
  <c r="J868" i="2"/>
  <c r="K869" i="2"/>
  <c r="A869" i="2"/>
  <c r="J869" i="2"/>
  <c r="E869" i="2" a="1"/>
  <c r="K870" i="2"/>
  <c r="A870" i="2"/>
  <c r="J870" i="2"/>
  <c r="E870" i="2" a="1"/>
  <c r="K871" i="2"/>
  <c r="E871" i="2" a="1"/>
  <c r="A871" i="2"/>
  <c r="J871" i="2"/>
  <c r="K872" i="2"/>
  <c r="A872" i="2"/>
  <c r="E872" i="2" a="1"/>
  <c r="J872" i="2"/>
  <c r="K873" i="2"/>
  <c r="A873" i="2"/>
  <c r="E873" i="2" a="1"/>
  <c r="J873" i="2"/>
  <c r="K874" i="2"/>
  <c r="A874" i="2"/>
  <c r="E874" i="2" a="1"/>
  <c r="J874" i="2"/>
  <c r="K875" i="2"/>
  <c r="E875" i="2" a="1"/>
  <c r="A875" i="2"/>
  <c r="J875" i="2"/>
  <c r="K876" i="2"/>
  <c r="A876" i="2"/>
  <c r="J876" i="2"/>
  <c r="E876" i="2" a="1"/>
  <c r="K877" i="2"/>
  <c r="E877" i="2" a="1"/>
  <c r="A877" i="2"/>
  <c r="J877" i="2"/>
  <c r="K878" i="2"/>
  <c r="A878" i="2"/>
  <c r="J878" i="2"/>
  <c r="E878" i="2" a="1"/>
  <c r="A879" i="2"/>
  <c r="E879" i="2" a="1"/>
  <c r="J879" i="2"/>
  <c r="A880" i="2"/>
  <c r="E880" i="2" a="1"/>
  <c r="J880" i="2"/>
  <c r="A881" i="2"/>
  <c r="E881" i="2" a="1"/>
  <c r="J881" i="2"/>
  <c r="E882" i="2" a="1"/>
  <c r="A882" i="2"/>
  <c r="J882" i="2"/>
  <c r="A883" i="2"/>
  <c r="J883" i="2"/>
  <c r="E883" i="2" a="1"/>
  <c r="E884" i="2" a="1"/>
  <c r="A884" i="2"/>
  <c r="J884" i="2"/>
  <c r="A885" i="2"/>
  <c r="J885" i="2"/>
  <c r="E885" i="2" a="1"/>
  <c r="A886" i="2"/>
  <c r="E886" i="2" a="1"/>
  <c r="J886" i="2"/>
  <c r="A887" i="2"/>
  <c r="E887" i="2" a="1"/>
  <c r="J887" i="2"/>
  <c r="A888" i="2"/>
  <c r="E888" i="2" a="1"/>
  <c r="J888" i="2"/>
  <c r="E889" i="2" a="1"/>
  <c r="A889" i="2"/>
  <c r="J889" i="2"/>
  <c r="E890" i="2" a="1"/>
  <c r="A890" i="2"/>
  <c r="J890" i="2"/>
  <c r="A891" i="2"/>
  <c r="E891" i="2" a="1"/>
  <c r="J891" i="2"/>
  <c r="A892" i="2"/>
  <c r="E892" i="2" a="1"/>
  <c r="J892" i="2"/>
  <c r="A893" i="2"/>
  <c r="J893" i="2"/>
  <c r="E893" i="2" a="1"/>
  <c r="A894" i="2"/>
  <c r="E894" i="2" a="1"/>
  <c r="J894" i="2"/>
  <c r="E895" i="2" a="1"/>
  <c r="A895" i="2"/>
  <c r="J895" i="2"/>
  <c r="E896" i="2" a="1"/>
  <c r="A896" i="2"/>
  <c r="J896" i="2"/>
  <c r="A897" i="2"/>
  <c r="J897" i="2"/>
  <c r="E897" i="2" a="1"/>
  <c r="E898" i="2" a="1"/>
  <c r="A898" i="2"/>
  <c r="J898" i="2"/>
  <c r="A899" i="2"/>
  <c r="E899" i="2" a="1"/>
  <c r="J899" i="2"/>
  <c r="A900" i="2"/>
  <c r="E900" i="2" a="1"/>
  <c r="J900" i="2"/>
  <c r="A901" i="2"/>
  <c r="E901" i="2" a="1"/>
  <c r="J901" i="2"/>
  <c r="E902" i="2" a="1"/>
  <c r="A902" i="2"/>
  <c r="J902" i="2"/>
  <c r="E903" i="2" a="1"/>
  <c r="A903" i="2"/>
  <c r="J903" i="2"/>
  <c r="A904" i="2"/>
  <c r="J904" i="2"/>
  <c r="E904" i="2" a="1"/>
  <c r="A905" i="2"/>
  <c r="E905" i="2" a="1"/>
  <c r="J905" i="2"/>
  <c r="A906" i="2"/>
  <c r="E906" i="2" a="1"/>
  <c r="J906" i="2"/>
  <c r="E907" i="2" a="1"/>
  <c r="A907" i="2"/>
  <c r="J907" i="2"/>
  <c r="A908" i="2"/>
  <c r="E908" i="2" a="1"/>
  <c r="J908" i="2"/>
  <c r="A909" i="2"/>
  <c r="J909" i="2"/>
  <c r="E909" i="2" a="1"/>
  <c r="E910" i="2" a="1"/>
  <c r="A910" i="2"/>
  <c r="J910" i="2"/>
  <c r="A911" i="2"/>
  <c r="E911" i="2" a="1"/>
  <c r="J911" i="2"/>
  <c r="A912" i="2"/>
  <c r="E912" i="2" a="1"/>
  <c r="J912" i="2"/>
  <c r="E913" i="2" a="1"/>
  <c r="A913" i="2"/>
  <c r="J913" i="2"/>
  <c r="A914" i="2"/>
  <c r="J914" i="2"/>
  <c r="E914" i="2" a="1"/>
  <c r="A915" i="2"/>
  <c r="E915" i="2" a="1"/>
  <c r="J915" i="2"/>
  <c r="A916" i="2"/>
  <c r="J916" i="2"/>
  <c r="E916" i="2" a="1"/>
  <c r="E917" i="2" a="1"/>
  <c r="A917" i="2"/>
  <c r="J917" i="2"/>
  <c r="A918" i="2"/>
  <c r="E918" i="2" a="1"/>
  <c r="J918" i="2"/>
  <c r="A919" i="2"/>
  <c r="E919" i="2" a="1"/>
  <c r="J919" i="2"/>
  <c r="A920" i="2"/>
  <c r="E920" i="2" a="1"/>
  <c r="J920" i="2"/>
  <c r="A921" i="2"/>
  <c r="J921" i="2"/>
  <c r="E921" i="2" a="1"/>
  <c r="E922" i="2" a="1"/>
  <c r="A922" i="2"/>
  <c r="J922" i="2"/>
  <c r="A923" i="2"/>
  <c r="J923" i="2"/>
  <c r="E923" i="2" a="1"/>
  <c r="A924" i="2"/>
  <c r="E924" i="2" a="1"/>
  <c r="J924" i="2"/>
  <c r="A925" i="2"/>
  <c r="E925" i="2" a="1"/>
  <c r="J925" i="2"/>
  <c r="E926" i="2" a="1"/>
  <c r="A926" i="2"/>
  <c r="J926" i="2"/>
  <c r="A927" i="2"/>
  <c r="E927" i="2" a="1"/>
  <c r="J927" i="2"/>
  <c r="A928" i="2"/>
  <c r="J928" i="2"/>
  <c r="E928" i="2" a="1"/>
  <c r="E929" i="2" a="1"/>
  <c r="A929" i="2"/>
  <c r="J929" i="2"/>
  <c r="A930" i="2"/>
  <c r="J930" i="2"/>
  <c r="E930" i="2" a="1"/>
  <c r="A931" i="2"/>
  <c r="E931" i="2" a="1"/>
  <c r="J931" i="2"/>
  <c r="K932" i="2"/>
  <c r="E932" i="2" a="1"/>
  <c r="A932" i="2"/>
  <c r="J932" i="2"/>
  <c r="K933" i="2"/>
  <c r="A933" i="2"/>
  <c r="E933" i="2" a="1"/>
  <c r="J933" i="2"/>
  <c r="K934" i="2"/>
  <c r="A934" i="2"/>
  <c r="E934" i="2" a="1"/>
  <c r="J934" i="2"/>
  <c r="K935" i="2"/>
  <c r="A935" i="2"/>
  <c r="J935" i="2"/>
  <c r="E935" i="2" a="1"/>
  <c r="K936" i="2"/>
  <c r="E936" i="2" a="1"/>
  <c r="A936" i="2"/>
  <c r="J936" i="2"/>
  <c r="K937" i="2"/>
  <c r="A937" i="2"/>
  <c r="J937" i="2"/>
  <c r="E937" i="2" a="1"/>
  <c r="K938" i="2"/>
  <c r="E938" i="2" a="1"/>
  <c r="A938" i="2"/>
  <c r="J938" i="2"/>
  <c r="K939" i="2"/>
  <c r="A939" i="2"/>
  <c r="E939" i="2" a="1"/>
  <c r="J939" i="2"/>
  <c r="K940" i="2"/>
  <c r="A940" i="2"/>
  <c r="E940" i="2" a="1"/>
  <c r="J940" i="2"/>
  <c r="K941" i="2"/>
  <c r="A941" i="2"/>
  <c r="E941" i="2" a="1"/>
  <c r="J941" i="2"/>
  <c r="K942" i="2"/>
  <c r="A942" i="2"/>
  <c r="J942" i="2"/>
  <c r="E942" i="2" a="1"/>
  <c r="K943" i="2"/>
  <c r="E943" i="2" a="1"/>
  <c r="A943" i="2"/>
  <c r="J943" i="2"/>
  <c r="K944" i="2"/>
  <c r="A944" i="2"/>
  <c r="J944" i="2"/>
  <c r="E944" i="2" a="1"/>
  <c r="K945" i="2"/>
  <c r="A945" i="2"/>
  <c r="E945" i="2" a="1"/>
  <c r="J945" i="2"/>
  <c r="K946" i="2"/>
  <c r="A946" i="2"/>
  <c r="E946" i="2" a="1"/>
  <c r="J946" i="2"/>
  <c r="K947" i="2"/>
  <c r="E947" i="2" a="1"/>
  <c r="A947" i="2"/>
  <c r="J947" i="2"/>
  <c r="K948" i="2"/>
  <c r="A948" i="2"/>
  <c r="E948" i="2" a="1"/>
  <c r="J948" i="2"/>
  <c r="K949" i="2"/>
  <c r="A949" i="2"/>
  <c r="J949" i="2"/>
  <c r="E949" i="2" a="1"/>
  <c r="K950" i="2"/>
  <c r="A950" i="2"/>
  <c r="J950" i="2"/>
  <c r="E950" i="2" a="1"/>
  <c r="K951" i="2"/>
  <c r="E951" i="2" a="1"/>
  <c r="A951" i="2"/>
  <c r="J951" i="2"/>
  <c r="K952" i="2"/>
  <c r="A952" i="2"/>
  <c r="E952" i="2" a="1"/>
  <c r="J952" i="2"/>
  <c r="K953" i="2"/>
  <c r="A953" i="2"/>
  <c r="E953" i="2" a="1"/>
  <c r="J953" i="2"/>
  <c r="K954" i="2"/>
  <c r="E954" i="2" a="1"/>
  <c r="A954" i="2"/>
  <c r="J954" i="2"/>
  <c r="K955" i="2"/>
  <c r="A955" i="2"/>
  <c r="E955" i="2" a="1"/>
  <c r="J955" i="2"/>
  <c r="K956" i="2"/>
  <c r="A956" i="2"/>
  <c r="J956" i="2"/>
  <c r="E956" i="2" a="1"/>
  <c r="K957" i="2"/>
  <c r="A957" i="2"/>
  <c r="J957" i="2"/>
  <c r="E957" i="2" a="1"/>
  <c r="K958" i="2"/>
  <c r="E958" i="2" a="1"/>
  <c r="A958" i="2"/>
  <c r="J958" i="2"/>
  <c r="K959" i="2"/>
  <c r="A959" i="2"/>
  <c r="E959" i="2" a="1"/>
  <c r="J959" i="2"/>
  <c r="K960" i="2"/>
  <c r="E960" i="2" a="1"/>
  <c r="A960" i="2"/>
  <c r="J960" i="2"/>
  <c r="K961" i="2"/>
  <c r="A961" i="2"/>
  <c r="E961" i="2" a="1"/>
  <c r="J961" i="2"/>
  <c r="K962" i="2"/>
  <c r="A962" i="2"/>
  <c r="E962" i="2" a="1"/>
  <c r="J962" i="2"/>
  <c r="K963" i="2"/>
  <c r="A963" i="2"/>
  <c r="J963" i="2"/>
  <c r="E963" i="2" a="1"/>
  <c r="K964" i="2"/>
  <c r="E964" i="2" a="1"/>
  <c r="A964" i="2"/>
  <c r="J964" i="2"/>
  <c r="K965" i="2"/>
  <c r="A965" i="2"/>
  <c r="J965" i="2"/>
  <c r="E965" i="2" a="1"/>
  <c r="K966" i="2"/>
  <c r="A966" i="2"/>
  <c r="E966" i="2" a="1"/>
  <c r="J966" i="2"/>
  <c r="K967" i="2"/>
  <c r="E967" i="2" a="1"/>
  <c r="A967" i="2"/>
  <c r="J967" i="2"/>
  <c r="K968" i="2"/>
  <c r="A968" i="2"/>
  <c r="E968" i="2" a="1"/>
  <c r="J968" i="2"/>
  <c r="K969" i="2"/>
  <c r="A969" i="2"/>
  <c r="E969" i="2" a="1"/>
  <c r="J969" i="2"/>
  <c r="K970" i="2"/>
  <c r="A970" i="2"/>
  <c r="J970" i="2"/>
  <c r="E970" i="2" a="1"/>
  <c r="K971" i="2"/>
  <c r="A971" i="2"/>
  <c r="J971" i="2"/>
  <c r="E971" i="2" a="1"/>
  <c r="K972" i="2"/>
  <c r="A972" i="2"/>
  <c r="E972" i="2" a="1"/>
  <c r="J972" i="2"/>
  <c r="K973" i="2"/>
  <c r="E973" i="2" a="1"/>
  <c r="A973" i="2"/>
  <c r="J973" i="2"/>
  <c r="K974" i="2"/>
  <c r="A974" i="2"/>
  <c r="E974" i="2" a="1"/>
  <c r="J974" i="2"/>
  <c r="K975" i="2"/>
  <c r="E975" i="2" a="1"/>
  <c r="A975" i="2"/>
  <c r="J975" i="2"/>
  <c r="K976" i="2"/>
  <c r="A976" i="2"/>
  <c r="E976" i="2" a="1"/>
  <c r="J976" i="2"/>
  <c r="K977" i="2"/>
  <c r="A977" i="2"/>
  <c r="J977" i="2"/>
  <c r="E977" i="2" a="1"/>
  <c r="K978" i="2"/>
  <c r="A978" i="2"/>
  <c r="E978" i="2" a="1"/>
  <c r="J978" i="2"/>
  <c r="K979" i="2"/>
  <c r="A979" i="2"/>
  <c r="J979" i="2"/>
  <c r="E979" i="2" a="1"/>
  <c r="K980" i="2"/>
  <c r="E980" i="2" a="1"/>
  <c r="A980" i="2"/>
  <c r="J980" i="2"/>
  <c r="K981" i="2"/>
  <c r="E981" i="2" a="1"/>
  <c r="A981" i="2"/>
  <c r="J981" i="2"/>
  <c r="K982" i="2"/>
  <c r="A982" i="2"/>
  <c r="E982" i="2" a="1"/>
  <c r="J982" i="2"/>
  <c r="K983" i="2"/>
  <c r="A983" i="2"/>
  <c r="E983" i="2" a="1"/>
  <c r="J983" i="2"/>
  <c r="K984" i="2"/>
  <c r="A984" i="2"/>
  <c r="J984" i="2"/>
  <c r="E984" i="2" a="1"/>
  <c r="K985" i="2"/>
  <c r="A985" i="2"/>
  <c r="E985" i="2" a="1"/>
  <c r="J985" i="2"/>
  <c r="K986" i="2"/>
  <c r="E986" i="2" a="1"/>
  <c r="A986" i="2"/>
  <c r="J986" i="2"/>
  <c r="K987" i="2"/>
  <c r="A987" i="2"/>
  <c r="J987" i="2"/>
  <c r="E987" i="2" a="1"/>
  <c r="K988" i="2"/>
  <c r="A988" i="2"/>
  <c r="E988" i="2" a="1"/>
  <c r="J988" i="2"/>
  <c r="K989" i="2"/>
  <c r="E989" i="2" a="1"/>
  <c r="A989" i="2"/>
  <c r="J989" i="2"/>
  <c r="K990" i="2"/>
  <c r="A990" i="2"/>
  <c r="J990" i="2"/>
  <c r="E990" i="2" a="1"/>
  <c r="K991" i="2"/>
  <c r="A991" i="2"/>
  <c r="E991" i="2" a="1"/>
  <c r="J991" i="2"/>
  <c r="K992" i="2"/>
  <c r="A992" i="2"/>
  <c r="E992" i="2" a="1"/>
  <c r="J992" i="2"/>
  <c r="K993" i="2"/>
  <c r="E993" i="2" a="1"/>
  <c r="A993" i="2"/>
  <c r="J993" i="2"/>
  <c r="K994" i="2"/>
  <c r="A994" i="2"/>
  <c r="J994" i="2"/>
  <c r="E994" i="2" a="1"/>
  <c r="K995" i="2"/>
  <c r="A995" i="2"/>
  <c r="E995" i="2" a="1"/>
  <c r="J995" i="2"/>
  <c r="K996" i="2"/>
  <c r="A996" i="2"/>
  <c r="J996" i="2"/>
  <c r="E996" i="2" a="1"/>
  <c r="K997" i="2"/>
  <c r="E997" i="2" a="1"/>
  <c r="A997" i="2"/>
  <c r="J997" i="2"/>
  <c r="K998" i="2"/>
  <c r="A998" i="2"/>
  <c r="E998" i="2" a="1"/>
  <c r="J998" i="2"/>
  <c r="K999" i="2"/>
  <c r="A999" i="2"/>
  <c r="E999" i="2" a="1"/>
  <c r="J999" i="2"/>
  <c r="K1000" i="2"/>
  <c r="E1000" i="2" a="1"/>
  <c r="A1000" i="2"/>
  <c r="J1000" i="2"/>
  <c r="K1001" i="2"/>
  <c r="A1001" i="2"/>
  <c r="J1001" i="2"/>
  <c r="E1001" i="2" a="1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4" i="2"/>
  <c r="K675" i="2"/>
  <c r="K676" i="2"/>
  <c r="K678" i="2"/>
  <c r="K679" i="2"/>
  <c r="K680" i="2"/>
  <c r="K681" i="2"/>
  <c r="K683" i="2"/>
  <c r="K684" i="2"/>
  <c r="K685" i="2"/>
  <c r="K686" i="2"/>
  <c r="K687" i="2"/>
  <c r="K688" i="2"/>
  <c r="K694" i="2"/>
  <c r="K695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5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11" i="2"/>
  <c r="K12" i="2"/>
  <c r="K13" i="2"/>
  <c r="K18" i="2"/>
  <c r="K19" i="2"/>
  <c r="K20" i="2"/>
  <c r="K22" i="2"/>
  <c r="K23" i="2"/>
  <c r="K24" i="2"/>
  <c r="K25" i="2"/>
  <c r="K26" i="2"/>
  <c r="K27" i="2"/>
  <c r="K28" i="2"/>
  <c r="K34" i="2"/>
  <c r="K35" i="2"/>
  <c r="K36" i="2"/>
  <c r="K38" i="2"/>
  <c r="K39" i="2"/>
  <c r="K40" i="2"/>
  <c r="K48" i="2"/>
  <c r="K49" i="2"/>
  <c r="K50" i="2"/>
  <c r="K51" i="2"/>
  <c r="K52" i="2"/>
  <c r="K673" i="2"/>
  <c r="K677" i="2"/>
  <c r="K682" i="2"/>
  <c r="K689" i="2"/>
  <c r="K690" i="2"/>
  <c r="K691" i="2"/>
  <c r="K692" i="2"/>
  <c r="K693" i="2"/>
  <c r="C2" i="2"/>
  <c r="K2" i="2" s="1"/>
  <c r="L2" i="2"/>
  <c r="P2" i="2" s="1"/>
  <c r="C4" i="2"/>
  <c r="K4" i="2" s="1"/>
  <c r="L4" i="2"/>
  <c r="P4" i="2" s="1"/>
  <c r="C5" i="2"/>
  <c r="L5" i="2"/>
  <c r="P5" i="2" s="1"/>
  <c r="C6" i="2"/>
  <c r="K6" i="2" s="1"/>
  <c r="L6" i="2"/>
  <c r="P6" i="2" s="1"/>
  <c r="C7" i="2"/>
  <c r="K7" i="2" s="1"/>
  <c r="L7" i="2"/>
  <c r="P7" i="2" s="1"/>
  <c r="C9" i="2"/>
  <c r="K9" i="2" s="1"/>
  <c r="L9" i="2"/>
  <c r="P9" i="2" s="1"/>
  <c r="C10" i="2"/>
  <c r="K10" i="2" s="1"/>
  <c r="L10" i="2"/>
  <c r="P10" i="2" s="1"/>
  <c r="C16" i="2"/>
  <c r="K16" i="2" s="1"/>
  <c r="L16" i="2"/>
  <c r="P16" i="2" s="1"/>
  <c r="C19" i="2"/>
  <c r="L19" i="2"/>
  <c r="P19" i="2" s="1"/>
  <c r="C21" i="2"/>
  <c r="K21" i="2" s="1"/>
  <c r="L21" i="2"/>
  <c r="P21" i="2" s="1"/>
  <c r="C23" i="2"/>
  <c r="L23" i="2"/>
  <c r="P23" i="2" s="1"/>
  <c r="C24" i="2"/>
  <c r="L24" i="2"/>
  <c r="P24" i="2" s="1"/>
  <c r="C25" i="2"/>
  <c r="L25" i="2"/>
  <c r="P25" i="2" s="1"/>
  <c r="C26" i="2"/>
  <c r="L26" i="2"/>
  <c r="P26" i="2" s="1"/>
  <c r="C27" i="2"/>
  <c r="L27" i="2"/>
  <c r="P27" i="2" s="1"/>
  <c r="C28" i="2"/>
  <c r="L28" i="2"/>
  <c r="P28" i="2" s="1"/>
  <c r="C31" i="2"/>
  <c r="K31" i="2" s="1"/>
  <c r="L31" i="2"/>
  <c r="P31" i="2" s="1"/>
  <c r="C32" i="2"/>
  <c r="K32" i="2" s="1"/>
  <c r="L32" i="2"/>
  <c r="P32" i="2" s="1"/>
  <c r="C33" i="2"/>
  <c r="K33" i="2" s="1"/>
  <c r="L33" i="2"/>
  <c r="P33" i="2" s="1"/>
  <c r="C37" i="2"/>
  <c r="K37" i="2" s="1"/>
  <c r="L37" i="2"/>
  <c r="P37" i="2" s="1"/>
  <c r="C42" i="2"/>
  <c r="K42" i="2" s="1"/>
  <c r="L42" i="2"/>
  <c r="P42" i="2" s="1"/>
  <c r="C46" i="2"/>
  <c r="K46" i="2" s="1"/>
  <c r="L46" i="2"/>
  <c r="P46" i="2" s="1"/>
  <c r="C52" i="2"/>
  <c r="L52" i="2"/>
  <c r="P52" i="2" s="1"/>
  <c r="L6" i="3" l="1"/>
  <c r="M13" i="1" a="1"/>
  <c r="P7" i="3" s="1"/>
  <c r="M12" i="1" a="1"/>
  <c r="G6" i="3"/>
  <c r="M9" i="1" l="1"/>
  <c r="M8" i="1"/>
  <c r="M7" i="1"/>
  <c r="B8" i="3"/>
  <c r="G8" i="3"/>
  <c r="M14" i="1" l="1"/>
  <c r="P16" i="3" l="1"/>
  <c r="M3" i="1"/>
  <c r="M1" i="1"/>
  <c r="P17" i="3"/>
  <c r="M2" i="1" l="1"/>
  <c r="B2" i="1" s="1"/>
  <c r="D6" i="3"/>
  <c r="M4" i="1"/>
  <c r="L8" i="3" l="1"/>
  <c r="C38" i="1"/>
  <c r="C41" i="1"/>
  <c r="C43" i="1"/>
  <c r="C45" i="1"/>
  <c r="C47" i="1"/>
  <c r="C49" i="1"/>
  <c r="C51" i="1"/>
  <c r="C2" i="1"/>
  <c r="C4" i="1"/>
  <c r="C6" i="1"/>
  <c r="C8" i="1"/>
  <c r="C11" i="1"/>
  <c r="C12" i="1"/>
  <c r="C13" i="1"/>
  <c r="C14" i="1"/>
  <c r="C50" i="1"/>
  <c r="C39" i="1"/>
  <c r="C42" i="1"/>
  <c r="C44" i="1"/>
  <c r="C46" i="1"/>
  <c r="C48" i="1"/>
  <c r="C32" i="1"/>
  <c r="C3" i="1"/>
  <c r="C5" i="1"/>
  <c r="C7" i="1"/>
  <c r="C9" i="1"/>
  <c r="C10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3" i="1"/>
  <c r="C34" i="1"/>
  <c r="C35" i="1"/>
  <c r="C36" i="1"/>
  <c r="C37" i="1"/>
  <c r="C40" i="1"/>
  <c r="H51" i="1"/>
  <c r="H50" i="1"/>
  <c r="H49" i="1"/>
  <c r="H47" i="1"/>
  <c r="H46" i="1"/>
  <c r="H44" i="1"/>
  <c r="H42" i="1"/>
  <c r="H40" i="1"/>
  <c r="H37" i="1"/>
  <c r="H36" i="1"/>
  <c r="H34" i="1"/>
  <c r="H31" i="1"/>
  <c r="H26" i="1"/>
  <c r="H20" i="1"/>
  <c r="H16" i="1"/>
  <c r="H48" i="1"/>
  <c r="H45" i="1"/>
  <c r="H43" i="1"/>
  <c r="H41" i="1"/>
  <c r="H39" i="1"/>
  <c r="H38" i="1"/>
  <c r="H35" i="1"/>
  <c r="H32" i="1"/>
  <c r="H27" i="1"/>
  <c r="H22" i="1"/>
  <c r="H14" i="1"/>
  <c r="B6" i="3" a="1"/>
  <c r="A57" i="3"/>
  <c r="F11" i="1"/>
  <c r="E31" i="1"/>
  <c r="E38" i="1"/>
  <c r="E43" i="1"/>
  <c r="H23" i="1"/>
  <c r="H12" i="1"/>
  <c r="G20" i="1"/>
  <c r="A54" i="3"/>
  <c r="A55" i="3"/>
  <c r="A56" i="3"/>
  <c r="F3" i="1"/>
  <c r="F6" i="1"/>
  <c r="F9" i="1"/>
  <c r="E28" i="1"/>
  <c r="E35" i="1"/>
  <c r="E40" i="1"/>
  <c r="E44" i="1"/>
  <c r="H28" i="1"/>
  <c r="H24" i="1"/>
  <c r="H18" i="1"/>
  <c r="H15" i="1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50" i="1"/>
  <c r="G17" i="1"/>
  <c r="G25" i="1"/>
  <c r="G26" i="1"/>
  <c r="G29" i="1"/>
  <c r="G31" i="1"/>
  <c r="G33" i="1"/>
  <c r="G35" i="1"/>
  <c r="G36" i="1"/>
  <c r="G38" i="1"/>
  <c r="G40" i="1"/>
  <c r="G42" i="1"/>
  <c r="G43" i="1"/>
  <c r="G46" i="1"/>
  <c r="G47" i="1"/>
  <c r="G50" i="1"/>
  <c r="F2" i="1"/>
  <c r="F4" i="1"/>
  <c r="F7" i="1"/>
  <c r="F10" i="1"/>
  <c r="F13" i="1"/>
  <c r="E32" i="1"/>
  <c r="E36" i="1"/>
  <c r="E41" i="1"/>
  <c r="H30" i="1"/>
  <c r="H21" i="1"/>
  <c r="H17" i="1"/>
  <c r="H13" i="1"/>
  <c r="J39" i="1"/>
  <c r="J40" i="1"/>
  <c r="J41" i="1"/>
  <c r="J42" i="1"/>
  <c r="J43" i="1"/>
  <c r="J44" i="1"/>
  <c r="J45" i="1"/>
  <c r="J46" i="1"/>
  <c r="J47" i="1"/>
  <c r="J48" i="1"/>
  <c r="J49" i="1"/>
  <c r="J51" i="1"/>
  <c r="G23" i="1"/>
  <c r="G27" i="1"/>
  <c r="G28" i="1"/>
  <c r="G30" i="1"/>
  <c r="G32" i="1"/>
  <c r="G34" i="1"/>
  <c r="G37" i="1"/>
  <c r="G39" i="1"/>
  <c r="G41" i="1"/>
  <c r="G44" i="1"/>
  <c r="G45" i="1"/>
  <c r="G48" i="1"/>
  <c r="G49" i="1"/>
  <c r="G51" i="1"/>
  <c r="F5" i="1"/>
  <c r="F8" i="1"/>
  <c r="F12" i="1"/>
  <c r="E30" i="1"/>
  <c r="E34" i="1"/>
  <c r="E37" i="1"/>
  <c r="E42" i="1"/>
  <c r="H25" i="1"/>
  <c r="H11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9" i="1"/>
  <c r="E33" i="1"/>
  <c r="E39" i="1"/>
  <c r="H29" i="1"/>
  <c r="H9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H33" i="1"/>
  <c r="H19" i="1"/>
  <c r="H10" i="1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B38" i="1" l="1"/>
  <c r="D38" i="1"/>
  <c r="B41" i="1"/>
  <c r="D41" i="1"/>
  <c r="B43" i="1"/>
  <c r="D43" i="1"/>
  <c r="B45" i="1"/>
  <c r="D45" i="1"/>
  <c r="B47" i="1"/>
  <c r="D47" i="1"/>
  <c r="B49" i="1"/>
  <c r="D49" i="1"/>
  <c r="B51" i="1"/>
  <c r="D51" i="1"/>
  <c r="D2" i="1"/>
  <c r="B4" i="1"/>
  <c r="D4" i="1"/>
  <c r="B6" i="1"/>
  <c r="D6" i="1"/>
  <c r="B8" i="1"/>
  <c r="D8" i="1"/>
  <c r="B11" i="1"/>
  <c r="D11" i="1"/>
  <c r="B12" i="1"/>
  <c r="D12" i="1"/>
  <c r="B13" i="1"/>
  <c r="D13" i="1"/>
  <c r="B14" i="1"/>
  <c r="D14" i="1"/>
  <c r="B50" i="1"/>
  <c r="D50" i="1"/>
  <c r="B39" i="1"/>
  <c r="D39" i="1"/>
  <c r="B42" i="1"/>
  <c r="D42" i="1"/>
  <c r="B44" i="1"/>
  <c r="D44" i="1"/>
  <c r="B46" i="1"/>
  <c r="D46" i="1"/>
  <c r="B48" i="1"/>
  <c r="D48" i="1"/>
  <c r="B32" i="1"/>
  <c r="D32" i="1"/>
  <c r="B3" i="1"/>
  <c r="D3" i="1"/>
  <c r="B5" i="1"/>
  <c r="D5" i="1"/>
  <c r="B7" i="1"/>
  <c r="D7" i="1"/>
  <c r="B9" i="1"/>
  <c r="D9" i="1"/>
  <c r="B10" i="1"/>
  <c r="D10" i="1"/>
  <c r="B15" i="1"/>
  <c r="D15" i="1"/>
  <c r="B16" i="1"/>
  <c r="D16" i="1"/>
  <c r="B17" i="1"/>
  <c r="D17" i="1"/>
  <c r="B18" i="1"/>
  <c r="D18" i="1"/>
  <c r="B19" i="1"/>
  <c r="D19" i="1"/>
  <c r="B20" i="1"/>
  <c r="D20" i="1"/>
  <c r="B21" i="1"/>
  <c r="D21" i="1"/>
  <c r="B22" i="1"/>
  <c r="D22" i="1"/>
  <c r="B23" i="1"/>
  <c r="D23" i="1"/>
  <c r="B24" i="1"/>
  <c r="D24" i="1"/>
  <c r="B25" i="1"/>
  <c r="D25" i="1"/>
  <c r="B26" i="1"/>
  <c r="D26" i="1"/>
  <c r="B27" i="1"/>
  <c r="D27" i="1"/>
  <c r="B28" i="1"/>
  <c r="D28" i="1"/>
  <c r="B29" i="1"/>
  <c r="D29" i="1"/>
  <c r="B30" i="1"/>
  <c r="D30" i="1"/>
  <c r="B31" i="1"/>
  <c r="D31" i="1"/>
  <c r="B33" i="1"/>
  <c r="D33" i="1"/>
  <c r="B34" i="1"/>
  <c r="D34" i="1"/>
  <c r="B35" i="1"/>
  <c r="D35" i="1"/>
  <c r="B36" i="1"/>
  <c r="D36" i="1"/>
  <c r="B37" i="1"/>
  <c r="D37" i="1"/>
  <c r="B40" i="1"/>
  <c r="D40" i="1"/>
  <c r="B57" i="3"/>
  <c r="H57" i="3"/>
  <c r="G57" i="3"/>
  <c r="F57" i="3"/>
  <c r="E57" i="3"/>
  <c r="D57" i="3"/>
  <c r="C57" i="3"/>
  <c r="I57" i="3"/>
  <c r="Q57" i="3"/>
  <c r="B54" i="3"/>
  <c r="H54" i="3"/>
  <c r="G54" i="3"/>
  <c r="F54" i="3"/>
  <c r="E54" i="3"/>
  <c r="D54" i="3"/>
  <c r="C54" i="3"/>
  <c r="I54" i="3"/>
  <c r="Q54" i="3"/>
  <c r="B55" i="3"/>
  <c r="H55" i="3"/>
  <c r="G55" i="3"/>
  <c r="F55" i="3"/>
  <c r="E55" i="3"/>
  <c r="D55" i="3"/>
  <c r="C55" i="3"/>
  <c r="I55" i="3"/>
  <c r="Q55" i="3"/>
  <c r="B56" i="3"/>
  <c r="H56" i="3"/>
  <c r="G56" i="3"/>
  <c r="F56" i="3"/>
  <c r="E56" i="3"/>
  <c r="D56" i="3"/>
  <c r="C56" i="3"/>
  <c r="I56" i="3"/>
  <c r="Q56" i="3"/>
  <c r="B58" i="3"/>
  <c r="H58" i="3"/>
  <c r="G58" i="3"/>
  <c r="F58" i="3"/>
  <c r="E58" i="3"/>
  <c r="D58" i="3"/>
  <c r="C58" i="3"/>
  <c r="I58" i="3"/>
  <c r="Q58" i="3"/>
  <c r="B59" i="3"/>
  <c r="H59" i="3"/>
  <c r="G59" i="3"/>
  <c r="F59" i="3"/>
  <c r="E59" i="3"/>
  <c r="D59" i="3"/>
  <c r="C59" i="3"/>
  <c r="I59" i="3"/>
  <c r="Q59" i="3"/>
  <c r="B60" i="3"/>
  <c r="H60" i="3"/>
  <c r="G60" i="3"/>
  <c r="F60" i="3"/>
  <c r="E60" i="3"/>
  <c r="D60" i="3"/>
  <c r="C60" i="3"/>
  <c r="I60" i="3"/>
  <c r="Q60" i="3"/>
  <c r="B61" i="3"/>
  <c r="H61" i="3"/>
  <c r="G61" i="3"/>
  <c r="F61" i="3"/>
  <c r="C61" i="3"/>
  <c r="I61" i="3"/>
  <c r="E61" i="3"/>
  <c r="D61" i="3"/>
  <c r="Q61" i="3"/>
  <c r="H62" i="3"/>
  <c r="B62" i="3"/>
  <c r="D62" i="3"/>
  <c r="C62" i="3"/>
  <c r="I62" i="3"/>
  <c r="F62" i="3"/>
  <c r="G62" i="3"/>
  <c r="E62" i="3"/>
  <c r="Q62" i="3"/>
  <c r="B63" i="3"/>
  <c r="H63" i="3"/>
  <c r="I63" i="3"/>
  <c r="G63" i="3"/>
  <c r="E63" i="3"/>
  <c r="C63" i="3"/>
  <c r="F63" i="3"/>
  <c r="D63" i="3"/>
  <c r="Q63" i="3"/>
  <c r="H64" i="3"/>
  <c r="B64" i="3"/>
  <c r="I64" i="3"/>
  <c r="F64" i="3"/>
  <c r="D64" i="3"/>
  <c r="G64" i="3"/>
  <c r="E64" i="3"/>
  <c r="C64" i="3"/>
  <c r="Q64" i="3"/>
  <c r="H65" i="3"/>
  <c r="B65" i="3"/>
  <c r="I65" i="3"/>
  <c r="G65" i="3"/>
  <c r="E65" i="3"/>
  <c r="C65" i="3"/>
  <c r="F65" i="3"/>
  <c r="D65" i="3"/>
  <c r="Q65" i="3"/>
  <c r="H66" i="3"/>
  <c r="B66" i="3"/>
  <c r="I66" i="3"/>
  <c r="F66" i="3"/>
  <c r="D66" i="3"/>
  <c r="G66" i="3"/>
  <c r="E66" i="3"/>
  <c r="C66" i="3"/>
  <c r="Q66" i="3"/>
  <c r="B67" i="3"/>
  <c r="H67" i="3"/>
  <c r="I67" i="3"/>
  <c r="G67" i="3"/>
  <c r="E67" i="3"/>
  <c r="C67" i="3"/>
  <c r="F67" i="3"/>
  <c r="D67" i="3"/>
  <c r="Q67" i="3"/>
  <c r="H68" i="3"/>
  <c r="B68" i="3"/>
  <c r="I68" i="3"/>
  <c r="F68" i="3"/>
  <c r="D68" i="3"/>
  <c r="G68" i="3"/>
  <c r="E68" i="3"/>
  <c r="C68" i="3"/>
  <c r="Q68" i="3"/>
  <c r="H69" i="3"/>
  <c r="B69" i="3"/>
  <c r="I69" i="3"/>
  <c r="G69" i="3"/>
  <c r="E69" i="3"/>
  <c r="C69" i="3"/>
  <c r="F69" i="3"/>
  <c r="D69" i="3"/>
  <c r="Q69" i="3"/>
  <c r="H20" i="3"/>
  <c r="Q20" i="3" s="1"/>
  <c r="B20" i="3"/>
  <c r="G20" i="3"/>
  <c r="F20" i="3"/>
  <c r="E20" i="3"/>
  <c r="D20" i="3"/>
  <c r="C20" i="3"/>
  <c r="I20" i="3"/>
  <c r="B21" i="3"/>
  <c r="H21" i="3"/>
  <c r="Q21" i="3" s="1"/>
  <c r="G21" i="3"/>
  <c r="F21" i="3"/>
  <c r="E21" i="3"/>
  <c r="D21" i="3"/>
  <c r="C21" i="3"/>
  <c r="I21" i="3"/>
  <c r="B22" i="3"/>
  <c r="H22" i="3"/>
  <c r="Q22" i="3" s="1"/>
  <c r="G22" i="3"/>
  <c r="F22" i="3"/>
  <c r="E22" i="3"/>
  <c r="D22" i="3"/>
  <c r="C22" i="3"/>
  <c r="I22" i="3"/>
  <c r="B23" i="3"/>
  <c r="H23" i="3"/>
  <c r="Q23" i="3" s="1"/>
  <c r="B24" i="3"/>
  <c r="B25" i="3"/>
  <c r="B26" i="3"/>
  <c r="B27" i="3"/>
  <c r="H27" i="3"/>
  <c r="Q27" i="3" s="1"/>
  <c r="G27" i="3"/>
  <c r="F27" i="3"/>
  <c r="E27" i="3"/>
  <c r="D27" i="3"/>
  <c r="C27" i="3"/>
  <c r="I27" i="3"/>
  <c r="B28" i="3"/>
  <c r="H28" i="3"/>
  <c r="G28" i="3"/>
  <c r="F28" i="3"/>
  <c r="E28" i="3"/>
  <c r="D28" i="3"/>
  <c r="C28" i="3"/>
  <c r="I28" i="3"/>
  <c r="Q28" i="3"/>
  <c r="B29" i="3"/>
  <c r="H29" i="3"/>
  <c r="G29" i="3"/>
  <c r="F29" i="3"/>
  <c r="E29" i="3"/>
  <c r="D29" i="3"/>
  <c r="C29" i="3"/>
  <c r="I29" i="3"/>
  <c r="Q29" i="3"/>
  <c r="B30" i="3"/>
  <c r="H30" i="3"/>
  <c r="G30" i="3"/>
  <c r="F30" i="3"/>
  <c r="E30" i="3"/>
  <c r="D30" i="3"/>
  <c r="C30" i="3"/>
  <c r="I30" i="3"/>
  <c r="Q30" i="3"/>
  <c r="B31" i="3"/>
  <c r="H31" i="3"/>
  <c r="G31" i="3"/>
  <c r="F31" i="3"/>
  <c r="E31" i="3"/>
  <c r="D31" i="3"/>
  <c r="C31" i="3"/>
  <c r="I31" i="3"/>
  <c r="Q31" i="3"/>
  <c r="B32" i="3"/>
  <c r="H32" i="3"/>
  <c r="G32" i="3"/>
  <c r="F32" i="3"/>
  <c r="E32" i="3"/>
  <c r="D32" i="3"/>
  <c r="C32" i="3"/>
  <c r="I32" i="3"/>
  <c r="Q32" i="3"/>
  <c r="B33" i="3"/>
  <c r="H33" i="3"/>
  <c r="G33" i="3"/>
  <c r="F33" i="3"/>
  <c r="E33" i="3"/>
  <c r="D33" i="3"/>
  <c r="C33" i="3"/>
  <c r="I33" i="3"/>
  <c r="Q33" i="3"/>
  <c r="B34" i="3"/>
  <c r="H34" i="3"/>
  <c r="G34" i="3"/>
  <c r="F34" i="3"/>
  <c r="E34" i="3"/>
  <c r="D34" i="3"/>
  <c r="C34" i="3"/>
  <c r="I34" i="3"/>
  <c r="Q34" i="3"/>
  <c r="B35" i="3"/>
  <c r="H35" i="3"/>
  <c r="G35" i="3"/>
  <c r="F35" i="3"/>
  <c r="E35" i="3"/>
  <c r="D35" i="3"/>
  <c r="C35" i="3"/>
  <c r="I35" i="3"/>
  <c r="Q35" i="3"/>
  <c r="B36" i="3"/>
  <c r="H36" i="3"/>
  <c r="G36" i="3"/>
  <c r="F36" i="3"/>
  <c r="E36" i="3"/>
  <c r="D36" i="3"/>
  <c r="C36" i="3"/>
  <c r="I36" i="3"/>
  <c r="Q36" i="3"/>
  <c r="B37" i="3"/>
  <c r="H37" i="3"/>
  <c r="G37" i="3"/>
  <c r="F37" i="3"/>
  <c r="E37" i="3"/>
  <c r="D37" i="3"/>
  <c r="C37" i="3"/>
  <c r="I37" i="3"/>
  <c r="Q37" i="3"/>
  <c r="B38" i="3"/>
  <c r="H38" i="3"/>
  <c r="G38" i="3"/>
  <c r="F38" i="3"/>
  <c r="E38" i="3"/>
  <c r="D38" i="3"/>
  <c r="C38" i="3"/>
  <c r="I38" i="3"/>
  <c r="Q38" i="3"/>
  <c r="B39" i="3"/>
  <c r="H39" i="3"/>
  <c r="G39" i="3"/>
  <c r="F39" i="3"/>
  <c r="E39" i="3"/>
  <c r="D39" i="3"/>
  <c r="C39" i="3"/>
  <c r="I39" i="3"/>
  <c r="Q39" i="3"/>
  <c r="B40" i="3"/>
  <c r="H40" i="3"/>
  <c r="G40" i="3"/>
  <c r="F40" i="3"/>
  <c r="E40" i="3"/>
  <c r="D40" i="3"/>
  <c r="C40" i="3"/>
  <c r="I40" i="3"/>
  <c r="Q40" i="3"/>
  <c r="B41" i="3"/>
  <c r="H41" i="3"/>
  <c r="G41" i="3"/>
  <c r="F41" i="3"/>
  <c r="E41" i="3"/>
  <c r="D41" i="3"/>
  <c r="C41" i="3"/>
  <c r="I41" i="3"/>
  <c r="Q41" i="3"/>
  <c r="B42" i="3"/>
  <c r="H42" i="3"/>
  <c r="G42" i="3"/>
  <c r="F42" i="3"/>
  <c r="E42" i="3"/>
  <c r="D42" i="3"/>
  <c r="C42" i="3"/>
  <c r="I42" i="3"/>
  <c r="Q42" i="3"/>
  <c r="B43" i="3"/>
  <c r="H43" i="3"/>
  <c r="G43" i="3"/>
  <c r="F43" i="3"/>
  <c r="E43" i="3"/>
  <c r="D43" i="3"/>
  <c r="C43" i="3"/>
  <c r="I43" i="3"/>
  <c r="Q43" i="3"/>
  <c r="B44" i="3"/>
  <c r="H44" i="3"/>
  <c r="G44" i="3"/>
  <c r="F44" i="3"/>
  <c r="E44" i="3"/>
  <c r="D44" i="3"/>
  <c r="C44" i="3"/>
  <c r="I44" i="3"/>
  <c r="Q44" i="3"/>
  <c r="B45" i="3"/>
  <c r="H45" i="3"/>
  <c r="G45" i="3"/>
  <c r="F45" i="3"/>
  <c r="E45" i="3"/>
  <c r="D45" i="3"/>
  <c r="C45" i="3"/>
  <c r="I45" i="3"/>
  <c r="Q45" i="3"/>
  <c r="B46" i="3"/>
  <c r="H46" i="3"/>
  <c r="G46" i="3"/>
  <c r="F46" i="3"/>
  <c r="E46" i="3"/>
  <c r="D46" i="3"/>
  <c r="C46" i="3"/>
  <c r="I46" i="3"/>
  <c r="Q46" i="3"/>
  <c r="B47" i="3"/>
  <c r="H47" i="3"/>
  <c r="G47" i="3"/>
  <c r="F47" i="3"/>
  <c r="E47" i="3"/>
  <c r="D47" i="3"/>
  <c r="C47" i="3"/>
  <c r="I47" i="3"/>
  <c r="Q47" i="3"/>
  <c r="B48" i="3"/>
  <c r="H48" i="3"/>
  <c r="G48" i="3"/>
  <c r="F48" i="3"/>
  <c r="E48" i="3"/>
  <c r="D48" i="3"/>
  <c r="C48" i="3"/>
  <c r="I48" i="3"/>
  <c r="Q48" i="3"/>
  <c r="B49" i="3"/>
  <c r="H49" i="3"/>
  <c r="G49" i="3"/>
  <c r="F49" i="3"/>
  <c r="E49" i="3"/>
  <c r="D49" i="3"/>
  <c r="C49" i="3"/>
  <c r="I49" i="3"/>
  <c r="Q49" i="3"/>
  <c r="B50" i="3"/>
  <c r="H50" i="3"/>
  <c r="G50" i="3"/>
  <c r="F50" i="3"/>
  <c r="E50" i="3"/>
  <c r="D50" i="3"/>
  <c r="C50" i="3"/>
  <c r="I50" i="3"/>
  <c r="Q50" i="3"/>
  <c r="B51" i="3"/>
  <c r="H51" i="3"/>
  <c r="G51" i="3"/>
  <c r="F51" i="3"/>
  <c r="E51" i="3"/>
  <c r="D51" i="3"/>
  <c r="C51" i="3"/>
  <c r="I51" i="3"/>
  <c r="Q51" i="3"/>
  <c r="B52" i="3"/>
  <c r="H52" i="3"/>
  <c r="G52" i="3"/>
  <c r="F52" i="3"/>
  <c r="E52" i="3"/>
  <c r="D52" i="3"/>
  <c r="C52" i="3"/>
  <c r="I52" i="3"/>
  <c r="Q52" i="3"/>
  <c r="B53" i="3"/>
  <c r="H53" i="3"/>
  <c r="G53" i="3"/>
  <c r="F53" i="3"/>
  <c r="E53" i="3"/>
  <c r="D53" i="3"/>
  <c r="C53" i="3"/>
  <c r="I53" i="3"/>
  <c r="Q53" i="3"/>
  <c r="M10" i="1" l="1" a="1"/>
  <c r="M11" i="1" s="1"/>
  <c r="H2" i="1"/>
  <c r="G2" i="1"/>
  <c r="E2" i="1"/>
  <c r="H3" i="1"/>
  <c r="G3" i="1"/>
  <c r="E3" i="1"/>
  <c r="H4" i="1"/>
  <c r="G4" i="1"/>
  <c r="E4" i="1"/>
  <c r="H24" i="3"/>
  <c r="Q24" i="3" s="1"/>
  <c r="G24" i="3"/>
  <c r="F24" i="3"/>
  <c r="E24" i="3"/>
  <c r="D24" i="3"/>
  <c r="C24" i="3"/>
  <c r="I24" i="3"/>
  <c r="H26" i="3"/>
  <c r="Q26" i="3" s="1"/>
  <c r="G26" i="3"/>
  <c r="F26" i="3"/>
  <c r="E26" i="3"/>
  <c r="D26" i="3"/>
  <c r="C26" i="3"/>
  <c r="I26" i="3"/>
  <c r="G23" i="3"/>
  <c r="F23" i="3"/>
  <c r="E23" i="3"/>
  <c r="D23" i="3"/>
  <c r="C23" i="3"/>
  <c r="I23" i="3"/>
  <c r="H25" i="3"/>
  <c r="Q25" i="3" s="1"/>
  <c r="G25" i="3"/>
  <c r="F25" i="3"/>
  <c r="E25" i="3"/>
  <c r="D25" i="3"/>
  <c r="C25" i="3"/>
  <c r="I25" i="3"/>
  <c r="E6" i="1" l="1"/>
  <c r="G6" i="1"/>
  <c r="H6" i="1"/>
  <c r="G8" i="1"/>
  <c r="E8" i="1"/>
  <c r="H8" i="1"/>
  <c r="G5" i="1"/>
  <c r="E5" i="1"/>
  <c r="H5" i="1"/>
  <c r="H7" i="1"/>
  <c r="G7" i="1"/>
  <c r="E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<sst xmlns="http://schemas.openxmlformats.org/spreadsheetml/2006/main" count="106" uniqueCount="104">
  <si>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</si>
  <si>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</si>
  <si>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</si>
  <si>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</si>
  <si>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</si>
  <si>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</si>
  <si>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</si>
  <si>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</si>
  <si>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</si>
  <si>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</si>
  <si>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</si>
  <si>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</si>
  <si>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</si>
  <si>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</si>
  <si>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</si>
  <si>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</si>
  <si>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</si>
  <si>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</si>
  <si>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</si>
  <si>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</si>
  <si>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</si>
  <si>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</si>
  <si>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</si>
  <si>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</si>
  <si>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</si>
  <si>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</si>
  <si>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</si>
  <si>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</si>
  <si>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</si>
  <si>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</si>
  <si>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</si>
  <si>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</si>
  <si>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</si>
  <si>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</si>
  <si>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</si>
  <si>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</si>
  <si>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</si>
  <si>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</si>
  <si>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</si>
  <si>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</si>
  <si>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</si>
  <si>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</si>
  <si>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</si>
  <si>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</si>
  <si>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</si>
  <si>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</si>
  <si>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</si>
  <si>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</si>
  <si>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</si>
  <si>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</si>
  <si>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</si>
  <si>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</si>
  <si>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</si>
  <si>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</si>
  <si>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</si>
  <si>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</si>
  <si>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</si>
  <si>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</si>
  <si>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</si>
  <si>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</si>
  <si>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</si>
  <si>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</si>
  <si>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</si>
  <si>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</si>
  <si>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</si>
  <si>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</si>
  <si>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</si>
  <si>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</si>
  <si>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</si>
  <si>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</si>
  <si>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</si>
  <si>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</si>
  <si>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</si>
  <si>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</si>
  <si>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</si>
  <si>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</si>
  <si>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</si>
  <si>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</si>
  <si>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</si>
  <si>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</si>
  <si>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</si>
  <si>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</si>
  <si>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</si>
  <si>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</si>
  <si>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</si>
  <si>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</si>
  <si>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</si>
  <si>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</si>
  <si>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req avg (minutes-weighted)</t>
  </si>
  <si>
    <t>req avg text</t>
  </si>
  <si>
    <t>remaining / additional (positive)</t>
  </si>
  <si>
    <t>Truck load (Full capacity or m³) ✎</t>
  </si>
  <si>
    <t>Serial no. with no truck (e.g. 7, 15) ✎</t>
  </si>
  <si>
    <t>Serial check</t>
  </si>
  <si>
    <t>Full capacity</t>
  </si>
  <si>
    <t>LOAD OK ✎
(type ok)</t>
  </si>
  <si>
    <t>truck</t>
  </si>
  <si>
    <t>Messages!P2:P1001</t>
  </si>
  <si>
    <t>=IF(OR(RC[-8]="",NOT(ISNUMBER(RC[-4]))),"",IFERROR(LET(t,TRIM(SUBSTITUTE(SUBSTITUTE(SUBSTITUTE(RC[-8],"*",""),"_",""),"."," ")),s,TRIM(MID(SUBSTITUTE(t," ",REPT(" ",100)),101,100)),IF(AND(LEN(s)=3,ISNUMBER(--s)),--s,"")),""))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</si>
  <si>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"&amp;RC[5],IF(AND(MAX(R1C[4]:R[-1]C[4])&gt;0,N(RC[4])-MAX(R1C[4]:R[-1]C[4])&gt;180),"⚠ Gap &gt; 3h",IF(LET(q,RC[-2],tk,RC[9],ld,Log!R18C16,fx,IF(OR(ld="",ld="Full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"&amp;q,""))))&lt;&gt;"",IF(RC[7]&lt;&gt;"","Load OK ✓ (checked)","⚠ "&amp;LET(q,RC[-2],tk,RC[9],ld,Log!R18C16,fx,IF(OR(ld="",ld="Full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"&amp;q,""))))),IF(RC[-4]-RC[2]&gt;=0.99,"next day",IF(RC[-4]-RC[2]&gt;0.4,"12h → 24h","")))))))))))</t>
  </si>
  <si>
    <t>serials missing (count)</t>
  </si>
  <si>
    <t>serial check text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</si>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</sst>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3" fontId="9" fillId="6" borderId="6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9" fontId="3" fillId="5" borderId="5" xfId="0" applyNumberFormat="1" applyFont="1" applyFill="1" applyBorder="1" applyAlignment="1">
      <alignment horizontal="left"/>
    </xf>
    <xf numFmtId="0" fontId="2" fillId="5" borderId="0" xfId="0" applyFont="1" applyFill="1" applyAlignment="1">
      <alignment horizontal="center"/>
    </xf>
    <xf numFmtId="0" fontId="2" fillId="0" borderId="0" xfId="0" quotePrefix="1" applyFont="1"/>
    <xf numFmtId="49" fontId="2" fillId="0" borderId="0" xfId="0" quotePrefix="1" applyNumberFormat="1" applyFont="1"/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171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Calc!$M$14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59DF9CF-1B17-4A0E-B9D0-10AC85E39429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5</xdr:row>
      <xdr:rowOff>190500</xdr:rowOff>
    </xdr:from>
    <xdr:to>
      <xdr:col>3</xdr:col>
      <xdr:colOff>295275</xdr:colOff>
      <xdr:row>5</xdr:row>
      <xdr:rowOff>317500</xdr:rowOff>
    </xdr:to>
    <xdr:sp macro="" textlink="">
      <xdr:nvSpPr>
        <xdr:cNvPr id="49" name="tileSub_1">
          <a:extLst>
            <a:ext uri="{FF2B5EF4-FFF2-40B4-BE49-F238E27FC236}">
              <a16:creationId xmlns:a16="http://schemas.microsoft.com/office/drawing/2014/main" id="{9FCA5ADD-2DD9-33FC-4D88-EEE74A46B1D8}"/>
            </a:ext>
          </a:extLst>
        </xdr:cNvPr>
        <xdr:cNvSpPr txBox="1"/>
      </xdr:nvSpPr>
      <xdr:spPr>
        <a:xfrm>
          <a:off x="180975" y="1228725"/>
          <a:ext cx="1924050" cy="127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0">
              <a:solidFill>
                <a:srgbClr val="595959"/>
              </a:solidFill>
              <a:latin typeface="Segoe UI" panose="020B0502040204020203" pitchFamily="34" charset="0"/>
            </a:rPr>
            <a:t> </a:t>
          </a:r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50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DFD9861F-F47E-5E39-967E-C5C22DAC5DB7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B63C3A25-01B3-C050-E7C2-AE2CCE17ABFE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6" t="str">
        <f>IF($P$9="","POURING REPORT",$P$9)</f>
        <v>POURING REPORT</v>
      </c>
      <c r="C2" s="46"/>
      <c r="D2" s="46"/>
      <c r="E2" s="46"/>
      <c r="F2" s="46"/>
      <c r="G2" s="46"/>
      <c r="H2" s="46"/>
      <c r="I2" s="46"/>
      <c r="J2" s="47" t="str">
        <f>IF($P$10="","",$P$10)</f>
        <v/>
      </c>
      <c r="K2" s="47"/>
      <c r="L2" s="47"/>
      <c r="M2" s="47"/>
    </row>
    <row r="3" spans="1:16" ht="20.100000000000001" customHeight="1" x14ac:dyDescent="0.25">
      <c r="A3" s="16"/>
      <c r="B3" s="48" t="str">
        <f>IF($P$11="","","Total quantity  Q = "&amp;TEXT($P$11,"#,##0")&amp;" m³")</f>
        <v/>
      </c>
      <c r="C3" s="48"/>
      <c r="D3" s="48"/>
      <c r="E3" s="48"/>
      <c r="F3" s="48"/>
      <c r="G3" s="48"/>
      <c r="H3" s="48"/>
      <c r="I3" s="48"/>
      <c r="J3" s="49"/>
      <c r="K3" s="49"/>
      <c r="L3" s="49"/>
      <c r="M3" s="49"/>
    </row>
    <row r="4" spans="1:16" ht="8.1" customHeight="1" x14ac:dyDescent="0.25">
      <c r="A4" s="16"/>
    </row>
    <row r="5" spans="1:16" ht="15.95" customHeight="1" x14ac:dyDescent="0.25">
      <c r="A5" s="16"/>
      <c r="B5" s="39" t="s">
        <v>32</v>
      </c>
      <c r="C5" s="39"/>
      <c r="D5" s="39" t="s">
        <v>33</v>
      </c>
      <c r="E5" s="39"/>
      <c r="F5" s="39"/>
      <c r="G5" s="39" t="s">
        <v>34</v>
      </c>
      <c r="H5" s="39"/>
      <c r="I5" s="39"/>
      <c r="J5" s="39"/>
      <c r="K5" s="39"/>
      <c r="L5" s="39" t="s">
        <v>35</v>
      </c>
      <c r="M5" s="39"/>
    </row>
    <row r="6" spans="1:16" ht="30" customHeight="1" x14ac:dyDescent="0.25">
      <c r="A6" s="16"/>
      <c r="B6" s="50" cm="1">
        <f t="array" ref="B6">IF(nHours&gt;0,INDEX(Calc!$K$2:$K$49,nHours),ReqInit)</f>
        <v>0</v>
      </c>
      <c r="C6" s="50"/>
      <c r="D6" s="50" t="str">
        <f>IF(Calc!$M$3-Calc!$M$1&gt;=30,SUM(Messages!$E:$E)/((Calc!$M$3-Calc!$M$1)/60),"")</f>
        <v/>
      </c>
      <c r="E6" s="51"/>
      <c r="F6" s="51"/>
      <c r="G6" s="41">
        <f>ROUND(SUM(Messages!$E:$E),1)</f>
        <v>0</v>
      </c>
      <c r="H6" s="41"/>
      <c r="I6" s="41"/>
      <c r="J6" s="41"/>
      <c r="K6" s="41"/>
      <c r="L6" s="41">
        <f>ROUND(SUM(Messages!$J:$J)+N($P$14),1)</f>
        <v>0</v>
      </c>
      <c r="M6" s="41"/>
      <c r="O6" s="1" t="s">
        <v>92</v>
      </c>
      <c r="P6" s="35"/>
    </row>
    <row r="7" spans="1:16" ht="15.95" customHeight="1" x14ac:dyDescent="0.25">
      <c r="A7" s="16"/>
      <c r="B7" s="39" t="s">
        <v>82</v>
      </c>
      <c r="C7" s="39"/>
      <c r="D7" s="39"/>
      <c r="E7" s="39"/>
      <c r="F7" s="39"/>
      <c r="G7" s="39" t="s">
        <v>36</v>
      </c>
      <c r="H7" s="39"/>
      <c r="I7" s="39"/>
      <c r="J7" s="39"/>
      <c r="K7" s="39"/>
      <c r="L7" s="39" t="s">
        <v>83</v>
      </c>
      <c r="M7" s="39"/>
      <c r="O7" s="1" t="s">
        <v>93</v>
      </c>
      <c r="P7" s="34" t="str">
        <f>Calc!$M$13</f>
        <v/>
      </c>
    </row>
    <row r="8" spans="1:16" ht="30" customHeight="1" x14ac:dyDescent="0.25">
      <c r="A8" s="16"/>
      <c r="B8" s="40" t="str">
        <f>IF(N($P$11)&lt;=0,"",_xlfn.LET(_xlpm.p,($G$6-$L$6)/$P$11,_xlpm.n,ROUND(MAX(0,MIN(1,_xlpm.p))*20,0),REPT("■",_xlpm.n)&amp;REPT("□",20-_xlpm.n)&amp;"   "&amp;TEXT(_xlpm.p,"0%")))</f>
        <v/>
      </c>
      <c r="C8" s="40"/>
      <c r="D8" s="40"/>
      <c r="E8" s="40"/>
      <c r="F8" s="40"/>
      <c r="G8" s="41" t="str">
        <f>IF($P$11="","",ROUND($P$11-$G$6+$L$6,1))</f>
        <v/>
      </c>
      <c r="H8" s="41"/>
      <c r="I8" s="41"/>
      <c r="J8" s="41"/>
      <c r="K8" s="41"/>
      <c r="L8" s="42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42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2"/>
    </row>
    <row r="15" spans="1:16" ht="18" customHeight="1" x14ac:dyDescent="0.25">
      <c r="A15" s="16"/>
      <c r="O15" s="1" t="s">
        <v>87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COUNTIF(Messages!$G:$G,"⚠*")+Calc!$M$12</f>
        <v>0</v>
      </c>
    </row>
    <row r="17" spans="1:17" ht="18" customHeight="1" x14ac:dyDescent="0.3">
      <c r="A17" s="16"/>
      <c r="O17" s="1" t="s">
        <v>81</v>
      </c>
      <c r="P17" s="33">
        <f>COUNT(Messages!$K:$K)</f>
        <v>0</v>
      </c>
    </row>
    <row r="18" spans="1:17" ht="8.1" customHeight="1" x14ac:dyDescent="0.25">
      <c r="A18" s="16"/>
      <c r="O18" s="1" t="s">
        <v>91</v>
      </c>
      <c r="P18" s="21" t="s">
        <v>94</v>
      </c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4" t="s">
        <v>44</v>
      </c>
      <c r="K19" s="45"/>
      <c r="L19" s="45"/>
      <c r="M19" s="45"/>
      <c r="O19" s="25" t="s">
        <v>53</v>
      </c>
      <c r="P19" s="26" t="s">
        <v>54</v>
      </c>
      <c r="Q19" s="29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43" t="str">
        <f>IF(AND($A20=1,$O20&lt;&gt;""),IF($O20&lt;&gt;IF(ROW()=20,ReqInit,Calc!$K1),"Client asked for "&amp;$O20&amp;" m³/h.",""),"")</f>
        <v/>
      </c>
      <c r="K20" s="43"/>
      <c r="L20" s="43"/>
      <c r="M20" s="43"/>
      <c r="O20" s="24"/>
      <c r="Q20" s="30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43" t="str">
        <f>IF(AND($A21=1,$O21&lt;&gt;""),IF($O21&lt;&gt;IF(ROW()=20,ReqInit,Calc!$K2),"Client asked for "&amp;$O21&amp;" m³/h.",""),"")</f>
        <v/>
      </c>
      <c r="K21" s="43"/>
      <c r="L21" s="43"/>
      <c r="M21" s="43"/>
      <c r="O21" s="24"/>
      <c r="Q21" s="30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43" t="str">
        <f>IF(AND($A22=1,$O22&lt;&gt;""),IF($O22&lt;&gt;IF(ROW()=20,ReqInit,Calc!$K3),"Client asked for "&amp;$O22&amp;" m³/h.",""),"")</f>
        <v/>
      </c>
      <c r="K22" s="43"/>
      <c r="L22" s="43"/>
      <c r="M22" s="43"/>
      <c r="O22" s="24"/>
      <c r="Q22" s="30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43" t="str">
        <f>IF(AND($A23=1,$O23&lt;&gt;""),IF($O23&lt;&gt;IF(ROW()=20,ReqInit,Calc!$K4),"Client asked for "&amp;$O23&amp;" m³/h.",""),"")</f>
        <v/>
      </c>
      <c r="K23" s="43"/>
      <c r="L23" s="43"/>
      <c r="M23" s="43"/>
      <c r="O23" s="24"/>
      <c r="Q23" s="30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43" t="str">
        <f>IF(AND($A24=1,$O24&lt;&gt;""),IF($O24&lt;&gt;IF(ROW()=20,ReqInit,Calc!$K5),"Client asked for "&amp;$O24&amp;" m³/h.",""),"")</f>
        <v/>
      </c>
      <c r="K24" s="43"/>
      <c r="L24" s="43"/>
      <c r="M24" s="43"/>
      <c r="O24" s="24"/>
      <c r="Q24" s="30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43" t="str">
        <f>IF(AND($A25=1,$O25&lt;&gt;""),IF($O25&lt;&gt;IF(ROW()=20,ReqInit,Calc!$K6),"Client asked for "&amp;$O25&amp;" m³/h.",""),"")</f>
        <v/>
      </c>
      <c r="K25" s="43"/>
      <c r="L25" s="43"/>
      <c r="M25" s="43"/>
      <c r="O25" s="24"/>
      <c r="Q25" s="30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43" t="str">
        <f>IF(AND($A26=1,$O26&lt;&gt;""),IF($O26&lt;&gt;IF(ROW()=20,ReqInit,Calc!$K7),"Client asked for "&amp;$O26&amp;" m³/h.",""),"")</f>
        <v/>
      </c>
      <c r="K26" s="43"/>
      <c r="L26" s="43"/>
      <c r="M26" s="43"/>
      <c r="O26" s="24"/>
      <c r="Q26" s="30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43" t="str">
        <f>IF(AND($A27=1,$O27&lt;&gt;""),IF($O27&lt;&gt;IF(ROW()=20,ReqInit,Calc!$K8),"Client asked for "&amp;$O27&amp;" m³/h.",""),"")</f>
        <v/>
      </c>
      <c r="K27" s="43"/>
      <c r="L27" s="43"/>
      <c r="M27" s="43"/>
      <c r="O27" s="24"/>
      <c r="Q27" s="30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43" t="str">
        <f>IF(AND($A28=1,$O28&lt;&gt;""),IF($O28&lt;&gt;IF(ROW()=20,ReqInit,Calc!$K9),"Client asked for "&amp;$O28&amp;" m³/h.",""),"")</f>
        <v/>
      </c>
      <c r="K28" s="43"/>
      <c r="L28" s="43"/>
      <c r="M28" s="43"/>
      <c r="O28" s="24"/>
      <c r="Q28" s="30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43" t="str">
        <f>IF(AND($A29=1,$O29&lt;&gt;""),IF($O29&lt;&gt;IF(ROW()=20,ReqInit,Calc!$K10),"Client asked for "&amp;$O29&amp;" m³/h.",""),"")</f>
        <v/>
      </c>
      <c r="K29" s="43"/>
      <c r="L29" s="43"/>
      <c r="M29" s="43"/>
      <c r="O29" s="24"/>
      <c r="Q29" s="30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43" t="str">
        <f>IF(AND($A30=1,$O30&lt;&gt;""),IF($O30&lt;&gt;IF(ROW()=20,ReqInit,Calc!$K11),"Client asked for "&amp;$O30&amp;" m³/h.",""),"")</f>
        <v/>
      </c>
      <c r="K30" s="43"/>
      <c r="L30" s="43"/>
      <c r="M30" s="43"/>
      <c r="O30" s="24"/>
      <c r="Q30" s="30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43" t="str">
        <f>IF(AND($A31=1,$O31&lt;&gt;""),IF($O31&lt;&gt;IF(ROW()=20,ReqInit,Calc!$K12),"Client asked for "&amp;$O31&amp;" m³/h.",""),"")</f>
        <v/>
      </c>
      <c r="K31" s="43"/>
      <c r="L31" s="43"/>
      <c r="M31" s="43"/>
      <c r="O31" s="24"/>
      <c r="Q31" s="30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43" t="str">
        <f>IF(AND($A32=1,$O32&lt;&gt;""),IF($O32&lt;&gt;IF(ROW()=20,ReqInit,Calc!$K13),"Client asked for "&amp;$O32&amp;" m³/h.",""),"")</f>
        <v/>
      </c>
      <c r="K32" s="43"/>
      <c r="L32" s="43"/>
      <c r="M32" s="43"/>
      <c r="O32" s="24"/>
      <c r="Q32" s="30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43" t="str">
        <f>IF(AND($A33=1,$O33&lt;&gt;""),IF($O33&lt;&gt;IF(ROW()=20,ReqInit,Calc!$K14),"Client asked for "&amp;$O33&amp;" m³/h.",""),"")</f>
        <v/>
      </c>
      <c r="K33" s="43"/>
      <c r="L33" s="43"/>
      <c r="M33" s="43"/>
      <c r="O33" s="24"/>
      <c r="Q33" s="30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43" t="str">
        <f>IF(AND($A34=1,$O34&lt;&gt;""),IF($O34&lt;&gt;IF(ROW()=20,ReqInit,Calc!$K15),"Client asked for "&amp;$O34&amp;" m³/h.",""),"")</f>
        <v/>
      </c>
      <c r="K34" s="43"/>
      <c r="L34" s="43"/>
      <c r="M34" s="43"/>
      <c r="O34" s="24"/>
      <c r="Q34" s="30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43" t="str">
        <f>IF(AND($A35=1,$O35&lt;&gt;""),IF($O35&lt;&gt;IF(ROW()=20,ReqInit,Calc!$K16),"Client asked for "&amp;$O35&amp;" m³/h.",""),"")</f>
        <v/>
      </c>
      <c r="K35" s="43"/>
      <c r="L35" s="43"/>
      <c r="M35" s="43"/>
      <c r="O35" s="24"/>
      <c r="Q35" s="30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43" t="str">
        <f>IF(AND($A36=1,$O36&lt;&gt;""),IF($O36&lt;&gt;IF(ROW()=20,ReqInit,Calc!$K17),"Client asked for "&amp;$O36&amp;" m³/h.",""),"")</f>
        <v/>
      </c>
      <c r="K36" s="43"/>
      <c r="L36" s="43"/>
      <c r="M36" s="43"/>
      <c r="O36" s="24"/>
      <c r="Q36" s="30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43" t="str">
        <f>IF(AND($A37=1,$O37&lt;&gt;""),IF($O37&lt;&gt;IF(ROW()=20,ReqInit,Calc!$K18),"Client asked for "&amp;$O37&amp;" m³/h.",""),"")</f>
        <v/>
      </c>
      <c r="K37" s="43"/>
      <c r="L37" s="43"/>
      <c r="M37" s="43"/>
      <c r="O37" s="24"/>
      <c r="Q37" s="30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43" t="str">
        <f>IF(AND($A38=1,$O38&lt;&gt;""),IF($O38&lt;&gt;IF(ROW()=20,ReqInit,Calc!$K19),"Client asked for "&amp;$O38&amp;" m³/h.",""),"")</f>
        <v/>
      </c>
      <c r="K38" s="43"/>
      <c r="L38" s="43"/>
      <c r="M38" s="43"/>
      <c r="O38" s="24"/>
      <c r="Q38" s="30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43" t="str">
        <f>IF(AND($A39=1,$O39&lt;&gt;""),IF($O39&lt;&gt;IF(ROW()=20,ReqInit,Calc!$K20),"Client asked for "&amp;$O39&amp;" m³/h.",""),"")</f>
        <v/>
      </c>
      <c r="K39" s="43"/>
      <c r="L39" s="43"/>
      <c r="M39" s="43"/>
      <c r="O39" s="24"/>
      <c r="Q39" s="30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43" t="str">
        <f>IF(AND($A40=1,$O40&lt;&gt;""),IF($O40&lt;&gt;IF(ROW()=20,ReqInit,Calc!$K21),"Client asked for "&amp;$O40&amp;" m³/h.",""),"")</f>
        <v/>
      </c>
      <c r="K40" s="43"/>
      <c r="L40" s="43"/>
      <c r="M40" s="43"/>
      <c r="O40" s="24"/>
      <c r="Q40" s="30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43" t="str">
        <f>IF(AND($A41=1,$O41&lt;&gt;""),IF($O41&lt;&gt;IF(ROW()=20,ReqInit,Calc!$K22),"Client asked for "&amp;$O41&amp;" m³/h.",""),"")</f>
        <v/>
      </c>
      <c r="K41" s="43"/>
      <c r="L41" s="43"/>
      <c r="M41" s="43"/>
      <c r="O41" s="24"/>
      <c r="Q41" s="30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43" t="str">
        <f>IF(AND($A42=1,$O42&lt;&gt;""),IF($O42&lt;&gt;IF(ROW()=20,ReqInit,Calc!$K23),"Client asked for "&amp;$O42&amp;" m³/h.",""),"")</f>
        <v/>
      </c>
      <c r="K42" s="43"/>
      <c r="L42" s="43"/>
      <c r="M42" s="43"/>
      <c r="O42" s="24"/>
      <c r="Q42" s="30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43" t="str">
        <f>IF(AND($A43=1,$O43&lt;&gt;""),IF($O43&lt;&gt;IF(ROW()=20,ReqInit,Calc!$K24),"Client asked for "&amp;$O43&amp;" m³/h.",""),"")</f>
        <v/>
      </c>
      <c r="K43" s="43"/>
      <c r="L43" s="43"/>
      <c r="M43" s="43"/>
      <c r="O43" s="24"/>
      <c r="Q43" s="30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43" t="str">
        <f>IF(AND($A44=1,$O44&lt;&gt;""),IF($O44&lt;&gt;IF(ROW()=20,ReqInit,Calc!$K25),"Client asked for "&amp;$O44&amp;" m³/h.",""),"")</f>
        <v/>
      </c>
      <c r="K44" s="43"/>
      <c r="L44" s="43"/>
      <c r="M44" s="43"/>
      <c r="O44" s="24"/>
      <c r="Q44" s="30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43" t="str">
        <f>IF(AND($A45=1,$O45&lt;&gt;""),IF($O45&lt;&gt;IF(ROW()=20,ReqInit,Calc!$K26),"Client asked for "&amp;$O45&amp;" m³/h.",""),"")</f>
        <v/>
      </c>
      <c r="K45" s="43"/>
      <c r="L45" s="43"/>
      <c r="M45" s="43"/>
      <c r="O45" s="24"/>
      <c r="Q45" s="30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43" t="str">
        <f>IF(AND($A46=1,$O46&lt;&gt;""),IF($O46&lt;&gt;IF(ROW()=20,ReqInit,Calc!$K27),"Client asked for "&amp;$O46&amp;" m³/h.",""),"")</f>
        <v/>
      </c>
      <c r="K46" s="43"/>
      <c r="L46" s="43"/>
      <c r="M46" s="43"/>
      <c r="O46" s="24"/>
      <c r="Q46" s="30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43" t="str">
        <f>IF(AND($A47=1,$O47&lt;&gt;""),IF($O47&lt;&gt;IF(ROW()=20,ReqInit,Calc!$K28),"Client asked for "&amp;$O47&amp;" m³/h.",""),"")</f>
        <v/>
      </c>
      <c r="K47" s="43"/>
      <c r="L47" s="43"/>
      <c r="M47" s="43"/>
      <c r="O47" s="24"/>
      <c r="Q47" s="30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43" t="str">
        <f>IF(AND($A48=1,$O48&lt;&gt;""),IF($O48&lt;&gt;IF(ROW()=20,ReqInit,Calc!$K29),"Client asked for "&amp;$O48&amp;" m³/h.",""),"")</f>
        <v/>
      </c>
      <c r="K48" s="43"/>
      <c r="L48" s="43"/>
      <c r="M48" s="43"/>
      <c r="O48" s="24"/>
      <c r="Q48" s="30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43" t="str">
        <f>IF(AND($A49=1,$O49&lt;&gt;""),IF($O49&lt;&gt;IF(ROW()=20,ReqInit,Calc!$K30),"Client asked for "&amp;$O49&amp;" m³/h.",""),"")</f>
        <v/>
      </c>
      <c r="K49" s="43"/>
      <c r="L49" s="43"/>
      <c r="M49" s="43"/>
      <c r="O49" s="24"/>
      <c r="Q49" s="30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43" t="str">
        <f>IF(AND($A50=1,$O50&lt;&gt;""),IF($O50&lt;&gt;IF(ROW()=20,ReqInit,Calc!$K31),"Client asked for "&amp;$O50&amp;" m³/h.",""),"")</f>
        <v/>
      </c>
      <c r="K50" s="43"/>
      <c r="L50" s="43"/>
      <c r="M50" s="43"/>
      <c r="O50" s="24"/>
      <c r="Q50" s="30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43" t="str">
        <f>IF(AND($A51=1,$O51&lt;&gt;""),IF($O51&lt;&gt;IF(ROW()=20,ReqInit,Calc!$K32),"Client asked for "&amp;$O51&amp;" m³/h.",""),"")</f>
        <v/>
      </c>
      <c r="K51" s="43"/>
      <c r="L51" s="43"/>
      <c r="M51" s="43"/>
      <c r="O51" s="24"/>
      <c r="Q51" s="30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43" t="str">
        <f>IF(AND($A52=1,$O52&lt;&gt;""),IF($O52&lt;&gt;IF(ROW()=20,ReqInit,Calc!$K33),"Client asked for "&amp;$O52&amp;" m³/h.",""),"")</f>
        <v/>
      </c>
      <c r="K52" s="43"/>
      <c r="L52" s="43"/>
      <c r="M52" s="43"/>
      <c r="O52" s="24"/>
      <c r="Q52" s="30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43" t="str">
        <f>IF(AND($A53=1,$O53&lt;&gt;""),IF($O53&lt;&gt;IF(ROW()=20,ReqInit,Calc!$K34),"Client asked for "&amp;$O53&amp;" m³/h.",""),"")</f>
        <v/>
      </c>
      <c r="K53" s="43"/>
      <c r="L53" s="43"/>
      <c r="M53" s="43"/>
      <c r="O53" s="24"/>
      <c r="Q53" s="30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43" t="str">
        <f>IF(AND($A54=1,$O54&lt;&gt;""),IF($O54&lt;&gt;IF(ROW()=20,ReqInit,Calc!$K35),"Client asked for "&amp;$O54&amp;" m³/h.",""),"")</f>
        <v/>
      </c>
      <c r="K54" s="43"/>
      <c r="L54" s="43"/>
      <c r="M54" s="43"/>
      <c r="O54" s="24"/>
      <c r="Q54" s="30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43" t="str">
        <f>IF(AND($A55=1,$O55&lt;&gt;""),IF($O55&lt;&gt;IF(ROW()=20,ReqInit,Calc!$K36),"Client asked for "&amp;$O55&amp;" m³/h.",""),"")</f>
        <v/>
      </c>
      <c r="K55" s="43"/>
      <c r="L55" s="43"/>
      <c r="M55" s="43"/>
      <c r="O55" s="24"/>
      <c r="Q55" s="30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43" t="str">
        <f>IF(AND($A56=1,$O56&lt;&gt;""),IF($O56&lt;&gt;IF(ROW()=20,ReqInit,Calc!$K37),"Client asked for "&amp;$O56&amp;" m³/h.",""),"")</f>
        <v/>
      </c>
      <c r="K56" s="43"/>
      <c r="L56" s="43"/>
      <c r="M56" s="43"/>
      <c r="O56" s="24"/>
      <c r="Q56" s="30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43" t="str">
        <f>IF(AND($A57=1,$O57&lt;&gt;""),IF($O57&lt;&gt;IF(ROW()=20,ReqInit,Calc!$K38),"Client asked for "&amp;$O57&amp;" m³/h.",""),"")</f>
        <v/>
      </c>
      <c r="K57" s="43"/>
      <c r="L57" s="43"/>
      <c r="M57" s="43"/>
      <c r="O57" s="24"/>
      <c r="Q57" s="30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43" t="str">
        <f>IF(AND($A58=1,$O58&lt;&gt;""),IF($O58&lt;&gt;IF(ROW()=20,ReqInit,Calc!$K39),"Client asked for "&amp;$O58&amp;" m³/h.",""),"")</f>
        <v/>
      </c>
      <c r="K58" s="43"/>
      <c r="L58" s="43"/>
      <c r="M58" s="43"/>
      <c r="O58" s="24"/>
      <c r="Q58" s="30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43" t="str">
        <f>IF(AND($A59=1,$O59&lt;&gt;""),IF($O59&lt;&gt;IF(ROW()=20,ReqInit,Calc!$K40),"Client asked for "&amp;$O59&amp;" m³/h.",""),"")</f>
        <v/>
      </c>
      <c r="K59" s="43"/>
      <c r="L59" s="43"/>
      <c r="M59" s="43"/>
      <c r="O59" s="24"/>
      <c r="Q59" s="30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43" t="str">
        <f>IF(AND($A60=1,$O60&lt;&gt;""),IF($O60&lt;&gt;IF(ROW()=20,ReqInit,Calc!$K41),"Client asked for "&amp;$O60&amp;" m³/h.",""),"")</f>
        <v/>
      </c>
      <c r="K60" s="43"/>
      <c r="L60" s="43"/>
      <c r="M60" s="43"/>
      <c r="O60" s="24"/>
      <c r="Q60" s="30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43" t="str">
        <f>IF(AND($A61=1,$O61&lt;&gt;""),IF($O61&lt;&gt;IF(ROW()=20,ReqInit,Calc!$K42),"Client asked for "&amp;$O61&amp;" m³/h.",""),"")</f>
        <v/>
      </c>
      <c r="K61" s="43"/>
      <c r="L61" s="43"/>
      <c r="M61" s="43"/>
      <c r="O61" s="24"/>
      <c r="Q61" s="30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43" t="str">
        <f>IF(AND($A62=1,$O62&lt;&gt;""),IF($O62&lt;&gt;IF(ROW()=20,ReqInit,Calc!$K43),"Client asked for "&amp;$O62&amp;" m³/h.",""),"")</f>
        <v/>
      </c>
      <c r="K62" s="43"/>
      <c r="L62" s="43"/>
      <c r="M62" s="43"/>
      <c r="O62" s="24"/>
      <c r="Q62" s="30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43" t="str">
        <f>IF(AND($A63=1,$O63&lt;&gt;""),IF($O63&lt;&gt;IF(ROW()=20,ReqInit,Calc!$K44),"Client asked for "&amp;$O63&amp;" m³/h.",""),"")</f>
        <v/>
      </c>
      <c r="K63" s="43"/>
      <c r="L63" s="43"/>
      <c r="M63" s="43"/>
      <c r="O63" s="24"/>
      <c r="Q63" s="30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43" t="str">
        <f>IF(AND($A64=1,$O64&lt;&gt;""),IF($O64&lt;&gt;IF(ROW()=20,ReqInit,Calc!$K45),"Client asked for "&amp;$O64&amp;" m³/h.",""),"")</f>
        <v/>
      </c>
      <c r="K64" s="43"/>
      <c r="L64" s="43"/>
      <c r="M64" s="43"/>
      <c r="O64" s="24"/>
      <c r="Q64" s="30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43" t="str">
        <f>IF(AND($A65=1,$O65&lt;&gt;""),IF($O65&lt;&gt;IF(ROW()=20,ReqInit,Calc!$K46),"Client asked for "&amp;$O65&amp;" m³/h.",""),"")</f>
        <v/>
      </c>
      <c r="K65" s="43"/>
      <c r="L65" s="43"/>
      <c r="M65" s="43"/>
      <c r="O65" s="24"/>
      <c r="Q65" s="30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43" t="str">
        <f>IF(AND($A66=1,$O66&lt;&gt;""),IF($O66&lt;&gt;IF(ROW()=20,ReqInit,Calc!$K47),"Client asked for "&amp;$O66&amp;" m³/h.",""),"")</f>
        <v/>
      </c>
      <c r="K66" s="43"/>
      <c r="L66" s="43"/>
      <c r="M66" s="43"/>
      <c r="O66" s="24"/>
      <c r="Q66" s="30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43" t="str">
        <f>IF(AND($A67=1,$O67&lt;&gt;""),IF($O67&lt;&gt;IF(ROW()=20,ReqInit,Calc!$K48),"Client asked for "&amp;$O67&amp;" m³/h.",""),"")</f>
        <v/>
      </c>
      <c r="K67" s="43"/>
      <c r="L67" s="43"/>
      <c r="M67" s="43"/>
      <c r="O67" s="24"/>
      <c r="Q67" s="30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43" t="str">
        <f>IF(AND($A68=1,$O68&lt;&gt;""),IF($O68&lt;&gt;IF(ROW()=20,ReqInit,Calc!$K49),"Client asked for "&amp;$O68&amp;" m³/h.",""),"")</f>
        <v/>
      </c>
      <c r="K68" s="43"/>
      <c r="L68" s="43"/>
      <c r="M68" s="43"/>
      <c r="Q68" s="30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43" t="str">
        <f>IF(AND($A69=1,$O69&lt;&gt;""),IF($O69&lt;&gt;IF(ROW()=20,ReqInit,Calc!$K50),"Client asked for "&amp;$O69&amp;" m³/h.",""),"")</f>
        <v/>
      </c>
      <c r="K69" s="43"/>
      <c r="L69" s="43"/>
      <c r="M69" s="43"/>
      <c r="Q69" s="30" t="str">
        <f t="shared" si="3"/>
        <v/>
      </c>
    </row>
  </sheetData>
  <mergeCells count="69"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  <mergeCell ref="J24:M24"/>
    <mergeCell ref="J25:M25"/>
    <mergeCell ref="J26:M26"/>
    <mergeCell ref="J19:M19"/>
    <mergeCell ref="J20:M20"/>
    <mergeCell ref="J21:M21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65:M65"/>
    <mergeCell ref="J66:M66"/>
    <mergeCell ref="J67:M67"/>
    <mergeCell ref="J68:M68"/>
    <mergeCell ref="J69:M69"/>
    <mergeCell ref="J29:M29"/>
    <mergeCell ref="J30:M30"/>
    <mergeCell ref="J31:M31"/>
    <mergeCell ref="J32:M32"/>
    <mergeCell ref="J37:M37"/>
    <mergeCell ref="J46:M46"/>
    <mergeCell ref="J42:M42"/>
    <mergeCell ref="J43:M43"/>
    <mergeCell ref="J44:M44"/>
    <mergeCell ref="J45:M45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B7:F7"/>
    <mergeCell ref="B8:F8"/>
    <mergeCell ref="G7:K7"/>
    <mergeCell ref="G8:K8"/>
    <mergeCell ref="L7:M7"/>
    <mergeCell ref="L8:M8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2">
    <dataValidation type="list" allowBlank="1" showInputMessage="1" showErrorMessage="1" sqref="P15" xr:uid="{505D1756-5A47-4F38-BB0B-4D9BCE328B81}">
      <formula1>"Yes"</formula1>
    </dataValidation>
    <dataValidation type="list" allowBlank="1" showInputMessage="1" sqref="P18" xr:uid="{158EF16C-4ACF-45C3-A86F-5A3DDDA26D17}">
      <formula1>"Full capacity,1,2,3,4,5,6,7,8,9,10,11,12"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P1001"/>
  <sheetViews>
    <sheetView showGridLines="0" workbookViewId="0">
      <pane ySplit="1" topLeftCell="A82" activePane="bottomLeft" state="frozen"/>
      <selection pane="bottomLeft" activeCell="N1" sqref="N1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11.7109375" style="1" customWidth="1" collapsed="1"/>
    <col min="15" max="15" width="95.7109375" style="1" customWidth="1"/>
    <col min="16" max="16" width="0" style="1" hidden="1" customWidth="1"/>
    <col min="17" max="16384" width="9.140625" style="1"/>
  </cols>
  <sheetData>
    <row r="1" spans="1:16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95</v>
      </c>
      <c r="P1" s="1" t="s">
        <v>96</v>
      </c>
    </row>
    <row r="2" spans="1:16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"&amp;L2,IF(AND(MAX(K$1:K1)&gt;0,N(K2)-MAX(K$1:K1)&gt;180),"⚠ Gap &gt; 3h",IF(_xlfn.LET(_xlpm.q,E2,_xlpm.tk,P2,_xlpm.ld,Log!$P$18,_xlpm.fx,IF(OR(_xlpm.ld="",_xlpm.ld="Full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"&amp;_xlpm.q,""))))&lt;&gt;"",IF(N2&lt;&gt;"","Load OK ✓ (checked)","⚠ "&amp;_xlfn.LET(_xlpm.q,E2,_xlpm.tk,P2,_xlpm.ld,Log!$P$18,_xlpm.fx,IF(OR(_xlpm.ld="",_xlpm.ld="Full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N2" s="36"/>
      <c r="O2" s="15" t="s">
        <v>13</v>
      </c>
      <c r="P2" s="1" t="str">
        <f t="shared" ref="P2:P65" si="5">IF(OR(H2="",NOT(ISNUMBER(L2))),"",IFERROR(_xlfn.LET(_xlpm.t,TRIM(SUBSTITUTE(SUBSTITUTE(SUBSTITUTE(H2,"*",""),"_",""),"."," ")),_xlpm.s,TRIM(MID(SUBSTITUTE(_xlpm.t," ",REPT(" ",100)),101,100)),IF(AND(LEN(_xlpm.s)=3,ISNUMBER(--_xlpm.s)),--_xlpm.s,"")),""))</f>
        <v/>
      </c>
    </row>
    <row r="3" spans="1:16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"&amp;L3,IF(AND(MAX(K$1:K2)&gt;0,N(K3)-MAX(K$1:K2)&gt;180),"⚠ Gap &gt; 3h",IF(_xlfn.LET(_xlpm.q,E3,_xlpm.tk,P3,_xlpm.ld,Log!$P$18,_xlpm.fx,IF(OR(_xlpm.ld="",_xlpm.ld="Full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"&amp;_xlpm.q,""))))&lt;&gt;"",IF(N3&lt;&gt;"","Load OK ✓ (checked)","⚠ "&amp;_xlfn.LET(_xlpm.q,E3,_xlpm.tk,P3,_xlpm.ld,Log!$P$18,_xlpm.fx,IF(OR(_xlpm.ld="",_xlpm.ld="Full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N3" s="36"/>
      <c r="O3" s="14" t="s">
        <v>14</v>
      </c>
      <c r="P3" s="1" t="str">
        <f t="shared" si="5"/>
        <v/>
      </c>
    </row>
    <row r="4" spans="1:16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"&amp;L4,IF(AND(MAX(K$1:K3)&gt;0,N(K4)-MAX(K$1:K3)&gt;180),"⚠ Gap &gt; 3h",IF(_xlfn.LET(_xlpm.q,E4,_xlpm.tk,P4,_xlpm.ld,Log!$P$18,_xlpm.fx,IF(OR(_xlpm.ld="",_xlpm.ld="Full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"&amp;_xlpm.q,""))))&lt;&gt;"",IF(N4&lt;&gt;"","Load OK ✓ (checked)","⚠ "&amp;_xlfn.LET(_xlpm.q,E4,_xlpm.tk,P4,_xlpm.ld,Log!$P$18,_xlpm.fx,IF(OR(_xlpm.ld="",_xlpm.ld="Full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N4" s="36"/>
      <c r="O4" s="14" t="s">
        <v>15</v>
      </c>
      <c r="P4" s="1" t="str">
        <f t="shared" si="5"/>
        <v/>
      </c>
    </row>
    <row r="5" spans="1:16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"&amp;L5,IF(AND(MAX(K$1:K4)&gt;0,N(K5)-MAX(K$1:K4)&gt;180),"⚠ Gap &gt; 3h",IF(_xlfn.LET(_xlpm.q,E5,_xlpm.tk,P5,_xlpm.ld,Log!$P$18,_xlpm.fx,IF(OR(_xlpm.ld="",_xlpm.ld="Full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"&amp;_xlpm.q,""))))&lt;&gt;"",IF(N5&lt;&gt;"","Load OK ✓ (checked)","⚠ "&amp;_xlfn.LET(_xlpm.q,E5,_xlpm.tk,P5,_xlpm.ld,Log!$P$18,_xlpm.fx,IF(OR(_xlpm.ld="",_xlpm.ld="Full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N5" s="36"/>
      <c r="O5" s="14" t="s">
        <v>16</v>
      </c>
      <c r="P5" s="1" t="str">
        <f t="shared" si="5"/>
        <v/>
      </c>
    </row>
    <row r="6" spans="1:16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"&amp;L6,IF(AND(MAX(K$1:K5)&gt;0,N(K6)-MAX(K$1:K5)&gt;180),"⚠ Gap &gt; 3h",IF(_xlfn.LET(_xlpm.q,E6,_xlpm.tk,P6,_xlpm.ld,Log!$P$18,_xlpm.fx,IF(OR(_xlpm.ld="",_xlpm.ld="Full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"&amp;_xlpm.q,""))))&lt;&gt;"",IF(N6&lt;&gt;"","Load OK ✓ (checked)","⚠ "&amp;_xlfn.LET(_xlpm.q,E6,_xlpm.tk,P6,_xlpm.ld,Log!$P$18,_xlpm.fx,IF(OR(_xlpm.ld="",_xlpm.ld="Full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N6" s="36"/>
      <c r="O6" s="14" t="s">
        <v>17</v>
      </c>
      <c r="P6" s="1" t="str">
        <f t="shared" si="5"/>
        <v/>
      </c>
    </row>
    <row r="7" spans="1:16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"&amp;L7,IF(AND(MAX(K$1:K6)&gt;0,N(K7)-MAX(K$1:K6)&gt;180),"⚠ Gap &gt; 3h",IF(_xlfn.LET(_xlpm.q,E7,_xlpm.tk,P7,_xlpm.ld,Log!$P$18,_xlpm.fx,IF(OR(_xlpm.ld="",_xlpm.ld="Full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"&amp;_xlpm.q,""))))&lt;&gt;"",IF(N7&lt;&gt;"","Load OK ✓ (checked)","⚠ "&amp;_xlfn.LET(_xlpm.q,E7,_xlpm.tk,P7,_xlpm.ld,Log!$P$18,_xlpm.fx,IF(OR(_xlpm.ld="",_xlpm.ld="Full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  <c r="N7" s="36"/>
      <c r="P7" s="1" t="str">
        <f t="shared" si="5"/>
        <v/>
      </c>
    </row>
    <row r="8" spans="1:16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"&amp;L8,IF(AND(MAX(K$1:K7)&gt;0,N(K8)-MAX(K$1:K7)&gt;180),"⚠ Gap &gt; 3h",IF(_xlfn.LET(_xlpm.q,E8,_xlpm.tk,P8,_xlpm.ld,Log!$P$18,_xlpm.fx,IF(OR(_xlpm.ld="",_xlpm.ld="Full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"&amp;_xlpm.q,""))))&lt;&gt;"",IF(N8&lt;&gt;"","Load OK ✓ (checked)","⚠ "&amp;_xlfn.LET(_xlpm.q,E8,_xlpm.tk,P8,_xlpm.ld,Log!$P$18,_xlpm.fx,IF(OR(_xlpm.ld="",_xlpm.ld="Full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  <c r="N8" s="36"/>
      <c r="P8" s="1" t="str">
        <f t="shared" si="5"/>
        <v/>
      </c>
    </row>
    <row r="9" spans="1:16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"&amp;L9,IF(AND(MAX(K$1:K8)&gt;0,N(K9)-MAX(K$1:K8)&gt;180),"⚠ Gap &gt; 3h",IF(_xlfn.LET(_xlpm.q,E9,_xlpm.tk,P9,_xlpm.ld,Log!$P$18,_xlpm.fx,IF(OR(_xlpm.ld="",_xlpm.ld="Full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"&amp;_xlpm.q,""))))&lt;&gt;"",IF(N9&lt;&gt;"","Load OK ✓ (checked)","⚠ "&amp;_xlfn.LET(_xlpm.q,E9,_xlpm.tk,P9,_xlpm.ld,Log!$P$18,_xlpm.fx,IF(OR(_xlpm.ld="",_xlpm.ld="Full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  <c r="N9" s="36"/>
      <c r="P9" s="1" t="str">
        <f t="shared" si="5"/>
        <v/>
      </c>
    </row>
    <row r="10" spans="1:16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"&amp;L10,IF(AND(MAX(K$1:K9)&gt;0,N(K10)-MAX(K$1:K9)&gt;180),"⚠ Gap &gt; 3h",IF(_xlfn.LET(_xlpm.q,E10,_xlpm.tk,P10,_xlpm.ld,Log!$P$18,_xlpm.fx,IF(OR(_xlpm.ld="",_xlpm.ld="Full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"&amp;_xlpm.q,""))))&lt;&gt;"",IF(N10&lt;&gt;"","Load OK ✓ (checked)","⚠ "&amp;_xlfn.LET(_xlpm.q,E10,_xlpm.tk,P10,_xlpm.ld,Log!$P$18,_xlpm.fx,IF(OR(_xlpm.ld="",_xlpm.ld="Full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  <c r="N10" s="36"/>
      <c r="P10" s="1" t="str">
        <f t="shared" si="5"/>
        <v/>
      </c>
    </row>
    <row r="11" spans="1:16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"&amp;L11,IF(AND(MAX(K$1:K10)&gt;0,N(K11)-MAX(K$1:K10)&gt;180),"⚠ Gap &gt; 3h",IF(_xlfn.LET(_xlpm.q,E11,_xlpm.tk,P11,_xlpm.ld,Log!$P$18,_xlpm.fx,IF(OR(_xlpm.ld="",_xlpm.ld="Full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"&amp;_xlpm.q,""))))&lt;&gt;"",IF(N11&lt;&gt;"","Load OK ✓ (checked)","⚠ "&amp;_xlfn.LET(_xlpm.q,E11,_xlpm.tk,P11,_xlpm.ld,Log!$P$18,_xlpm.fx,IF(OR(_xlpm.ld="",_xlpm.ld="Full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  <c r="N11" s="36"/>
      <c r="P11" s="1" t="str">
        <f t="shared" si="5"/>
        <v/>
      </c>
    </row>
    <row r="12" spans="1:16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"&amp;L12,IF(AND(MAX(K$1:K11)&gt;0,N(K12)-MAX(K$1:K11)&gt;180),"⚠ Gap &gt; 3h",IF(_xlfn.LET(_xlpm.q,E12,_xlpm.tk,P12,_xlpm.ld,Log!$P$18,_xlpm.fx,IF(OR(_xlpm.ld="",_xlpm.ld="Full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"&amp;_xlpm.q,""))))&lt;&gt;"",IF(N12&lt;&gt;"","Load OK ✓ (checked)","⚠ "&amp;_xlfn.LET(_xlpm.q,E12,_xlpm.tk,P12,_xlpm.ld,Log!$P$18,_xlpm.fx,IF(OR(_xlpm.ld="",_xlpm.ld="Full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  <c r="N12" s="36"/>
      <c r="P12" s="1" t="str">
        <f t="shared" si="5"/>
        <v/>
      </c>
    </row>
    <row r="13" spans="1:16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"&amp;L13,IF(AND(MAX(K$1:K12)&gt;0,N(K13)-MAX(K$1:K12)&gt;180),"⚠ Gap &gt; 3h",IF(_xlfn.LET(_xlpm.q,E13,_xlpm.tk,P13,_xlpm.ld,Log!$P$18,_xlpm.fx,IF(OR(_xlpm.ld="",_xlpm.ld="Full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"&amp;_xlpm.q,""))))&lt;&gt;"",IF(N13&lt;&gt;"","Load OK ✓ (checked)","⚠ "&amp;_xlfn.LET(_xlpm.q,E13,_xlpm.tk,P13,_xlpm.ld,Log!$P$18,_xlpm.fx,IF(OR(_xlpm.ld="",_xlpm.ld="Full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  <c r="N13" s="36"/>
      <c r="P13" s="1" t="str">
        <f t="shared" si="5"/>
        <v/>
      </c>
    </row>
    <row r="14" spans="1:16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"&amp;L14,IF(AND(MAX(K$1:K13)&gt;0,N(K14)-MAX(K$1:K13)&gt;180),"⚠ Gap &gt; 3h",IF(_xlfn.LET(_xlpm.q,E14,_xlpm.tk,P14,_xlpm.ld,Log!$P$18,_xlpm.fx,IF(OR(_xlpm.ld="",_xlpm.ld="Full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"&amp;_xlpm.q,""))))&lt;&gt;"",IF(N14&lt;&gt;"","Load OK ✓ (checked)","⚠ "&amp;_xlfn.LET(_xlpm.q,E14,_xlpm.tk,P14,_xlpm.ld,Log!$P$18,_xlpm.fx,IF(OR(_xlpm.ld="",_xlpm.ld="Full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  <c r="N14" s="36"/>
      <c r="P14" s="1" t="str">
        <f t="shared" si="5"/>
        <v/>
      </c>
    </row>
    <row r="15" spans="1:16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"&amp;L15,IF(AND(MAX(K$1:K14)&gt;0,N(K15)-MAX(K$1:K14)&gt;180),"⚠ Gap &gt; 3h",IF(_xlfn.LET(_xlpm.q,E15,_xlpm.tk,P15,_xlpm.ld,Log!$P$18,_xlpm.fx,IF(OR(_xlpm.ld="",_xlpm.ld="Full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"&amp;_xlpm.q,""))))&lt;&gt;"",IF(N15&lt;&gt;"","Load OK ✓ (checked)","⚠ "&amp;_xlfn.LET(_xlpm.q,E15,_xlpm.tk,P15,_xlpm.ld,Log!$P$18,_xlpm.fx,IF(OR(_xlpm.ld="",_xlpm.ld="Full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  <c r="N15" s="36"/>
      <c r="P15" s="1" t="str">
        <f t="shared" si="5"/>
        <v/>
      </c>
    </row>
    <row r="16" spans="1:16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"&amp;L16,IF(AND(MAX(K$1:K15)&gt;0,N(K16)-MAX(K$1:K15)&gt;180),"⚠ Gap &gt; 3h",IF(_xlfn.LET(_xlpm.q,E16,_xlpm.tk,P16,_xlpm.ld,Log!$P$18,_xlpm.fx,IF(OR(_xlpm.ld="",_xlpm.ld="Full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"&amp;_xlpm.q,""))))&lt;&gt;"",IF(N16&lt;&gt;"","Load OK ✓ (checked)","⚠ "&amp;_xlfn.LET(_xlpm.q,E16,_xlpm.tk,P16,_xlpm.ld,Log!$P$18,_xlpm.fx,IF(OR(_xlpm.ld="",_xlpm.ld="Full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  <c r="N16" s="36"/>
      <c r="P16" s="1" t="str">
        <f t="shared" si="5"/>
        <v/>
      </c>
    </row>
    <row r="17" spans="1:16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"&amp;L17,IF(AND(MAX(K$1:K16)&gt;0,N(K17)-MAX(K$1:K16)&gt;180),"⚠ Gap &gt; 3h",IF(_xlfn.LET(_xlpm.q,E17,_xlpm.tk,P17,_xlpm.ld,Log!$P$18,_xlpm.fx,IF(OR(_xlpm.ld="",_xlpm.ld="Full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"&amp;_xlpm.q,""))))&lt;&gt;"",IF(N17&lt;&gt;"","Load OK ✓ (checked)","⚠ "&amp;_xlfn.LET(_xlpm.q,E17,_xlpm.tk,P17,_xlpm.ld,Log!$P$18,_xlpm.fx,IF(OR(_xlpm.ld="",_xlpm.ld="Full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  <c r="N17" s="36"/>
      <c r="P17" s="1" t="str">
        <f t="shared" si="5"/>
        <v/>
      </c>
    </row>
    <row r="18" spans="1:16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"&amp;L18,IF(AND(MAX(K$1:K17)&gt;0,N(K18)-MAX(K$1:K17)&gt;180),"⚠ Gap &gt; 3h",IF(_xlfn.LET(_xlpm.q,E18,_xlpm.tk,P18,_xlpm.ld,Log!$P$18,_xlpm.fx,IF(OR(_xlpm.ld="",_xlpm.ld="Full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"&amp;_xlpm.q,""))))&lt;&gt;"",IF(N18&lt;&gt;"","Load OK ✓ (checked)","⚠ "&amp;_xlfn.LET(_xlpm.q,E18,_xlpm.tk,P18,_xlpm.ld,Log!$P$18,_xlpm.fx,IF(OR(_xlpm.ld="",_xlpm.ld="Full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  <c r="N18" s="36"/>
      <c r="P18" s="1" t="str">
        <f t="shared" si="5"/>
        <v/>
      </c>
    </row>
    <row r="19" spans="1:16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"&amp;L19,IF(AND(MAX(K$1:K18)&gt;0,N(K19)-MAX(K$1:K18)&gt;180),"⚠ Gap &gt; 3h",IF(_xlfn.LET(_xlpm.q,E19,_xlpm.tk,P19,_xlpm.ld,Log!$P$18,_xlpm.fx,IF(OR(_xlpm.ld="",_xlpm.ld="Full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"&amp;_xlpm.q,""))))&lt;&gt;"",IF(N19&lt;&gt;"","Load OK ✓ (checked)","⚠ "&amp;_xlfn.LET(_xlpm.q,E19,_xlpm.tk,P19,_xlpm.ld,Log!$P$18,_xlpm.fx,IF(OR(_xlpm.ld="",_xlpm.ld="Full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  <c r="N19" s="36"/>
      <c r="P19" s="1" t="str">
        <f t="shared" si="5"/>
        <v/>
      </c>
    </row>
    <row r="20" spans="1:16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"&amp;L20,IF(AND(MAX(K$1:K19)&gt;0,N(K20)-MAX(K$1:K19)&gt;180),"⚠ Gap &gt; 3h",IF(_xlfn.LET(_xlpm.q,E20,_xlpm.tk,P20,_xlpm.ld,Log!$P$18,_xlpm.fx,IF(OR(_xlpm.ld="",_xlpm.ld="Full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"&amp;_xlpm.q,""))))&lt;&gt;"",IF(N20&lt;&gt;"","Load OK ✓ (checked)","⚠ "&amp;_xlfn.LET(_xlpm.q,E20,_xlpm.tk,P20,_xlpm.ld,Log!$P$18,_xlpm.fx,IF(OR(_xlpm.ld="",_xlpm.ld="Full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  <c r="N20" s="36"/>
      <c r="P20" s="1" t="str">
        <f t="shared" si="5"/>
        <v/>
      </c>
    </row>
    <row r="21" spans="1:16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"&amp;L21,IF(AND(MAX(K$1:K20)&gt;0,N(K21)-MAX(K$1:K20)&gt;180),"⚠ Gap &gt; 3h",IF(_xlfn.LET(_xlpm.q,E21,_xlpm.tk,P21,_xlpm.ld,Log!$P$18,_xlpm.fx,IF(OR(_xlpm.ld="",_xlpm.ld="Full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"&amp;_xlpm.q,""))))&lt;&gt;"",IF(N21&lt;&gt;"","Load OK ✓ (checked)","⚠ "&amp;_xlfn.LET(_xlpm.q,E21,_xlpm.tk,P21,_xlpm.ld,Log!$P$18,_xlpm.fx,IF(OR(_xlpm.ld="",_xlpm.ld="Full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  <c r="N21" s="36"/>
      <c r="P21" s="1" t="str">
        <f t="shared" si="5"/>
        <v/>
      </c>
    </row>
    <row r="22" spans="1:16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"&amp;L22,IF(AND(MAX(K$1:K21)&gt;0,N(K22)-MAX(K$1:K21)&gt;180),"⚠ Gap &gt; 3h",IF(_xlfn.LET(_xlpm.q,E22,_xlpm.tk,P22,_xlpm.ld,Log!$P$18,_xlpm.fx,IF(OR(_xlpm.ld="",_xlpm.ld="Full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"&amp;_xlpm.q,""))))&lt;&gt;"",IF(N22&lt;&gt;"","Load OK ✓ (checked)","⚠ "&amp;_xlfn.LET(_xlpm.q,E22,_xlpm.tk,P22,_xlpm.ld,Log!$P$18,_xlpm.fx,IF(OR(_xlpm.ld="",_xlpm.ld="Full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  <c r="N22" s="36"/>
      <c r="P22" s="1" t="str">
        <f t="shared" si="5"/>
        <v/>
      </c>
    </row>
    <row r="23" spans="1:16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"&amp;L23,IF(AND(MAX(K$1:K22)&gt;0,N(K23)-MAX(K$1:K22)&gt;180),"⚠ Gap &gt; 3h",IF(_xlfn.LET(_xlpm.q,E23,_xlpm.tk,P23,_xlpm.ld,Log!$P$18,_xlpm.fx,IF(OR(_xlpm.ld="",_xlpm.ld="Full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"&amp;_xlpm.q,""))))&lt;&gt;"",IF(N23&lt;&gt;"","Load OK ✓ (checked)","⚠ "&amp;_xlfn.LET(_xlpm.q,E23,_xlpm.tk,P23,_xlpm.ld,Log!$P$18,_xlpm.fx,IF(OR(_xlpm.ld="",_xlpm.ld="Full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  <c r="N23" s="36"/>
      <c r="P23" s="1" t="str">
        <f t="shared" si="5"/>
        <v/>
      </c>
    </row>
    <row r="24" spans="1:16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"&amp;L24,IF(AND(MAX(K$1:K23)&gt;0,N(K24)-MAX(K$1:K23)&gt;180),"⚠ Gap &gt; 3h",IF(_xlfn.LET(_xlpm.q,E24,_xlpm.tk,P24,_xlpm.ld,Log!$P$18,_xlpm.fx,IF(OR(_xlpm.ld="",_xlpm.ld="Full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"&amp;_xlpm.q,""))))&lt;&gt;"",IF(N24&lt;&gt;"","Load OK ✓ (checked)","⚠ "&amp;_xlfn.LET(_xlpm.q,E24,_xlpm.tk,P24,_xlpm.ld,Log!$P$18,_xlpm.fx,IF(OR(_xlpm.ld="",_xlpm.ld="Full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  <c r="N24" s="36"/>
      <c r="P24" s="1" t="str">
        <f t="shared" si="5"/>
        <v/>
      </c>
    </row>
    <row r="25" spans="1:16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"&amp;L25,IF(AND(MAX(K$1:K24)&gt;0,N(K25)-MAX(K$1:K24)&gt;180),"⚠ Gap &gt; 3h",IF(_xlfn.LET(_xlpm.q,E25,_xlpm.tk,P25,_xlpm.ld,Log!$P$18,_xlpm.fx,IF(OR(_xlpm.ld="",_xlpm.ld="Full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"&amp;_xlpm.q,""))))&lt;&gt;"",IF(N25&lt;&gt;"","Load OK ✓ (checked)","⚠ "&amp;_xlfn.LET(_xlpm.q,E25,_xlpm.tk,P25,_xlpm.ld,Log!$P$18,_xlpm.fx,IF(OR(_xlpm.ld="",_xlpm.ld="Full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  <c r="N25" s="36"/>
      <c r="P25" s="1" t="str">
        <f t="shared" si="5"/>
        <v/>
      </c>
    </row>
    <row r="26" spans="1:16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"&amp;L26,IF(AND(MAX(K$1:K25)&gt;0,N(K26)-MAX(K$1:K25)&gt;180),"⚠ Gap &gt; 3h",IF(_xlfn.LET(_xlpm.q,E26,_xlpm.tk,P26,_xlpm.ld,Log!$P$18,_xlpm.fx,IF(OR(_xlpm.ld="",_xlpm.ld="Full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"&amp;_xlpm.q,""))))&lt;&gt;"",IF(N26&lt;&gt;"","Load OK ✓ (checked)","⚠ "&amp;_xlfn.LET(_xlpm.q,E26,_xlpm.tk,P26,_xlpm.ld,Log!$P$18,_xlpm.fx,IF(OR(_xlpm.ld="",_xlpm.ld="Full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  <c r="N26" s="36"/>
      <c r="P26" s="1" t="str">
        <f t="shared" si="5"/>
        <v/>
      </c>
    </row>
    <row r="27" spans="1:16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"&amp;L27,IF(AND(MAX(K$1:K26)&gt;0,N(K27)-MAX(K$1:K26)&gt;180),"⚠ Gap &gt; 3h",IF(_xlfn.LET(_xlpm.q,E27,_xlpm.tk,P27,_xlpm.ld,Log!$P$18,_xlpm.fx,IF(OR(_xlpm.ld="",_xlpm.ld="Full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"&amp;_xlpm.q,""))))&lt;&gt;"",IF(N27&lt;&gt;"","Load OK ✓ (checked)","⚠ "&amp;_xlfn.LET(_xlpm.q,E27,_xlpm.tk,P27,_xlpm.ld,Log!$P$18,_xlpm.fx,IF(OR(_xlpm.ld="",_xlpm.ld="Full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  <c r="N27" s="36"/>
      <c r="P27" s="1" t="str">
        <f t="shared" si="5"/>
        <v/>
      </c>
    </row>
    <row r="28" spans="1:16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"&amp;L28,IF(AND(MAX(K$1:K27)&gt;0,N(K28)-MAX(K$1:K27)&gt;180),"⚠ Gap &gt; 3h",IF(_xlfn.LET(_xlpm.q,E28,_xlpm.tk,P28,_xlpm.ld,Log!$P$18,_xlpm.fx,IF(OR(_xlpm.ld="",_xlpm.ld="Full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"&amp;_xlpm.q,""))))&lt;&gt;"",IF(N28&lt;&gt;"","Load OK ✓ (checked)","⚠ "&amp;_xlfn.LET(_xlpm.q,E28,_xlpm.tk,P28,_xlpm.ld,Log!$P$18,_xlpm.fx,IF(OR(_xlpm.ld="",_xlpm.ld="Full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  <c r="N28" s="36"/>
      <c r="P28" s="1" t="str">
        <f t="shared" si="5"/>
        <v/>
      </c>
    </row>
    <row r="29" spans="1:16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"&amp;L29,IF(AND(MAX(K$1:K28)&gt;0,N(K29)-MAX(K$1:K28)&gt;180),"⚠ Gap &gt; 3h",IF(_xlfn.LET(_xlpm.q,E29,_xlpm.tk,P29,_xlpm.ld,Log!$P$18,_xlpm.fx,IF(OR(_xlpm.ld="",_xlpm.ld="Full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"&amp;_xlpm.q,""))))&lt;&gt;"",IF(N29&lt;&gt;"","Load OK ✓ (checked)","⚠ "&amp;_xlfn.LET(_xlpm.q,E29,_xlpm.tk,P29,_xlpm.ld,Log!$P$18,_xlpm.fx,IF(OR(_xlpm.ld="",_xlpm.ld="Full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  <c r="N29" s="36"/>
      <c r="P29" s="1" t="str">
        <f t="shared" si="5"/>
        <v/>
      </c>
    </row>
    <row r="30" spans="1:16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"&amp;L30,IF(AND(MAX(K$1:K29)&gt;0,N(K30)-MAX(K$1:K29)&gt;180),"⚠ Gap &gt; 3h",IF(_xlfn.LET(_xlpm.q,E30,_xlpm.tk,P30,_xlpm.ld,Log!$P$18,_xlpm.fx,IF(OR(_xlpm.ld="",_xlpm.ld="Full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"&amp;_xlpm.q,""))))&lt;&gt;"",IF(N30&lt;&gt;"","Load OK ✓ (checked)","⚠ "&amp;_xlfn.LET(_xlpm.q,E30,_xlpm.tk,P30,_xlpm.ld,Log!$P$18,_xlpm.fx,IF(OR(_xlpm.ld="",_xlpm.ld="Full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  <c r="N30" s="36"/>
      <c r="P30" s="1" t="str">
        <f t="shared" si="5"/>
        <v/>
      </c>
    </row>
    <row r="31" spans="1:16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"&amp;L31,IF(AND(MAX(K$1:K30)&gt;0,N(K31)-MAX(K$1:K30)&gt;180),"⚠ Gap &gt; 3h",IF(_xlfn.LET(_xlpm.q,E31,_xlpm.tk,P31,_xlpm.ld,Log!$P$18,_xlpm.fx,IF(OR(_xlpm.ld="",_xlpm.ld="Full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"&amp;_xlpm.q,""))))&lt;&gt;"",IF(N31&lt;&gt;"","Load OK ✓ (checked)","⚠ "&amp;_xlfn.LET(_xlpm.q,E31,_xlpm.tk,P31,_xlpm.ld,Log!$P$18,_xlpm.fx,IF(OR(_xlpm.ld="",_xlpm.ld="Full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  <c r="N31" s="36"/>
      <c r="P31" s="1" t="str">
        <f t="shared" si="5"/>
        <v/>
      </c>
    </row>
    <row r="32" spans="1:16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"&amp;L32,IF(AND(MAX(K$1:K31)&gt;0,N(K32)-MAX(K$1:K31)&gt;180),"⚠ Gap &gt; 3h",IF(_xlfn.LET(_xlpm.q,E32,_xlpm.tk,P32,_xlpm.ld,Log!$P$18,_xlpm.fx,IF(OR(_xlpm.ld="",_xlpm.ld="Full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"&amp;_xlpm.q,""))))&lt;&gt;"",IF(N32&lt;&gt;"","Load OK ✓ (checked)","⚠ "&amp;_xlfn.LET(_xlpm.q,E32,_xlpm.tk,P32,_xlpm.ld,Log!$P$18,_xlpm.fx,IF(OR(_xlpm.ld="",_xlpm.ld="Full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  <c r="N32" s="36"/>
      <c r="P32" s="1" t="str">
        <f t="shared" si="5"/>
        <v/>
      </c>
    </row>
    <row r="33" spans="1:16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"&amp;L33,IF(AND(MAX(K$1:K32)&gt;0,N(K33)-MAX(K$1:K32)&gt;180),"⚠ Gap &gt; 3h",IF(_xlfn.LET(_xlpm.q,E33,_xlpm.tk,P33,_xlpm.ld,Log!$P$18,_xlpm.fx,IF(OR(_xlpm.ld="",_xlpm.ld="Full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"&amp;_xlpm.q,""))))&lt;&gt;"",IF(N33&lt;&gt;"","Load OK ✓ (checked)","⚠ "&amp;_xlfn.LET(_xlpm.q,E33,_xlpm.tk,P33,_xlpm.ld,Log!$P$18,_xlpm.fx,IF(OR(_xlpm.ld="",_xlpm.ld="Full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  <c r="N33" s="36"/>
      <c r="P33" s="1" t="str">
        <f t="shared" si="5"/>
        <v/>
      </c>
    </row>
    <row r="34" spans="1:16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"&amp;L34,IF(AND(MAX(K$1:K33)&gt;0,N(K34)-MAX(K$1:K33)&gt;180),"⚠ Gap &gt; 3h",IF(_xlfn.LET(_xlpm.q,E34,_xlpm.tk,P34,_xlpm.ld,Log!$P$18,_xlpm.fx,IF(OR(_xlpm.ld="",_xlpm.ld="Full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"&amp;_xlpm.q,""))))&lt;&gt;"",IF(N34&lt;&gt;"","Load OK ✓ (checked)","⚠ "&amp;_xlfn.LET(_xlpm.q,E34,_xlpm.tk,P34,_xlpm.ld,Log!$P$18,_xlpm.fx,IF(OR(_xlpm.ld="",_xlpm.ld="Full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  <c r="N34" s="36"/>
      <c r="P34" s="1" t="str">
        <f t="shared" si="5"/>
        <v/>
      </c>
    </row>
    <row r="35" spans="1:16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"&amp;L35,IF(AND(MAX(K$1:K34)&gt;0,N(K35)-MAX(K$1:K34)&gt;180),"⚠ Gap &gt; 3h",IF(_xlfn.LET(_xlpm.q,E35,_xlpm.tk,P35,_xlpm.ld,Log!$P$18,_xlpm.fx,IF(OR(_xlpm.ld="",_xlpm.ld="Full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"&amp;_xlpm.q,""))))&lt;&gt;"",IF(N35&lt;&gt;"","Load OK ✓ (checked)","⚠ "&amp;_xlfn.LET(_xlpm.q,E35,_xlpm.tk,P35,_xlpm.ld,Log!$P$18,_xlpm.fx,IF(OR(_xlpm.ld="",_xlpm.ld="Full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  <c r="N35" s="36"/>
      <c r="P35" s="1" t="str">
        <f t="shared" si="5"/>
        <v/>
      </c>
    </row>
    <row r="36" spans="1:16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"&amp;L36,IF(AND(MAX(K$1:K35)&gt;0,N(K36)-MAX(K$1:K35)&gt;180),"⚠ Gap &gt; 3h",IF(_xlfn.LET(_xlpm.q,E36,_xlpm.tk,P36,_xlpm.ld,Log!$P$18,_xlpm.fx,IF(OR(_xlpm.ld="",_xlpm.ld="Full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"&amp;_xlpm.q,""))))&lt;&gt;"",IF(N36&lt;&gt;"","Load OK ✓ (checked)","⚠ "&amp;_xlfn.LET(_xlpm.q,E36,_xlpm.tk,P36,_xlpm.ld,Log!$P$18,_xlpm.fx,IF(OR(_xlpm.ld="",_xlpm.ld="Full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  <c r="N36" s="36"/>
      <c r="P36" s="1" t="str">
        <f t="shared" si="5"/>
        <v/>
      </c>
    </row>
    <row r="37" spans="1:16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"&amp;L37,IF(AND(MAX(K$1:K36)&gt;0,N(K37)-MAX(K$1:K36)&gt;180),"⚠ Gap &gt; 3h",IF(_xlfn.LET(_xlpm.q,E37,_xlpm.tk,P37,_xlpm.ld,Log!$P$18,_xlpm.fx,IF(OR(_xlpm.ld="",_xlpm.ld="Full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"&amp;_xlpm.q,""))))&lt;&gt;"",IF(N37&lt;&gt;"","Load OK ✓ (checked)","⚠ "&amp;_xlfn.LET(_xlpm.q,E37,_xlpm.tk,P37,_xlpm.ld,Log!$P$18,_xlpm.fx,IF(OR(_xlpm.ld="",_xlpm.ld="Full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  <c r="N37" s="36"/>
      <c r="P37" s="1" t="str">
        <f t="shared" si="5"/>
        <v/>
      </c>
    </row>
    <row r="38" spans="1:16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"&amp;L38,IF(AND(MAX(K$1:K37)&gt;0,N(K38)-MAX(K$1:K37)&gt;180),"⚠ Gap &gt; 3h",IF(_xlfn.LET(_xlpm.q,E38,_xlpm.tk,P38,_xlpm.ld,Log!$P$18,_xlpm.fx,IF(OR(_xlpm.ld="",_xlpm.ld="Full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"&amp;_xlpm.q,""))))&lt;&gt;"",IF(N38&lt;&gt;"","Load OK ✓ (checked)","⚠ "&amp;_xlfn.LET(_xlpm.q,E38,_xlpm.tk,P38,_xlpm.ld,Log!$P$18,_xlpm.fx,IF(OR(_xlpm.ld="",_xlpm.ld="Full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  <c r="N38" s="36"/>
      <c r="P38" s="1" t="str">
        <f t="shared" si="5"/>
        <v/>
      </c>
    </row>
    <row r="39" spans="1:16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"&amp;L39,IF(AND(MAX(K$1:K38)&gt;0,N(K39)-MAX(K$1:K38)&gt;180),"⚠ Gap &gt; 3h",IF(_xlfn.LET(_xlpm.q,E39,_xlpm.tk,P39,_xlpm.ld,Log!$P$18,_xlpm.fx,IF(OR(_xlpm.ld="",_xlpm.ld="Full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"&amp;_xlpm.q,""))))&lt;&gt;"",IF(N39&lt;&gt;"","Load OK ✓ (checked)","⚠ "&amp;_xlfn.LET(_xlpm.q,E39,_xlpm.tk,P39,_xlpm.ld,Log!$P$18,_xlpm.fx,IF(OR(_xlpm.ld="",_xlpm.ld="Full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  <c r="N39" s="36"/>
      <c r="P39" s="1" t="str">
        <f t="shared" si="5"/>
        <v/>
      </c>
    </row>
    <row r="40" spans="1:16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"&amp;L40,IF(AND(MAX(K$1:K39)&gt;0,N(K40)-MAX(K$1:K39)&gt;180),"⚠ Gap &gt; 3h",IF(_xlfn.LET(_xlpm.q,E40,_xlpm.tk,P40,_xlpm.ld,Log!$P$18,_xlpm.fx,IF(OR(_xlpm.ld="",_xlpm.ld="Full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"&amp;_xlpm.q,""))))&lt;&gt;"",IF(N40&lt;&gt;"","Load OK ✓ (checked)","⚠ "&amp;_xlfn.LET(_xlpm.q,E40,_xlpm.tk,P40,_xlpm.ld,Log!$P$18,_xlpm.fx,IF(OR(_xlpm.ld="",_xlpm.ld="Full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  <c r="N40" s="36"/>
      <c r="P40" s="1" t="str">
        <f t="shared" si="5"/>
        <v/>
      </c>
    </row>
    <row r="41" spans="1:16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"&amp;L41,IF(AND(MAX(K$1:K40)&gt;0,N(K41)-MAX(K$1:K40)&gt;180),"⚠ Gap &gt; 3h",IF(_xlfn.LET(_xlpm.q,E41,_xlpm.tk,P41,_xlpm.ld,Log!$P$18,_xlpm.fx,IF(OR(_xlpm.ld="",_xlpm.ld="Full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"&amp;_xlpm.q,""))))&lt;&gt;"",IF(N41&lt;&gt;"","Load OK ✓ (checked)","⚠ "&amp;_xlfn.LET(_xlpm.q,E41,_xlpm.tk,P41,_xlpm.ld,Log!$P$18,_xlpm.fx,IF(OR(_xlpm.ld="",_xlpm.ld="Full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  <c r="N41" s="36"/>
      <c r="P41" s="1" t="str">
        <f t="shared" si="5"/>
        <v/>
      </c>
    </row>
    <row r="42" spans="1:16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"&amp;L42,IF(AND(MAX(K$1:K41)&gt;0,N(K42)-MAX(K$1:K41)&gt;180),"⚠ Gap &gt; 3h",IF(_xlfn.LET(_xlpm.q,E42,_xlpm.tk,P42,_xlpm.ld,Log!$P$18,_xlpm.fx,IF(OR(_xlpm.ld="",_xlpm.ld="Full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"&amp;_xlpm.q,""))))&lt;&gt;"",IF(N42&lt;&gt;"","Load OK ✓ (checked)","⚠ "&amp;_xlfn.LET(_xlpm.q,E42,_xlpm.tk,P42,_xlpm.ld,Log!$P$18,_xlpm.fx,IF(OR(_xlpm.ld="",_xlpm.ld="Full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  <c r="N42" s="36"/>
      <c r="P42" s="1" t="str">
        <f t="shared" si="5"/>
        <v/>
      </c>
    </row>
    <row r="43" spans="1:16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"&amp;L43,IF(AND(MAX(K$1:K42)&gt;0,N(K43)-MAX(K$1:K42)&gt;180),"⚠ Gap &gt; 3h",IF(_xlfn.LET(_xlpm.q,E43,_xlpm.tk,P43,_xlpm.ld,Log!$P$18,_xlpm.fx,IF(OR(_xlpm.ld="",_xlpm.ld="Full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"&amp;_xlpm.q,""))))&lt;&gt;"",IF(N43&lt;&gt;"","Load OK ✓ (checked)","⚠ "&amp;_xlfn.LET(_xlpm.q,E43,_xlpm.tk,P43,_xlpm.ld,Log!$P$18,_xlpm.fx,IF(OR(_xlpm.ld="",_xlpm.ld="Full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  <c r="N43" s="36"/>
      <c r="P43" s="1" t="str">
        <f t="shared" si="5"/>
        <v/>
      </c>
    </row>
    <row r="44" spans="1:16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"&amp;L44,IF(AND(MAX(K$1:K43)&gt;0,N(K44)-MAX(K$1:K43)&gt;180),"⚠ Gap &gt; 3h",IF(_xlfn.LET(_xlpm.q,E44,_xlpm.tk,P44,_xlpm.ld,Log!$P$18,_xlpm.fx,IF(OR(_xlpm.ld="",_xlpm.ld="Full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"&amp;_xlpm.q,""))))&lt;&gt;"",IF(N44&lt;&gt;"","Load OK ✓ (checked)","⚠ "&amp;_xlfn.LET(_xlpm.q,E44,_xlpm.tk,P44,_xlpm.ld,Log!$P$18,_xlpm.fx,IF(OR(_xlpm.ld="",_xlpm.ld="Full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  <c r="N44" s="36"/>
      <c r="P44" s="1" t="str">
        <f t="shared" si="5"/>
        <v/>
      </c>
    </row>
    <row r="45" spans="1:16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"&amp;L45,IF(AND(MAX(K$1:K44)&gt;0,N(K45)-MAX(K$1:K44)&gt;180),"⚠ Gap &gt; 3h",IF(_xlfn.LET(_xlpm.q,E45,_xlpm.tk,P45,_xlpm.ld,Log!$P$18,_xlpm.fx,IF(OR(_xlpm.ld="",_xlpm.ld="Full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"&amp;_xlpm.q,""))))&lt;&gt;"",IF(N45&lt;&gt;"","Load OK ✓ (checked)","⚠ "&amp;_xlfn.LET(_xlpm.q,E45,_xlpm.tk,P45,_xlpm.ld,Log!$P$18,_xlpm.fx,IF(OR(_xlpm.ld="",_xlpm.ld="Full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  <c r="N45" s="36"/>
      <c r="P45" s="1" t="str">
        <f t="shared" si="5"/>
        <v/>
      </c>
    </row>
    <row r="46" spans="1:16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"&amp;L46,IF(AND(MAX(K$1:K45)&gt;0,N(K46)-MAX(K$1:K45)&gt;180),"⚠ Gap &gt; 3h",IF(_xlfn.LET(_xlpm.q,E46,_xlpm.tk,P46,_xlpm.ld,Log!$P$18,_xlpm.fx,IF(OR(_xlpm.ld="",_xlpm.ld="Full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"&amp;_xlpm.q,""))))&lt;&gt;"",IF(N46&lt;&gt;"","Load OK ✓ (checked)","⚠ "&amp;_xlfn.LET(_xlpm.q,E46,_xlpm.tk,P46,_xlpm.ld,Log!$P$18,_xlpm.fx,IF(OR(_xlpm.ld="",_xlpm.ld="Full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  <c r="N46" s="36"/>
      <c r="P46" s="1" t="str">
        <f t="shared" si="5"/>
        <v/>
      </c>
    </row>
    <row r="47" spans="1:16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"&amp;L47,IF(AND(MAX(K$1:K46)&gt;0,N(K47)-MAX(K$1:K46)&gt;180),"⚠ Gap &gt; 3h",IF(_xlfn.LET(_xlpm.q,E47,_xlpm.tk,P47,_xlpm.ld,Log!$P$18,_xlpm.fx,IF(OR(_xlpm.ld="",_xlpm.ld="Full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"&amp;_xlpm.q,""))))&lt;&gt;"",IF(N47&lt;&gt;"","Load OK ✓ (checked)","⚠ "&amp;_xlfn.LET(_xlpm.q,E47,_xlpm.tk,P47,_xlpm.ld,Log!$P$18,_xlpm.fx,IF(OR(_xlpm.ld="",_xlpm.ld="Full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  <c r="N47" s="36"/>
      <c r="P47" s="1" t="str">
        <f t="shared" si="5"/>
        <v/>
      </c>
    </row>
    <row r="48" spans="1:16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"&amp;L48,IF(AND(MAX(K$1:K47)&gt;0,N(K48)-MAX(K$1:K47)&gt;180),"⚠ Gap &gt; 3h",IF(_xlfn.LET(_xlpm.q,E48,_xlpm.tk,P48,_xlpm.ld,Log!$P$18,_xlpm.fx,IF(OR(_xlpm.ld="",_xlpm.ld="Full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"&amp;_xlpm.q,""))))&lt;&gt;"",IF(N48&lt;&gt;"","Load OK ✓ (checked)","⚠ "&amp;_xlfn.LET(_xlpm.q,E48,_xlpm.tk,P48,_xlpm.ld,Log!$P$18,_xlpm.fx,IF(OR(_xlpm.ld="",_xlpm.ld="Full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  <c r="N48" s="36"/>
      <c r="P48" s="1" t="str">
        <f t="shared" si="5"/>
        <v/>
      </c>
    </row>
    <row r="49" spans="1:16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"&amp;L49,IF(AND(MAX(K$1:K48)&gt;0,N(K49)-MAX(K$1:K48)&gt;180),"⚠ Gap &gt; 3h",IF(_xlfn.LET(_xlpm.q,E49,_xlpm.tk,P49,_xlpm.ld,Log!$P$18,_xlpm.fx,IF(OR(_xlpm.ld="",_xlpm.ld="Full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"&amp;_xlpm.q,""))))&lt;&gt;"",IF(N49&lt;&gt;"","Load OK ✓ (checked)","⚠ "&amp;_xlfn.LET(_xlpm.q,E49,_xlpm.tk,P49,_xlpm.ld,Log!$P$18,_xlpm.fx,IF(OR(_xlpm.ld="",_xlpm.ld="Full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  <c r="N49" s="36"/>
      <c r="P49" s="1" t="str">
        <f t="shared" si="5"/>
        <v/>
      </c>
    </row>
    <row r="50" spans="1:16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"&amp;L50,IF(AND(MAX(K$1:K49)&gt;0,N(K50)-MAX(K$1:K49)&gt;180),"⚠ Gap &gt; 3h",IF(_xlfn.LET(_xlpm.q,E50,_xlpm.tk,P50,_xlpm.ld,Log!$P$18,_xlpm.fx,IF(OR(_xlpm.ld="",_xlpm.ld="Full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"&amp;_xlpm.q,""))))&lt;&gt;"",IF(N50&lt;&gt;"","Load OK ✓ (checked)","⚠ "&amp;_xlfn.LET(_xlpm.q,E50,_xlpm.tk,P50,_xlpm.ld,Log!$P$18,_xlpm.fx,IF(OR(_xlpm.ld="",_xlpm.ld="Full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  <c r="N50" s="36"/>
      <c r="P50" s="1" t="str">
        <f t="shared" si="5"/>
        <v/>
      </c>
    </row>
    <row r="51" spans="1:16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"&amp;L51,IF(AND(MAX(K$1:K50)&gt;0,N(K51)-MAX(K$1:K50)&gt;180),"⚠ Gap &gt; 3h",IF(_xlfn.LET(_xlpm.q,E51,_xlpm.tk,P51,_xlpm.ld,Log!$P$18,_xlpm.fx,IF(OR(_xlpm.ld="",_xlpm.ld="Full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"&amp;_xlpm.q,""))))&lt;&gt;"",IF(N51&lt;&gt;"","Load OK ✓ (checked)","⚠ "&amp;_xlfn.LET(_xlpm.q,E51,_xlpm.tk,P51,_xlpm.ld,Log!$P$18,_xlpm.fx,IF(OR(_xlpm.ld="",_xlpm.ld="Full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  <c r="N51" s="36"/>
      <c r="P51" s="1" t="str">
        <f t="shared" si="5"/>
        <v/>
      </c>
    </row>
    <row r="52" spans="1:16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"&amp;L52,IF(AND(MAX(K$1:K51)&gt;0,N(K52)-MAX(K$1:K51)&gt;180),"⚠ Gap &gt; 3h",IF(_xlfn.LET(_xlpm.q,E52,_xlpm.tk,P52,_xlpm.ld,Log!$P$18,_xlpm.fx,IF(OR(_xlpm.ld="",_xlpm.ld="Full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"&amp;_xlpm.q,""))))&lt;&gt;"",IF(N52&lt;&gt;"","Load OK ✓ (checked)","⚠ "&amp;_xlfn.LET(_xlpm.q,E52,_xlpm.tk,P52,_xlpm.ld,Log!$P$18,_xlpm.fx,IF(OR(_xlpm.ld="",_xlpm.ld="Full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  <c r="N52" s="36"/>
      <c r="P52" s="1" t="str">
        <f t="shared" si="5"/>
        <v/>
      </c>
    </row>
    <row r="53" spans="1:16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"&amp;L53,IF(AND(MAX(K$1:K52)&gt;0,N(K53)-MAX(K$1:K52)&gt;180),"⚠ Gap &gt; 3h",IF(_xlfn.LET(_xlpm.q,E53,_xlpm.tk,P53,_xlpm.ld,Log!$P$18,_xlpm.fx,IF(OR(_xlpm.ld="",_xlpm.ld="Full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"&amp;_xlpm.q,""))))&lt;&gt;"",IF(N53&lt;&gt;"","Load OK ✓ (checked)","⚠ "&amp;_xlfn.LET(_xlpm.q,E53,_xlpm.tk,P53,_xlpm.ld,Log!$P$18,_xlpm.fx,IF(OR(_xlpm.ld="",_xlpm.ld="Full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  <c r="N53" s="36"/>
      <c r="P53" s="1" t="str">
        <f t="shared" si="5"/>
        <v/>
      </c>
    </row>
    <row r="54" spans="1:16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"&amp;L54,IF(AND(MAX(K$1:K53)&gt;0,N(K54)-MAX(K$1:K53)&gt;180),"⚠ Gap &gt; 3h",IF(_xlfn.LET(_xlpm.q,E54,_xlpm.tk,P54,_xlpm.ld,Log!$P$18,_xlpm.fx,IF(OR(_xlpm.ld="",_xlpm.ld="Full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"&amp;_xlpm.q,""))))&lt;&gt;"",IF(N54&lt;&gt;"","Load OK ✓ (checked)","⚠ "&amp;_xlfn.LET(_xlpm.q,E54,_xlpm.tk,P54,_xlpm.ld,Log!$P$18,_xlpm.fx,IF(OR(_xlpm.ld="",_xlpm.ld="Full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  <c r="N54" s="36"/>
      <c r="P54" s="1" t="str">
        <f t="shared" si="5"/>
        <v/>
      </c>
    </row>
    <row r="55" spans="1:16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"&amp;L55,IF(AND(MAX(K$1:K54)&gt;0,N(K55)-MAX(K$1:K54)&gt;180),"⚠ Gap &gt; 3h",IF(_xlfn.LET(_xlpm.q,E55,_xlpm.tk,P55,_xlpm.ld,Log!$P$18,_xlpm.fx,IF(OR(_xlpm.ld="",_xlpm.ld="Full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"&amp;_xlpm.q,""))))&lt;&gt;"",IF(N55&lt;&gt;"","Load OK ✓ (checked)","⚠ "&amp;_xlfn.LET(_xlpm.q,E55,_xlpm.tk,P55,_xlpm.ld,Log!$P$18,_xlpm.fx,IF(OR(_xlpm.ld="",_xlpm.ld="Full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  <c r="N55" s="36"/>
      <c r="P55" s="1" t="str">
        <f t="shared" si="5"/>
        <v/>
      </c>
    </row>
    <row r="56" spans="1:16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"&amp;L56,IF(AND(MAX(K$1:K55)&gt;0,N(K56)-MAX(K$1:K55)&gt;180),"⚠ Gap &gt; 3h",IF(_xlfn.LET(_xlpm.q,E56,_xlpm.tk,P56,_xlpm.ld,Log!$P$18,_xlpm.fx,IF(OR(_xlpm.ld="",_xlpm.ld="Full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"&amp;_xlpm.q,""))))&lt;&gt;"",IF(N56&lt;&gt;"","Load OK ✓ (checked)","⚠ "&amp;_xlfn.LET(_xlpm.q,E56,_xlpm.tk,P56,_xlpm.ld,Log!$P$18,_xlpm.fx,IF(OR(_xlpm.ld="",_xlpm.ld="Full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  <c r="N56" s="36"/>
      <c r="P56" s="1" t="str">
        <f t="shared" si="5"/>
        <v/>
      </c>
    </row>
    <row r="57" spans="1:16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"&amp;L57,IF(AND(MAX(K$1:K56)&gt;0,N(K57)-MAX(K$1:K56)&gt;180),"⚠ Gap &gt; 3h",IF(_xlfn.LET(_xlpm.q,E57,_xlpm.tk,P57,_xlpm.ld,Log!$P$18,_xlpm.fx,IF(OR(_xlpm.ld="",_xlpm.ld="Full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"&amp;_xlpm.q,""))))&lt;&gt;"",IF(N57&lt;&gt;"","Load OK ✓ (checked)","⚠ "&amp;_xlfn.LET(_xlpm.q,E57,_xlpm.tk,P57,_xlpm.ld,Log!$P$18,_xlpm.fx,IF(OR(_xlpm.ld="",_xlpm.ld="Full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  <c r="N57" s="36"/>
      <c r="P57" s="1" t="str">
        <f t="shared" si="5"/>
        <v/>
      </c>
    </row>
    <row r="58" spans="1:16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"&amp;L58,IF(AND(MAX(K$1:K57)&gt;0,N(K58)-MAX(K$1:K57)&gt;180),"⚠ Gap &gt; 3h",IF(_xlfn.LET(_xlpm.q,E58,_xlpm.tk,P58,_xlpm.ld,Log!$P$18,_xlpm.fx,IF(OR(_xlpm.ld="",_xlpm.ld="Full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"&amp;_xlpm.q,""))))&lt;&gt;"",IF(N58&lt;&gt;"","Load OK ✓ (checked)","⚠ "&amp;_xlfn.LET(_xlpm.q,E58,_xlpm.tk,P58,_xlpm.ld,Log!$P$18,_xlpm.fx,IF(OR(_xlpm.ld="",_xlpm.ld="Full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  <c r="N58" s="36"/>
      <c r="P58" s="1" t="str">
        <f t="shared" si="5"/>
        <v/>
      </c>
    </row>
    <row r="59" spans="1:16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"&amp;L59,IF(AND(MAX(K$1:K58)&gt;0,N(K59)-MAX(K$1:K58)&gt;180),"⚠ Gap &gt; 3h",IF(_xlfn.LET(_xlpm.q,E59,_xlpm.tk,P59,_xlpm.ld,Log!$P$18,_xlpm.fx,IF(OR(_xlpm.ld="",_xlpm.ld="Full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"&amp;_xlpm.q,""))))&lt;&gt;"",IF(N59&lt;&gt;"","Load OK ✓ (checked)","⚠ "&amp;_xlfn.LET(_xlpm.q,E59,_xlpm.tk,P59,_xlpm.ld,Log!$P$18,_xlpm.fx,IF(OR(_xlpm.ld="",_xlpm.ld="Full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  <c r="N59" s="36"/>
      <c r="P59" s="1" t="str">
        <f t="shared" si="5"/>
        <v/>
      </c>
    </row>
    <row r="60" spans="1:16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"&amp;L60,IF(AND(MAX(K$1:K59)&gt;0,N(K60)-MAX(K$1:K59)&gt;180),"⚠ Gap &gt; 3h",IF(_xlfn.LET(_xlpm.q,E60,_xlpm.tk,P60,_xlpm.ld,Log!$P$18,_xlpm.fx,IF(OR(_xlpm.ld="",_xlpm.ld="Full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"&amp;_xlpm.q,""))))&lt;&gt;"",IF(N60&lt;&gt;"","Load OK ✓ (checked)","⚠ "&amp;_xlfn.LET(_xlpm.q,E60,_xlpm.tk,P60,_xlpm.ld,Log!$P$18,_xlpm.fx,IF(OR(_xlpm.ld="",_xlpm.ld="Full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  <c r="N60" s="36"/>
      <c r="P60" s="1" t="str">
        <f t="shared" si="5"/>
        <v/>
      </c>
    </row>
    <row r="61" spans="1:16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"&amp;L61,IF(AND(MAX(K$1:K60)&gt;0,N(K61)-MAX(K$1:K60)&gt;180),"⚠ Gap &gt; 3h",IF(_xlfn.LET(_xlpm.q,E61,_xlpm.tk,P61,_xlpm.ld,Log!$P$18,_xlpm.fx,IF(OR(_xlpm.ld="",_xlpm.ld="Full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"&amp;_xlpm.q,""))))&lt;&gt;"",IF(N61&lt;&gt;"","Load OK ✓ (checked)","⚠ "&amp;_xlfn.LET(_xlpm.q,E61,_xlpm.tk,P61,_xlpm.ld,Log!$P$18,_xlpm.fx,IF(OR(_xlpm.ld="",_xlpm.ld="Full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  <c r="N61" s="36"/>
      <c r="P61" s="1" t="str">
        <f t="shared" si="5"/>
        <v/>
      </c>
    </row>
    <row r="62" spans="1:16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"&amp;L62,IF(AND(MAX(K$1:K61)&gt;0,N(K62)-MAX(K$1:K61)&gt;180),"⚠ Gap &gt; 3h",IF(_xlfn.LET(_xlpm.q,E62,_xlpm.tk,P62,_xlpm.ld,Log!$P$18,_xlpm.fx,IF(OR(_xlpm.ld="",_xlpm.ld="Full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"&amp;_xlpm.q,""))))&lt;&gt;"",IF(N62&lt;&gt;"","Load OK ✓ (checked)","⚠ "&amp;_xlfn.LET(_xlpm.q,E62,_xlpm.tk,P62,_xlpm.ld,Log!$P$18,_xlpm.fx,IF(OR(_xlpm.ld="",_xlpm.ld="Full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  <c r="N62" s="36"/>
      <c r="P62" s="1" t="str">
        <f t="shared" si="5"/>
        <v/>
      </c>
    </row>
    <row r="63" spans="1:16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"&amp;L63,IF(AND(MAX(K$1:K62)&gt;0,N(K63)-MAX(K$1:K62)&gt;180),"⚠ Gap &gt; 3h",IF(_xlfn.LET(_xlpm.q,E63,_xlpm.tk,P63,_xlpm.ld,Log!$P$18,_xlpm.fx,IF(OR(_xlpm.ld="",_xlpm.ld="Full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"&amp;_xlpm.q,""))))&lt;&gt;"",IF(N63&lt;&gt;"","Load OK ✓ (checked)","⚠ "&amp;_xlfn.LET(_xlpm.q,E63,_xlpm.tk,P63,_xlpm.ld,Log!$P$18,_xlpm.fx,IF(OR(_xlpm.ld="",_xlpm.ld="Full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  <c r="N63" s="36"/>
      <c r="P63" s="1" t="str">
        <f t="shared" si="5"/>
        <v/>
      </c>
    </row>
    <row r="64" spans="1:16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"&amp;L64,IF(AND(MAX(K$1:K63)&gt;0,N(K64)-MAX(K$1:K63)&gt;180),"⚠ Gap &gt; 3h",IF(_xlfn.LET(_xlpm.q,E64,_xlpm.tk,P64,_xlpm.ld,Log!$P$18,_xlpm.fx,IF(OR(_xlpm.ld="",_xlpm.ld="Full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"&amp;_xlpm.q,""))))&lt;&gt;"",IF(N64&lt;&gt;"","Load OK ✓ (checked)","⚠ "&amp;_xlfn.LET(_xlpm.q,E64,_xlpm.tk,P64,_xlpm.ld,Log!$P$18,_xlpm.fx,IF(OR(_xlpm.ld="",_xlpm.ld="Full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  <c r="N64" s="36"/>
      <c r="P64" s="1" t="str">
        <f t="shared" si="5"/>
        <v/>
      </c>
    </row>
    <row r="65" spans="1:16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"&amp;L65,IF(AND(MAX(K$1:K64)&gt;0,N(K65)-MAX(K$1:K64)&gt;180),"⚠ Gap &gt; 3h",IF(_xlfn.LET(_xlpm.q,E65,_xlpm.tk,P65,_xlpm.ld,Log!$P$18,_xlpm.fx,IF(OR(_xlpm.ld="",_xlpm.ld="Full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"&amp;_xlpm.q,""))))&lt;&gt;"",IF(N65&lt;&gt;"","Load OK ✓ (checked)","⚠ "&amp;_xlfn.LET(_xlpm.q,E65,_xlpm.tk,P65,_xlpm.ld,Log!$P$18,_xlpm.fx,IF(OR(_xlpm.ld="",_xlpm.ld="Full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  <c r="N65" s="36"/>
      <c r="P65" s="1" t="str">
        <f t="shared" si="5"/>
        <v/>
      </c>
    </row>
    <row r="66" spans="1:16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"&amp;L66,IF(AND(MAX(K$1:K65)&gt;0,N(K66)-MAX(K$1:K65)&gt;180),"⚠ Gap &gt; 3h",IF(_xlfn.LET(_xlpm.q,E66,_xlpm.tk,P66,_xlpm.ld,Log!$P$18,_xlpm.fx,IF(OR(_xlpm.ld="",_xlpm.ld="Full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"&amp;_xlpm.q,""))))&lt;&gt;"",IF(N66&lt;&gt;"","Load OK ✓ (checked)","⚠ "&amp;_xlfn.LET(_xlpm.q,E66,_xlpm.tk,P66,_xlpm.ld,Log!$P$18,_xlpm.fx,IF(OR(_xlpm.ld="",_xlpm.ld="Full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"&amp;_xlpm.q,""))))),IF(C66-I66&gt;=0.99,"next day",IF(C66-I66&gt;0.4,"12h → 24h","")))))))))))</f>
        <v/>
      </c>
      <c r="H66" s="4" t="str">
        <f t="shared" ref="H66:H129" si="6">IF(B66="","",_xlfn.LET(_xlpm.t,TRIM(B66),IF(LEFT(_xlpm.t,1)="[",IFERROR(TRIM(MID(_xlpm.t,FIND(": ",_xlpm.t,FIND("]",_xlpm.t))+2,500)),_xlpm.t),_xlpm.t)))</f>
        <v/>
      </c>
      <c r="I66" s="5" t="str">
        <f t="shared" ref="I66:I129" si="7">IF(H66="","",IFERROR(TIMEVALUE(TRIM(SUBSTITUTE(SUBSTITUTE(MID(H66,SEARCH(":",H66)-2,5),".",""),"*",""))),""))</f>
        <v/>
      </c>
      <c r="J66" s="6">
        <f t="shared" ref="J66:J129" si="8">IF(OR(B66="",F66="",M66),0,IF(ISNUMBER(F66),F66,N(E66)))</f>
        <v>0</v>
      </c>
      <c r="K66" s="4" t="str">
        <f t="shared" ref="K66:K129" si="9">IF(OR(C66="",M66),"",ROUND(C66*1440,0))</f>
        <v/>
      </c>
      <c r="L66" s="4" t="str">
        <f t="shared" ref="L66:L129" si="10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  <c r="N66" s="36"/>
      <c r="P66" s="1" t="str">
        <f t="shared" ref="P66:P129" si="11">IF(OR(H66="",NOT(ISNUMBER(L66))),"",IFERROR(_xlfn.LET(_xlpm.t,TRIM(SUBSTITUTE(SUBSTITUTE(SUBSTITUTE(H66,"*",""),"_",""),"."," ")),_xlpm.s,TRIM(MID(SUBSTITUTE(_xlpm.t," ",REPT(" ",100)),101,100)),IF(AND(LEN(_xlpm.s)=3,ISNUMBER(--_xlpm.s)),--_xlpm.s,"")),""))</f>
        <v/>
      </c>
    </row>
    <row r="67" spans="1:16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"&amp;L67,IF(AND(MAX(K$1:K66)&gt;0,N(K67)-MAX(K$1:K66)&gt;180),"⚠ Gap &gt; 3h",IF(_xlfn.LET(_xlpm.q,E67,_xlpm.tk,P67,_xlpm.ld,Log!$P$18,_xlpm.fx,IF(OR(_xlpm.ld="",_xlpm.ld="Full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"&amp;_xlpm.q,""))))&lt;&gt;"",IF(N67&lt;&gt;"","Load OK ✓ (checked)","⚠ "&amp;_xlfn.LET(_xlpm.q,E67,_xlpm.tk,P67,_xlpm.ld,Log!$P$18,_xlpm.fx,IF(OR(_xlpm.ld="",_xlpm.ld="Full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"&amp;_xlpm.q,""))))),IF(C67-I67&gt;=0.99,"next day",IF(C67-I67&gt;0.4,"12h → 24h","")))))))))))</f>
        <v/>
      </c>
      <c r="H67" s="4" t="str">
        <f t="shared" si="6"/>
        <v/>
      </c>
      <c r="I67" s="5" t="str">
        <f t="shared" si="7"/>
        <v/>
      </c>
      <c r="J67" s="6">
        <f t="shared" si="8"/>
        <v>0</v>
      </c>
      <c r="K67" s="4" t="str">
        <f t="shared" si="9"/>
        <v/>
      </c>
      <c r="L67" s="4" t="str">
        <f t="shared" si="10"/>
        <v/>
      </c>
      <c r="M67" s="4" t="b" cm="1">
        <f t="array" ref="M67">IF(H67="",FALSE,SUMPRODUCT(--(H$1:H66=H67))&gt;0)</f>
        <v>0</v>
      </c>
      <c r="N67" s="36"/>
      <c r="P67" s="1" t="str">
        <f t="shared" si="11"/>
        <v/>
      </c>
    </row>
    <row r="68" spans="1:16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"&amp;L68,IF(AND(MAX(K$1:K67)&gt;0,N(K68)-MAX(K$1:K67)&gt;180),"⚠ Gap &gt; 3h",IF(_xlfn.LET(_xlpm.q,E68,_xlpm.tk,P68,_xlpm.ld,Log!$P$18,_xlpm.fx,IF(OR(_xlpm.ld="",_xlpm.ld="Full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"&amp;_xlpm.q,""))))&lt;&gt;"",IF(N68&lt;&gt;"","Load OK ✓ (checked)","⚠ "&amp;_xlfn.LET(_xlpm.q,E68,_xlpm.tk,P68,_xlpm.ld,Log!$P$18,_xlpm.fx,IF(OR(_xlpm.ld="",_xlpm.ld="Full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"&amp;_xlpm.q,""))))),IF(C68-I68&gt;=0.99,"next day",IF(C68-I68&gt;0.4,"12h → 24h","")))))))))))</f>
        <v/>
      </c>
      <c r="H68" s="4" t="str">
        <f t="shared" si="6"/>
        <v/>
      </c>
      <c r="I68" s="5" t="str">
        <f t="shared" si="7"/>
        <v/>
      </c>
      <c r="J68" s="6">
        <f t="shared" si="8"/>
        <v>0</v>
      </c>
      <c r="K68" s="4" t="str">
        <f t="shared" si="9"/>
        <v/>
      </c>
      <c r="L68" s="4" t="str">
        <f t="shared" si="10"/>
        <v/>
      </c>
      <c r="M68" s="4" t="b" cm="1">
        <f t="array" ref="M68">IF(H68="",FALSE,SUMPRODUCT(--(H$1:H67=H68))&gt;0)</f>
        <v>0</v>
      </c>
      <c r="N68" s="36"/>
      <c r="P68" s="1" t="str">
        <f t="shared" si="11"/>
        <v/>
      </c>
    </row>
    <row r="69" spans="1:16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"&amp;L69,IF(AND(MAX(K$1:K68)&gt;0,N(K69)-MAX(K$1:K68)&gt;180),"⚠ Gap &gt; 3h",IF(_xlfn.LET(_xlpm.q,E69,_xlpm.tk,P69,_xlpm.ld,Log!$P$18,_xlpm.fx,IF(OR(_xlpm.ld="",_xlpm.ld="Full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"&amp;_xlpm.q,""))))&lt;&gt;"",IF(N69&lt;&gt;"","Load OK ✓ (checked)","⚠ "&amp;_xlfn.LET(_xlpm.q,E69,_xlpm.tk,P69,_xlpm.ld,Log!$P$18,_xlpm.fx,IF(OR(_xlpm.ld="",_xlpm.ld="Full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"&amp;_xlpm.q,""))))),IF(C69-I69&gt;=0.99,"next day",IF(C69-I69&gt;0.4,"12h → 24h","")))))))))))</f>
        <v/>
      </c>
      <c r="H69" s="4" t="str">
        <f t="shared" si="6"/>
        <v/>
      </c>
      <c r="I69" s="5" t="str">
        <f t="shared" si="7"/>
        <v/>
      </c>
      <c r="J69" s="6">
        <f t="shared" si="8"/>
        <v>0</v>
      </c>
      <c r="K69" s="4" t="str">
        <f t="shared" si="9"/>
        <v/>
      </c>
      <c r="L69" s="4" t="str">
        <f t="shared" si="10"/>
        <v/>
      </c>
      <c r="M69" s="4" t="b" cm="1">
        <f t="array" ref="M69">IF(H69="",FALSE,SUMPRODUCT(--(H$1:H68=H69))&gt;0)</f>
        <v>0</v>
      </c>
      <c r="N69" s="36"/>
      <c r="P69" s="1" t="str">
        <f t="shared" si="11"/>
        <v/>
      </c>
    </row>
    <row r="70" spans="1:16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"&amp;L70,IF(AND(MAX(K$1:K69)&gt;0,N(K70)-MAX(K$1:K69)&gt;180),"⚠ Gap &gt; 3h",IF(_xlfn.LET(_xlpm.q,E70,_xlpm.tk,P70,_xlpm.ld,Log!$P$18,_xlpm.fx,IF(OR(_xlpm.ld="",_xlpm.ld="Full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"&amp;_xlpm.q,""))))&lt;&gt;"",IF(N70&lt;&gt;"","Load OK ✓ (checked)","⚠ "&amp;_xlfn.LET(_xlpm.q,E70,_xlpm.tk,P70,_xlpm.ld,Log!$P$18,_xlpm.fx,IF(OR(_xlpm.ld="",_xlpm.ld="Full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"&amp;_xlpm.q,""))))),IF(C70-I70&gt;=0.99,"next day",IF(C70-I70&gt;0.4,"12h → 24h","")))))))))))</f>
        <v/>
      </c>
      <c r="H70" s="4" t="str">
        <f t="shared" si="6"/>
        <v/>
      </c>
      <c r="I70" s="5" t="str">
        <f t="shared" si="7"/>
        <v/>
      </c>
      <c r="J70" s="6">
        <f t="shared" si="8"/>
        <v>0</v>
      </c>
      <c r="K70" s="4" t="str">
        <f t="shared" si="9"/>
        <v/>
      </c>
      <c r="L70" s="4" t="str">
        <f t="shared" si="10"/>
        <v/>
      </c>
      <c r="M70" s="4" t="b" cm="1">
        <f t="array" ref="M70">IF(H70="",FALSE,SUMPRODUCT(--(H$1:H69=H70))&gt;0)</f>
        <v>0</v>
      </c>
      <c r="N70" s="36"/>
      <c r="P70" s="1" t="str">
        <f t="shared" si="11"/>
        <v/>
      </c>
    </row>
    <row r="71" spans="1:16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"&amp;L71,IF(AND(MAX(K$1:K70)&gt;0,N(K71)-MAX(K$1:K70)&gt;180),"⚠ Gap &gt; 3h",IF(_xlfn.LET(_xlpm.q,E71,_xlpm.tk,P71,_xlpm.ld,Log!$P$18,_xlpm.fx,IF(OR(_xlpm.ld="",_xlpm.ld="Full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"&amp;_xlpm.q,""))))&lt;&gt;"",IF(N71&lt;&gt;"","Load OK ✓ (checked)","⚠ "&amp;_xlfn.LET(_xlpm.q,E71,_xlpm.tk,P71,_xlpm.ld,Log!$P$18,_xlpm.fx,IF(OR(_xlpm.ld="",_xlpm.ld="Full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"&amp;_xlpm.q,""))))),IF(C71-I71&gt;=0.99,"next day",IF(C71-I71&gt;0.4,"12h → 24h","")))))))))))</f>
        <v/>
      </c>
      <c r="H71" s="4" t="str">
        <f t="shared" si="6"/>
        <v/>
      </c>
      <c r="I71" s="5" t="str">
        <f t="shared" si="7"/>
        <v/>
      </c>
      <c r="J71" s="6">
        <f t="shared" si="8"/>
        <v>0</v>
      </c>
      <c r="K71" s="4" t="str">
        <f t="shared" si="9"/>
        <v/>
      </c>
      <c r="L71" s="4" t="str">
        <f t="shared" si="10"/>
        <v/>
      </c>
      <c r="M71" s="4" t="b" cm="1">
        <f t="array" ref="M71">IF(H71="",FALSE,SUMPRODUCT(--(H$1:H70=H71))&gt;0)</f>
        <v>0</v>
      </c>
      <c r="N71" s="36"/>
      <c r="P71" s="1" t="str">
        <f t="shared" si="11"/>
        <v/>
      </c>
    </row>
    <row r="72" spans="1:16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"&amp;L72,IF(AND(MAX(K$1:K71)&gt;0,N(K72)-MAX(K$1:K71)&gt;180),"⚠ Gap &gt; 3h",IF(_xlfn.LET(_xlpm.q,E72,_xlpm.tk,P72,_xlpm.ld,Log!$P$18,_xlpm.fx,IF(OR(_xlpm.ld="",_xlpm.ld="Full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"&amp;_xlpm.q,""))))&lt;&gt;"",IF(N72&lt;&gt;"","Load OK ✓ (checked)","⚠ "&amp;_xlfn.LET(_xlpm.q,E72,_xlpm.tk,P72,_xlpm.ld,Log!$P$18,_xlpm.fx,IF(OR(_xlpm.ld="",_xlpm.ld="Full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"&amp;_xlpm.q,""))))),IF(C72-I72&gt;=0.99,"next day",IF(C72-I72&gt;0.4,"12h → 24h","")))))))))))</f>
        <v/>
      </c>
      <c r="H72" s="4" t="str">
        <f t="shared" si="6"/>
        <v/>
      </c>
      <c r="I72" s="5" t="str">
        <f t="shared" si="7"/>
        <v/>
      </c>
      <c r="J72" s="6">
        <f t="shared" si="8"/>
        <v>0</v>
      </c>
      <c r="K72" s="4" t="str">
        <f t="shared" si="9"/>
        <v/>
      </c>
      <c r="L72" s="4" t="str">
        <f t="shared" si="10"/>
        <v/>
      </c>
      <c r="M72" s="4" t="b" cm="1">
        <f t="array" ref="M72">IF(H72="",FALSE,SUMPRODUCT(--(H$1:H71=H72))&gt;0)</f>
        <v>0</v>
      </c>
      <c r="N72" s="36"/>
      <c r="P72" s="1" t="str">
        <f t="shared" si="11"/>
        <v/>
      </c>
    </row>
    <row r="73" spans="1:16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"&amp;L73,IF(AND(MAX(K$1:K72)&gt;0,N(K73)-MAX(K$1:K72)&gt;180),"⚠ Gap &gt; 3h",IF(_xlfn.LET(_xlpm.q,E73,_xlpm.tk,P73,_xlpm.ld,Log!$P$18,_xlpm.fx,IF(OR(_xlpm.ld="",_xlpm.ld="Full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"&amp;_xlpm.q,""))))&lt;&gt;"",IF(N73&lt;&gt;"","Load OK ✓ (checked)","⚠ "&amp;_xlfn.LET(_xlpm.q,E73,_xlpm.tk,P73,_xlpm.ld,Log!$P$18,_xlpm.fx,IF(OR(_xlpm.ld="",_xlpm.ld="Full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"&amp;_xlpm.q,""))))),IF(C73-I73&gt;=0.99,"next day",IF(C73-I73&gt;0.4,"12h → 24h","")))))))))))</f>
        <v/>
      </c>
      <c r="H73" s="4" t="str">
        <f t="shared" si="6"/>
        <v/>
      </c>
      <c r="I73" s="5" t="str">
        <f t="shared" si="7"/>
        <v/>
      </c>
      <c r="J73" s="6">
        <f t="shared" si="8"/>
        <v>0</v>
      </c>
      <c r="K73" s="4" t="str">
        <f t="shared" si="9"/>
        <v/>
      </c>
      <c r="L73" s="4" t="str">
        <f t="shared" si="10"/>
        <v/>
      </c>
      <c r="M73" s="4" t="b" cm="1">
        <f t="array" ref="M73">IF(H73="",FALSE,SUMPRODUCT(--(H$1:H72=H73))&gt;0)</f>
        <v>0</v>
      </c>
      <c r="N73" s="36"/>
      <c r="P73" s="1" t="str">
        <f t="shared" si="11"/>
        <v/>
      </c>
    </row>
    <row r="74" spans="1:16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"&amp;L74,IF(AND(MAX(K$1:K73)&gt;0,N(K74)-MAX(K$1:K73)&gt;180),"⚠ Gap &gt; 3h",IF(_xlfn.LET(_xlpm.q,E74,_xlpm.tk,P74,_xlpm.ld,Log!$P$18,_xlpm.fx,IF(OR(_xlpm.ld="",_xlpm.ld="Full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"&amp;_xlpm.q,""))))&lt;&gt;"",IF(N74&lt;&gt;"","Load OK ✓ (checked)","⚠ "&amp;_xlfn.LET(_xlpm.q,E74,_xlpm.tk,P74,_xlpm.ld,Log!$P$18,_xlpm.fx,IF(OR(_xlpm.ld="",_xlpm.ld="Full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"&amp;_xlpm.q,""))))),IF(C74-I74&gt;=0.99,"next day",IF(C74-I74&gt;0.4,"12h → 24h","")))))))))))</f>
        <v/>
      </c>
      <c r="H74" s="4" t="str">
        <f t="shared" si="6"/>
        <v/>
      </c>
      <c r="I74" s="5" t="str">
        <f t="shared" si="7"/>
        <v/>
      </c>
      <c r="J74" s="6">
        <f t="shared" si="8"/>
        <v>0</v>
      </c>
      <c r="K74" s="4" t="str">
        <f t="shared" si="9"/>
        <v/>
      </c>
      <c r="L74" s="4" t="str">
        <f t="shared" si="10"/>
        <v/>
      </c>
      <c r="M74" s="4" t="b" cm="1">
        <f t="array" ref="M74">IF(H74="",FALSE,SUMPRODUCT(--(H$1:H73=H74))&gt;0)</f>
        <v>0</v>
      </c>
      <c r="N74" s="36"/>
      <c r="P74" s="1" t="str">
        <f t="shared" si="11"/>
        <v/>
      </c>
    </row>
    <row r="75" spans="1:16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"&amp;L75,IF(AND(MAX(K$1:K74)&gt;0,N(K75)-MAX(K$1:K74)&gt;180),"⚠ Gap &gt; 3h",IF(_xlfn.LET(_xlpm.q,E75,_xlpm.tk,P75,_xlpm.ld,Log!$P$18,_xlpm.fx,IF(OR(_xlpm.ld="",_xlpm.ld="Full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"&amp;_xlpm.q,""))))&lt;&gt;"",IF(N75&lt;&gt;"","Load OK ✓ (checked)","⚠ "&amp;_xlfn.LET(_xlpm.q,E75,_xlpm.tk,P75,_xlpm.ld,Log!$P$18,_xlpm.fx,IF(OR(_xlpm.ld="",_xlpm.ld="Full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"&amp;_xlpm.q,""))))),IF(C75-I75&gt;=0.99,"next day",IF(C75-I75&gt;0.4,"12h → 24h","")))))))))))</f>
        <v/>
      </c>
      <c r="H75" s="4" t="str">
        <f t="shared" si="6"/>
        <v/>
      </c>
      <c r="I75" s="5" t="str">
        <f t="shared" si="7"/>
        <v/>
      </c>
      <c r="J75" s="6">
        <f t="shared" si="8"/>
        <v>0</v>
      </c>
      <c r="K75" s="4" t="str">
        <f t="shared" si="9"/>
        <v/>
      </c>
      <c r="L75" s="4" t="str">
        <f t="shared" si="10"/>
        <v/>
      </c>
      <c r="M75" s="4" t="b" cm="1">
        <f t="array" ref="M75">IF(H75="",FALSE,SUMPRODUCT(--(H$1:H74=H75))&gt;0)</f>
        <v>0</v>
      </c>
      <c r="N75" s="36"/>
      <c r="P75" s="1" t="str">
        <f t="shared" si="11"/>
        <v/>
      </c>
    </row>
    <row r="76" spans="1:16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"&amp;L76,IF(AND(MAX(K$1:K75)&gt;0,N(K76)-MAX(K$1:K75)&gt;180),"⚠ Gap &gt; 3h",IF(_xlfn.LET(_xlpm.q,E76,_xlpm.tk,P76,_xlpm.ld,Log!$P$18,_xlpm.fx,IF(OR(_xlpm.ld="",_xlpm.ld="Full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"&amp;_xlpm.q,""))))&lt;&gt;"",IF(N76&lt;&gt;"","Load OK ✓ (checked)","⚠ "&amp;_xlfn.LET(_xlpm.q,E76,_xlpm.tk,P76,_xlpm.ld,Log!$P$18,_xlpm.fx,IF(OR(_xlpm.ld="",_xlpm.ld="Full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"&amp;_xlpm.q,""))))),IF(C76-I76&gt;=0.99,"next day",IF(C76-I76&gt;0.4,"12h → 24h","")))))))))))</f>
        <v/>
      </c>
      <c r="H76" s="4" t="str">
        <f t="shared" si="6"/>
        <v/>
      </c>
      <c r="I76" s="5" t="str">
        <f t="shared" si="7"/>
        <v/>
      </c>
      <c r="J76" s="6">
        <f t="shared" si="8"/>
        <v>0</v>
      </c>
      <c r="K76" s="4" t="str">
        <f t="shared" si="9"/>
        <v/>
      </c>
      <c r="L76" s="4" t="str">
        <f t="shared" si="10"/>
        <v/>
      </c>
      <c r="M76" s="4" t="b" cm="1">
        <f t="array" ref="M76">IF(H76="",FALSE,SUMPRODUCT(--(H$1:H75=H76))&gt;0)</f>
        <v>0</v>
      </c>
      <c r="N76" s="36"/>
      <c r="P76" s="1" t="str">
        <f t="shared" si="11"/>
        <v/>
      </c>
    </row>
    <row r="77" spans="1:16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"&amp;L77,IF(AND(MAX(K$1:K76)&gt;0,N(K77)-MAX(K$1:K76)&gt;180),"⚠ Gap &gt; 3h",IF(_xlfn.LET(_xlpm.q,E77,_xlpm.tk,P77,_xlpm.ld,Log!$P$18,_xlpm.fx,IF(OR(_xlpm.ld="",_xlpm.ld="Full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"&amp;_xlpm.q,""))))&lt;&gt;"",IF(N77&lt;&gt;"","Load OK ✓ (checked)","⚠ "&amp;_xlfn.LET(_xlpm.q,E77,_xlpm.tk,P77,_xlpm.ld,Log!$P$18,_xlpm.fx,IF(OR(_xlpm.ld="",_xlpm.ld="Full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"&amp;_xlpm.q,""))))),IF(C77-I77&gt;=0.99,"next day",IF(C77-I77&gt;0.4,"12h → 24h","")))))))))))</f>
        <v/>
      </c>
      <c r="H77" s="4" t="str">
        <f t="shared" si="6"/>
        <v/>
      </c>
      <c r="I77" s="5" t="str">
        <f t="shared" si="7"/>
        <v/>
      </c>
      <c r="J77" s="6">
        <f t="shared" si="8"/>
        <v>0</v>
      </c>
      <c r="K77" s="4" t="str">
        <f t="shared" si="9"/>
        <v/>
      </c>
      <c r="L77" s="4" t="str">
        <f t="shared" si="10"/>
        <v/>
      </c>
      <c r="M77" s="4" t="b" cm="1">
        <f t="array" ref="M77">IF(H77="",FALSE,SUMPRODUCT(--(H$1:H76=H77))&gt;0)</f>
        <v>0</v>
      </c>
      <c r="N77" s="36"/>
      <c r="P77" s="1" t="str">
        <f t="shared" si="11"/>
        <v/>
      </c>
    </row>
    <row r="78" spans="1:16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"&amp;L78,IF(AND(MAX(K$1:K77)&gt;0,N(K78)-MAX(K$1:K77)&gt;180),"⚠ Gap &gt; 3h",IF(_xlfn.LET(_xlpm.q,E78,_xlpm.tk,P78,_xlpm.ld,Log!$P$18,_xlpm.fx,IF(OR(_xlpm.ld="",_xlpm.ld="Full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"&amp;_xlpm.q,""))))&lt;&gt;"",IF(N78&lt;&gt;"","Load OK ✓ (checked)","⚠ "&amp;_xlfn.LET(_xlpm.q,E78,_xlpm.tk,P78,_xlpm.ld,Log!$P$18,_xlpm.fx,IF(OR(_xlpm.ld="",_xlpm.ld="Full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"&amp;_xlpm.q,""))))),IF(C78-I78&gt;=0.99,"next day",IF(C78-I78&gt;0.4,"12h → 24h","")))))))))))</f>
        <v/>
      </c>
      <c r="H78" s="4" t="str">
        <f t="shared" si="6"/>
        <v/>
      </c>
      <c r="I78" s="5" t="str">
        <f t="shared" si="7"/>
        <v/>
      </c>
      <c r="J78" s="6">
        <f t="shared" si="8"/>
        <v>0</v>
      </c>
      <c r="K78" s="4" t="str">
        <f t="shared" si="9"/>
        <v/>
      </c>
      <c r="L78" s="4" t="str">
        <f t="shared" si="10"/>
        <v/>
      </c>
      <c r="M78" s="4" t="b" cm="1">
        <f t="array" ref="M78">IF(H78="",FALSE,SUMPRODUCT(--(H$1:H77=H78))&gt;0)</f>
        <v>0</v>
      </c>
      <c r="N78" s="36"/>
      <c r="P78" s="1" t="str">
        <f t="shared" si="11"/>
        <v/>
      </c>
    </row>
    <row r="79" spans="1:16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"&amp;L79,IF(AND(MAX(K$1:K78)&gt;0,N(K79)-MAX(K$1:K78)&gt;180),"⚠ Gap &gt; 3h",IF(_xlfn.LET(_xlpm.q,E79,_xlpm.tk,P79,_xlpm.ld,Log!$P$18,_xlpm.fx,IF(OR(_xlpm.ld="",_xlpm.ld="Full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"&amp;_xlpm.q,""))))&lt;&gt;"",IF(N79&lt;&gt;"","Load OK ✓ (checked)","⚠ "&amp;_xlfn.LET(_xlpm.q,E79,_xlpm.tk,P79,_xlpm.ld,Log!$P$18,_xlpm.fx,IF(OR(_xlpm.ld="",_xlpm.ld="Full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"&amp;_xlpm.q,""))))),IF(C79-I79&gt;=0.99,"next day",IF(C79-I79&gt;0.4,"12h → 24h","")))))))))))</f>
        <v/>
      </c>
      <c r="H79" s="4" t="str">
        <f t="shared" si="6"/>
        <v/>
      </c>
      <c r="I79" s="5" t="str">
        <f t="shared" si="7"/>
        <v/>
      </c>
      <c r="J79" s="6">
        <f t="shared" si="8"/>
        <v>0</v>
      </c>
      <c r="K79" s="4" t="str">
        <f t="shared" si="9"/>
        <v/>
      </c>
      <c r="L79" s="4" t="str">
        <f t="shared" si="10"/>
        <v/>
      </c>
      <c r="M79" s="4" t="b" cm="1">
        <f t="array" ref="M79">IF(H79="",FALSE,SUMPRODUCT(--(H$1:H78=H79))&gt;0)</f>
        <v>0</v>
      </c>
      <c r="N79" s="36"/>
      <c r="P79" s="1" t="str">
        <f t="shared" si="11"/>
        <v/>
      </c>
    </row>
    <row r="80" spans="1:16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"&amp;L80,IF(AND(MAX(K$1:K79)&gt;0,N(K80)-MAX(K$1:K79)&gt;180),"⚠ Gap &gt; 3h",IF(_xlfn.LET(_xlpm.q,E80,_xlpm.tk,P80,_xlpm.ld,Log!$P$18,_xlpm.fx,IF(OR(_xlpm.ld="",_xlpm.ld="Full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"&amp;_xlpm.q,""))))&lt;&gt;"",IF(N80&lt;&gt;"","Load OK ✓ (checked)","⚠ "&amp;_xlfn.LET(_xlpm.q,E80,_xlpm.tk,P80,_xlpm.ld,Log!$P$18,_xlpm.fx,IF(OR(_xlpm.ld="",_xlpm.ld="Full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"&amp;_xlpm.q,""))))),IF(C80-I80&gt;=0.99,"next day",IF(C80-I80&gt;0.4,"12h → 24h","")))))))))))</f>
        <v/>
      </c>
      <c r="H80" s="4" t="str">
        <f t="shared" si="6"/>
        <v/>
      </c>
      <c r="I80" s="5" t="str">
        <f t="shared" si="7"/>
        <v/>
      </c>
      <c r="J80" s="6">
        <f t="shared" si="8"/>
        <v>0</v>
      </c>
      <c r="K80" s="4" t="str">
        <f t="shared" si="9"/>
        <v/>
      </c>
      <c r="L80" s="4" t="str">
        <f t="shared" si="10"/>
        <v/>
      </c>
      <c r="M80" s="4" t="b" cm="1">
        <f t="array" ref="M80">IF(H80="",FALSE,SUMPRODUCT(--(H$1:H79=H80))&gt;0)</f>
        <v>0</v>
      </c>
      <c r="N80" s="36"/>
      <c r="P80" s="1" t="str">
        <f t="shared" si="11"/>
        <v/>
      </c>
    </row>
    <row r="81" spans="1:16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"&amp;L81,IF(AND(MAX(K$1:K80)&gt;0,N(K81)-MAX(K$1:K80)&gt;180),"⚠ Gap &gt; 3h",IF(_xlfn.LET(_xlpm.q,E81,_xlpm.tk,P81,_xlpm.ld,Log!$P$18,_xlpm.fx,IF(OR(_xlpm.ld="",_xlpm.ld="Full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"&amp;_xlpm.q,""))))&lt;&gt;"",IF(N81&lt;&gt;"","Load OK ✓ (checked)","⚠ "&amp;_xlfn.LET(_xlpm.q,E81,_xlpm.tk,P81,_xlpm.ld,Log!$P$18,_xlpm.fx,IF(OR(_xlpm.ld="",_xlpm.ld="Full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"&amp;_xlpm.q,""))))),IF(C81-I81&gt;=0.99,"next day",IF(C81-I81&gt;0.4,"12h → 24h","")))))))))))</f>
        <v/>
      </c>
      <c r="H81" s="4" t="str">
        <f t="shared" si="6"/>
        <v/>
      </c>
      <c r="I81" s="5" t="str">
        <f t="shared" si="7"/>
        <v/>
      </c>
      <c r="J81" s="6">
        <f t="shared" si="8"/>
        <v>0</v>
      </c>
      <c r="K81" s="4" t="str">
        <f t="shared" si="9"/>
        <v/>
      </c>
      <c r="L81" s="4" t="str">
        <f t="shared" si="10"/>
        <v/>
      </c>
      <c r="M81" s="4" t="b" cm="1">
        <f t="array" ref="M81">IF(H81="",FALSE,SUMPRODUCT(--(H$1:H80=H81))&gt;0)</f>
        <v>0</v>
      </c>
      <c r="N81" s="36"/>
      <c r="P81" s="1" t="str">
        <f t="shared" si="11"/>
        <v/>
      </c>
    </row>
    <row r="82" spans="1:16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"&amp;L82,IF(AND(MAX(K$1:K81)&gt;0,N(K82)-MAX(K$1:K81)&gt;180),"⚠ Gap &gt; 3h",IF(_xlfn.LET(_xlpm.q,E82,_xlpm.tk,P82,_xlpm.ld,Log!$P$18,_xlpm.fx,IF(OR(_xlpm.ld="",_xlpm.ld="Full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"&amp;_xlpm.q,""))))&lt;&gt;"",IF(N82&lt;&gt;"","Load OK ✓ (checked)","⚠ "&amp;_xlfn.LET(_xlpm.q,E82,_xlpm.tk,P82,_xlpm.ld,Log!$P$18,_xlpm.fx,IF(OR(_xlpm.ld="",_xlpm.ld="Full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"&amp;_xlpm.q,""))))),IF(C82-I82&gt;=0.99,"next day",IF(C82-I82&gt;0.4,"12h → 24h","")))))))))))</f>
        <v/>
      </c>
      <c r="H82" s="4" t="str">
        <f t="shared" si="6"/>
        <v/>
      </c>
      <c r="I82" s="5" t="str">
        <f t="shared" si="7"/>
        <v/>
      </c>
      <c r="J82" s="6">
        <f t="shared" si="8"/>
        <v>0</v>
      </c>
      <c r="K82" s="4" t="str">
        <f t="shared" si="9"/>
        <v/>
      </c>
      <c r="L82" s="4" t="str">
        <f t="shared" si="10"/>
        <v/>
      </c>
      <c r="M82" s="4" t="b" cm="1">
        <f t="array" ref="M82">IF(H82="",FALSE,SUMPRODUCT(--(H$1:H81=H82))&gt;0)</f>
        <v>0</v>
      </c>
      <c r="N82" s="36"/>
      <c r="P82" s="1" t="str">
        <f t="shared" si="11"/>
        <v/>
      </c>
    </row>
    <row r="83" spans="1:16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"&amp;L83,IF(AND(MAX(K$1:K82)&gt;0,N(K83)-MAX(K$1:K82)&gt;180),"⚠ Gap &gt; 3h",IF(_xlfn.LET(_xlpm.q,E83,_xlpm.tk,P83,_xlpm.ld,Log!$P$18,_xlpm.fx,IF(OR(_xlpm.ld="",_xlpm.ld="Full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"&amp;_xlpm.q,""))))&lt;&gt;"",IF(N83&lt;&gt;"","Load OK ✓ (checked)","⚠ "&amp;_xlfn.LET(_xlpm.q,E83,_xlpm.tk,P83,_xlpm.ld,Log!$P$18,_xlpm.fx,IF(OR(_xlpm.ld="",_xlpm.ld="Full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"&amp;_xlpm.q,""))))),IF(C83-I83&gt;=0.99,"next day",IF(C83-I83&gt;0.4,"12h → 24h","")))))))))))</f>
        <v/>
      </c>
      <c r="H83" s="4" t="str">
        <f t="shared" si="6"/>
        <v/>
      </c>
      <c r="I83" s="5" t="str">
        <f t="shared" si="7"/>
        <v/>
      </c>
      <c r="J83" s="6">
        <f t="shared" si="8"/>
        <v>0</v>
      </c>
      <c r="K83" s="4" t="str">
        <f t="shared" si="9"/>
        <v/>
      </c>
      <c r="L83" s="4" t="str">
        <f t="shared" si="10"/>
        <v/>
      </c>
      <c r="M83" s="4" t="b" cm="1">
        <f t="array" ref="M83">IF(H83="",FALSE,SUMPRODUCT(--(H$1:H82=H83))&gt;0)</f>
        <v>0</v>
      </c>
      <c r="N83" s="36"/>
      <c r="P83" s="1" t="str">
        <f t="shared" si="11"/>
        <v/>
      </c>
    </row>
    <row r="84" spans="1:16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"&amp;L84,IF(AND(MAX(K$1:K83)&gt;0,N(K84)-MAX(K$1:K83)&gt;180),"⚠ Gap &gt; 3h",IF(_xlfn.LET(_xlpm.q,E84,_xlpm.tk,P84,_xlpm.ld,Log!$P$18,_xlpm.fx,IF(OR(_xlpm.ld="",_xlpm.ld="Full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"&amp;_xlpm.q,""))))&lt;&gt;"",IF(N84&lt;&gt;"","Load OK ✓ (checked)","⚠ "&amp;_xlfn.LET(_xlpm.q,E84,_xlpm.tk,P84,_xlpm.ld,Log!$P$18,_xlpm.fx,IF(OR(_xlpm.ld="",_xlpm.ld="Full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"&amp;_xlpm.q,""))))),IF(C84-I84&gt;=0.99,"next day",IF(C84-I84&gt;0.4,"12h → 24h","")))))))))))</f>
        <v/>
      </c>
      <c r="H84" s="4" t="str">
        <f t="shared" si="6"/>
        <v/>
      </c>
      <c r="I84" s="5" t="str">
        <f t="shared" si="7"/>
        <v/>
      </c>
      <c r="J84" s="6">
        <f t="shared" si="8"/>
        <v>0</v>
      </c>
      <c r="K84" s="4" t="str">
        <f t="shared" si="9"/>
        <v/>
      </c>
      <c r="L84" s="4" t="str">
        <f t="shared" si="10"/>
        <v/>
      </c>
      <c r="M84" s="4" t="b" cm="1">
        <f t="array" ref="M84">IF(H84="",FALSE,SUMPRODUCT(--(H$1:H83=H84))&gt;0)</f>
        <v>0</v>
      </c>
      <c r="N84" s="36"/>
      <c r="P84" s="1" t="str">
        <f t="shared" si="11"/>
        <v/>
      </c>
    </row>
    <row r="85" spans="1:16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"&amp;L85,IF(AND(MAX(K$1:K84)&gt;0,N(K85)-MAX(K$1:K84)&gt;180),"⚠ Gap &gt; 3h",IF(_xlfn.LET(_xlpm.q,E85,_xlpm.tk,P85,_xlpm.ld,Log!$P$18,_xlpm.fx,IF(OR(_xlpm.ld="",_xlpm.ld="Full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"&amp;_xlpm.q,""))))&lt;&gt;"",IF(N85&lt;&gt;"","Load OK ✓ (checked)","⚠ "&amp;_xlfn.LET(_xlpm.q,E85,_xlpm.tk,P85,_xlpm.ld,Log!$P$18,_xlpm.fx,IF(OR(_xlpm.ld="",_xlpm.ld="Full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"&amp;_xlpm.q,""))))),IF(C85-I85&gt;=0.99,"next day",IF(C85-I85&gt;0.4,"12h → 24h","")))))))))))</f>
        <v/>
      </c>
      <c r="H85" s="4" t="str">
        <f t="shared" si="6"/>
        <v/>
      </c>
      <c r="I85" s="5" t="str">
        <f t="shared" si="7"/>
        <v/>
      </c>
      <c r="J85" s="6">
        <f t="shared" si="8"/>
        <v>0</v>
      </c>
      <c r="K85" s="4" t="str">
        <f t="shared" si="9"/>
        <v/>
      </c>
      <c r="L85" s="4" t="str">
        <f t="shared" si="10"/>
        <v/>
      </c>
      <c r="M85" s="4" t="b" cm="1">
        <f t="array" ref="M85">IF(H85="",FALSE,SUMPRODUCT(--(H$1:H84=H85))&gt;0)</f>
        <v>0</v>
      </c>
      <c r="N85" s="36"/>
      <c r="P85" s="1" t="str">
        <f t="shared" si="11"/>
        <v/>
      </c>
    </row>
    <row r="86" spans="1:16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"&amp;L86,IF(AND(MAX(K$1:K85)&gt;0,N(K86)-MAX(K$1:K85)&gt;180),"⚠ Gap &gt; 3h",IF(_xlfn.LET(_xlpm.q,E86,_xlpm.tk,P86,_xlpm.ld,Log!$P$18,_xlpm.fx,IF(OR(_xlpm.ld="",_xlpm.ld="Full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"&amp;_xlpm.q,""))))&lt;&gt;"",IF(N86&lt;&gt;"","Load OK ✓ (checked)","⚠ "&amp;_xlfn.LET(_xlpm.q,E86,_xlpm.tk,P86,_xlpm.ld,Log!$P$18,_xlpm.fx,IF(OR(_xlpm.ld="",_xlpm.ld="Full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"&amp;_xlpm.q,""))))),IF(C86-I86&gt;=0.99,"next day",IF(C86-I86&gt;0.4,"12h → 24h","")))))))))))</f>
        <v/>
      </c>
      <c r="H86" s="4" t="str">
        <f t="shared" si="6"/>
        <v/>
      </c>
      <c r="I86" s="5" t="str">
        <f t="shared" si="7"/>
        <v/>
      </c>
      <c r="J86" s="6">
        <f t="shared" si="8"/>
        <v>0</v>
      </c>
      <c r="K86" s="4" t="str">
        <f t="shared" si="9"/>
        <v/>
      </c>
      <c r="L86" s="4" t="str">
        <f t="shared" si="10"/>
        <v/>
      </c>
      <c r="M86" s="4" t="b" cm="1">
        <f t="array" ref="M86">IF(H86="",FALSE,SUMPRODUCT(--(H$1:H85=H86))&gt;0)</f>
        <v>0</v>
      </c>
      <c r="N86" s="36"/>
      <c r="P86" s="1" t="str">
        <f t="shared" si="11"/>
        <v/>
      </c>
    </row>
    <row r="87" spans="1:16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"&amp;L87,IF(AND(MAX(K$1:K86)&gt;0,N(K87)-MAX(K$1:K86)&gt;180),"⚠ Gap &gt; 3h",IF(_xlfn.LET(_xlpm.q,E87,_xlpm.tk,P87,_xlpm.ld,Log!$P$18,_xlpm.fx,IF(OR(_xlpm.ld="",_xlpm.ld="Full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"&amp;_xlpm.q,""))))&lt;&gt;"",IF(N87&lt;&gt;"","Load OK ✓ (checked)","⚠ "&amp;_xlfn.LET(_xlpm.q,E87,_xlpm.tk,P87,_xlpm.ld,Log!$P$18,_xlpm.fx,IF(OR(_xlpm.ld="",_xlpm.ld="Full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"&amp;_xlpm.q,""))))),IF(C87-I87&gt;=0.99,"next day",IF(C87-I87&gt;0.4,"12h → 24h","")))))))))))</f>
        <v/>
      </c>
      <c r="H87" s="4" t="str">
        <f t="shared" si="6"/>
        <v/>
      </c>
      <c r="I87" s="5" t="str">
        <f t="shared" si="7"/>
        <v/>
      </c>
      <c r="J87" s="6">
        <f t="shared" si="8"/>
        <v>0</v>
      </c>
      <c r="K87" s="4" t="str">
        <f t="shared" si="9"/>
        <v/>
      </c>
      <c r="L87" s="4" t="str">
        <f t="shared" si="10"/>
        <v/>
      </c>
      <c r="M87" s="4" t="b" cm="1">
        <f t="array" ref="M87">IF(H87="",FALSE,SUMPRODUCT(--(H$1:H86=H87))&gt;0)</f>
        <v>0</v>
      </c>
      <c r="N87" s="36"/>
      <c r="P87" s="1" t="str">
        <f t="shared" si="11"/>
        <v/>
      </c>
    </row>
    <row r="88" spans="1:16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"&amp;L88,IF(AND(MAX(K$1:K87)&gt;0,N(K88)-MAX(K$1:K87)&gt;180),"⚠ Gap &gt; 3h",IF(_xlfn.LET(_xlpm.q,E88,_xlpm.tk,P88,_xlpm.ld,Log!$P$18,_xlpm.fx,IF(OR(_xlpm.ld="",_xlpm.ld="Full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"&amp;_xlpm.q,""))))&lt;&gt;"",IF(N88&lt;&gt;"","Load OK ✓ (checked)","⚠ "&amp;_xlfn.LET(_xlpm.q,E88,_xlpm.tk,P88,_xlpm.ld,Log!$P$18,_xlpm.fx,IF(OR(_xlpm.ld="",_xlpm.ld="Full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"&amp;_xlpm.q,""))))),IF(C88-I88&gt;=0.99,"next day",IF(C88-I88&gt;0.4,"12h → 24h","")))))))))))</f>
        <v/>
      </c>
      <c r="H88" s="4" t="str">
        <f t="shared" si="6"/>
        <v/>
      </c>
      <c r="I88" s="5" t="str">
        <f t="shared" si="7"/>
        <v/>
      </c>
      <c r="J88" s="6">
        <f t="shared" si="8"/>
        <v>0</v>
      </c>
      <c r="K88" s="4" t="str">
        <f t="shared" si="9"/>
        <v/>
      </c>
      <c r="L88" s="4" t="str">
        <f t="shared" si="10"/>
        <v/>
      </c>
      <c r="M88" s="4" t="b" cm="1">
        <f t="array" ref="M88">IF(H88="",FALSE,SUMPRODUCT(--(H$1:H87=H88))&gt;0)</f>
        <v>0</v>
      </c>
      <c r="N88" s="36"/>
      <c r="P88" s="1" t="str">
        <f t="shared" si="11"/>
        <v/>
      </c>
    </row>
    <row r="89" spans="1:16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"&amp;L89,IF(AND(MAX(K$1:K88)&gt;0,N(K89)-MAX(K$1:K88)&gt;180),"⚠ Gap &gt; 3h",IF(_xlfn.LET(_xlpm.q,E89,_xlpm.tk,P89,_xlpm.ld,Log!$P$18,_xlpm.fx,IF(OR(_xlpm.ld="",_xlpm.ld="Full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"&amp;_xlpm.q,""))))&lt;&gt;"",IF(N89&lt;&gt;"","Load OK ✓ (checked)","⚠ "&amp;_xlfn.LET(_xlpm.q,E89,_xlpm.tk,P89,_xlpm.ld,Log!$P$18,_xlpm.fx,IF(OR(_xlpm.ld="",_xlpm.ld="Full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"&amp;_xlpm.q,""))))),IF(C89-I89&gt;=0.99,"next day",IF(C89-I89&gt;0.4,"12h → 24h","")))))))))))</f>
        <v/>
      </c>
      <c r="H89" s="4" t="str">
        <f t="shared" si="6"/>
        <v/>
      </c>
      <c r="I89" s="5" t="str">
        <f t="shared" si="7"/>
        <v/>
      </c>
      <c r="J89" s="6">
        <f t="shared" si="8"/>
        <v>0</v>
      </c>
      <c r="K89" s="4" t="str">
        <f t="shared" si="9"/>
        <v/>
      </c>
      <c r="L89" s="4" t="str">
        <f t="shared" si="10"/>
        <v/>
      </c>
      <c r="M89" s="4" t="b" cm="1">
        <f t="array" ref="M89">IF(H89="",FALSE,SUMPRODUCT(--(H$1:H88=H89))&gt;0)</f>
        <v>0</v>
      </c>
      <c r="N89" s="36"/>
      <c r="P89" s="1" t="str">
        <f t="shared" si="11"/>
        <v/>
      </c>
    </row>
    <row r="90" spans="1:16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"&amp;L90,IF(AND(MAX(K$1:K89)&gt;0,N(K90)-MAX(K$1:K89)&gt;180),"⚠ Gap &gt; 3h",IF(_xlfn.LET(_xlpm.q,E90,_xlpm.tk,P90,_xlpm.ld,Log!$P$18,_xlpm.fx,IF(OR(_xlpm.ld="",_xlpm.ld="Full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"&amp;_xlpm.q,""))))&lt;&gt;"",IF(N90&lt;&gt;"","Load OK ✓ (checked)","⚠ "&amp;_xlfn.LET(_xlpm.q,E90,_xlpm.tk,P90,_xlpm.ld,Log!$P$18,_xlpm.fx,IF(OR(_xlpm.ld="",_xlpm.ld="Full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"&amp;_xlpm.q,""))))),IF(C90-I90&gt;=0.99,"next day",IF(C90-I90&gt;0.4,"12h → 24h","")))))))))))</f>
        <v/>
      </c>
      <c r="H90" s="4" t="str">
        <f t="shared" si="6"/>
        <v/>
      </c>
      <c r="I90" s="5" t="str">
        <f t="shared" si="7"/>
        <v/>
      </c>
      <c r="J90" s="6">
        <f t="shared" si="8"/>
        <v>0</v>
      </c>
      <c r="K90" s="4" t="str">
        <f t="shared" si="9"/>
        <v/>
      </c>
      <c r="L90" s="4" t="str">
        <f t="shared" si="10"/>
        <v/>
      </c>
      <c r="M90" s="4" t="b" cm="1">
        <f t="array" ref="M90">IF(H90="",FALSE,SUMPRODUCT(--(H$1:H89=H90))&gt;0)</f>
        <v>0</v>
      </c>
      <c r="N90" s="36"/>
      <c r="P90" s="1" t="str">
        <f t="shared" si="11"/>
        <v/>
      </c>
    </row>
    <row r="91" spans="1:16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"&amp;L91,IF(AND(MAX(K$1:K90)&gt;0,N(K91)-MAX(K$1:K90)&gt;180),"⚠ Gap &gt; 3h",IF(_xlfn.LET(_xlpm.q,E91,_xlpm.tk,P91,_xlpm.ld,Log!$P$18,_xlpm.fx,IF(OR(_xlpm.ld="",_xlpm.ld="Full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"&amp;_xlpm.q,""))))&lt;&gt;"",IF(N91&lt;&gt;"","Load OK ✓ (checked)","⚠ "&amp;_xlfn.LET(_xlpm.q,E91,_xlpm.tk,P91,_xlpm.ld,Log!$P$18,_xlpm.fx,IF(OR(_xlpm.ld="",_xlpm.ld="Full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"&amp;_xlpm.q,""))))),IF(C91-I91&gt;=0.99,"next day",IF(C91-I91&gt;0.4,"12h → 24h","")))))))))))</f>
        <v/>
      </c>
      <c r="H91" s="4" t="str">
        <f t="shared" si="6"/>
        <v/>
      </c>
      <c r="I91" s="5" t="str">
        <f t="shared" si="7"/>
        <v/>
      </c>
      <c r="J91" s="6">
        <f t="shared" si="8"/>
        <v>0</v>
      </c>
      <c r="K91" s="4" t="str">
        <f t="shared" si="9"/>
        <v/>
      </c>
      <c r="L91" s="4" t="str">
        <f t="shared" si="10"/>
        <v/>
      </c>
      <c r="M91" s="4" t="b" cm="1">
        <f t="array" ref="M91">IF(H91="",FALSE,SUMPRODUCT(--(H$1:H90=H91))&gt;0)</f>
        <v>0</v>
      </c>
      <c r="N91" s="36"/>
      <c r="P91" s="1" t="str">
        <f t="shared" si="11"/>
        <v/>
      </c>
    </row>
    <row r="92" spans="1:16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"&amp;L92,IF(AND(MAX(K$1:K91)&gt;0,N(K92)-MAX(K$1:K91)&gt;180),"⚠ Gap &gt; 3h",IF(_xlfn.LET(_xlpm.q,E92,_xlpm.tk,P92,_xlpm.ld,Log!$P$18,_xlpm.fx,IF(OR(_xlpm.ld="",_xlpm.ld="Full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"&amp;_xlpm.q,""))))&lt;&gt;"",IF(N92&lt;&gt;"","Load OK ✓ (checked)","⚠ "&amp;_xlfn.LET(_xlpm.q,E92,_xlpm.tk,P92,_xlpm.ld,Log!$P$18,_xlpm.fx,IF(OR(_xlpm.ld="",_xlpm.ld="Full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"&amp;_xlpm.q,""))))),IF(C92-I92&gt;=0.99,"next day",IF(C92-I92&gt;0.4,"12h → 24h","")))))))))))</f>
        <v/>
      </c>
      <c r="H92" s="4" t="str">
        <f t="shared" si="6"/>
        <v/>
      </c>
      <c r="I92" s="5" t="str">
        <f t="shared" si="7"/>
        <v/>
      </c>
      <c r="J92" s="6">
        <f t="shared" si="8"/>
        <v>0</v>
      </c>
      <c r="K92" s="4" t="str">
        <f t="shared" si="9"/>
        <v/>
      </c>
      <c r="L92" s="4" t="str">
        <f t="shared" si="10"/>
        <v/>
      </c>
      <c r="M92" s="4" t="b" cm="1">
        <f t="array" ref="M92">IF(H92="",FALSE,SUMPRODUCT(--(H$1:H91=H92))&gt;0)</f>
        <v>0</v>
      </c>
      <c r="N92" s="36"/>
      <c r="P92" s="1" t="str">
        <f t="shared" si="11"/>
        <v/>
      </c>
    </row>
    <row r="93" spans="1:16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"&amp;L93,IF(AND(MAX(K$1:K92)&gt;0,N(K93)-MAX(K$1:K92)&gt;180),"⚠ Gap &gt; 3h",IF(_xlfn.LET(_xlpm.q,E93,_xlpm.tk,P93,_xlpm.ld,Log!$P$18,_xlpm.fx,IF(OR(_xlpm.ld="",_xlpm.ld="Full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"&amp;_xlpm.q,""))))&lt;&gt;"",IF(N93&lt;&gt;"","Load OK ✓ (checked)","⚠ "&amp;_xlfn.LET(_xlpm.q,E93,_xlpm.tk,P93,_xlpm.ld,Log!$P$18,_xlpm.fx,IF(OR(_xlpm.ld="",_xlpm.ld="Full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"&amp;_xlpm.q,""))))),IF(C93-I93&gt;=0.99,"next day",IF(C93-I93&gt;0.4,"12h → 24h","")))))))))))</f>
        <v/>
      </c>
      <c r="H93" s="4" t="str">
        <f t="shared" si="6"/>
        <v/>
      </c>
      <c r="I93" s="5" t="str">
        <f t="shared" si="7"/>
        <v/>
      </c>
      <c r="J93" s="6">
        <f t="shared" si="8"/>
        <v>0</v>
      </c>
      <c r="K93" s="4" t="str">
        <f t="shared" si="9"/>
        <v/>
      </c>
      <c r="L93" s="4" t="str">
        <f t="shared" si="10"/>
        <v/>
      </c>
      <c r="M93" s="4" t="b" cm="1">
        <f t="array" ref="M93">IF(H93="",FALSE,SUMPRODUCT(--(H$1:H92=H93))&gt;0)</f>
        <v>0</v>
      </c>
      <c r="N93" s="36"/>
      <c r="P93" s="1" t="str">
        <f t="shared" si="11"/>
        <v/>
      </c>
    </row>
    <row r="94" spans="1:16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"&amp;L94,IF(AND(MAX(K$1:K93)&gt;0,N(K94)-MAX(K$1:K93)&gt;180),"⚠ Gap &gt; 3h",IF(_xlfn.LET(_xlpm.q,E94,_xlpm.tk,P94,_xlpm.ld,Log!$P$18,_xlpm.fx,IF(OR(_xlpm.ld="",_xlpm.ld="Full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"&amp;_xlpm.q,""))))&lt;&gt;"",IF(N94&lt;&gt;"","Load OK ✓ (checked)","⚠ "&amp;_xlfn.LET(_xlpm.q,E94,_xlpm.tk,P94,_xlpm.ld,Log!$P$18,_xlpm.fx,IF(OR(_xlpm.ld="",_xlpm.ld="Full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"&amp;_xlpm.q,""))))),IF(C94-I94&gt;=0.99,"next day",IF(C94-I94&gt;0.4,"12h → 24h","")))))))))))</f>
        <v/>
      </c>
      <c r="H94" s="4" t="str">
        <f t="shared" si="6"/>
        <v/>
      </c>
      <c r="I94" s="5" t="str">
        <f t="shared" si="7"/>
        <v/>
      </c>
      <c r="J94" s="6">
        <f t="shared" si="8"/>
        <v>0</v>
      </c>
      <c r="K94" s="4" t="str">
        <f t="shared" si="9"/>
        <v/>
      </c>
      <c r="L94" s="4" t="str">
        <f t="shared" si="10"/>
        <v/>
      </c>
      <c r="M94" s="4" t="b" cm="1">
        <f t="array" ref="M94">IF(H94="",FALSE,SUMPRODUCT(--(H$1:H93=H94))&gt;0)</f>
        <v>0</v>
      </c>
      <c r="N94" s="36"/>
      <c r="P94" s="1" t="str">
        <f t="shared" si="11"/>
        <v/>
      </c>
    </row>
    <row r="95" spans="1:16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"&amp;L95,IF(AND(MAX(K$1:K94)&gt;0,N(K95)-MAX(K$1:K94)&gt;180),"⚠ Gap &gt; 3h",IF(_xlfn.LET(_xlpm.q,E95,_xlpm.tk,P95,_xlpm.ld,Log!$P$18,_xlpm.fx,IF(OR(_xlpm.ld="",_xlpm.ld="Full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"&amp;_xlpm.q,""))))&lt;&gt;"",IF(N95&lt;&gt;"","Load OK ✓ (checked)","⚠ "&amp;_xlfn.LET(_xlpm.q,E95,_xlpm.tk,P95,_xlpm.ld,Log!$P$18,_xlpm.fx,IF(OR(_xlpm.ld="",_xlpm.ld="Full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"&amp;_xlpm.q,""))))),IF(C95-I95&gt;=0.99,"next day",IF(C95-I95&gt;0.4,"12h → 24h","")))))))))))</f>
        <v/>
      </c>
      <c r="H95" s="4" t="str">
        <f t="shared" si="6"/>
        <v/>
      </c>
      <c r="I95" s="5" t="str">
        <f t="shared" si="7"/>
        <v/>
      </c>
      <c r="J95" s="6">
        <f t="shared" si="8"/>
        <v>0</v>
      </c>
      <c r="K95" s="4" t="str">
        <f t="shared" si="9"/>
        <v/>
      </c>
      <c r="L95" s="4" t="str">
        <f t="shared" si="10"/>
        <v/>
      </c>
      <c r="M95" s="4" t="b" cm="1">
        <f t="array" ref="M95">IF(H95="",FALSE,SUMPRODUCT(--(H$1:H94=H95))&gt;0)</f>
        <v>0</v>
      </c>
      <c r="N95" s="36"/>
      <c r="P95" s="1" t="str">
        <f t="shared" si="11"/>
        <v/>
      </c>
    </row>
    <row r="96" spans="1:16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"&amp;L96,IF(AND(MAX(K$1:K95)&gt;0,N(K96)-MAX(K$1:K95)&gt;180),"⚠ Gap &gt; 3h",IF(_xlfn.LET(_xlpm.q,E96,_xlpm.tk,P96,_xlpm.ld,Log!$P$18,_xlpm.fx,IF(OR(_xlpm.ld="",_xlpm.ld="Full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"&amp;_xlpm.q,""))))&lt;&gt;"",IF(N96&lt;&gt;"","Load OK ✓ (checked)","⚠ "&amp;_xlfn.LET(_xlpm.q,E96,_xlpm.tk,P96,_xlpm.ld,Log!$P$18,_xlpm.fx,IF(OR(_xlpm.ld="",_xlpm.ld="Full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"&amp;_xlpm.q,""))))),IF(C96-I96&gt;=0.99,"next day",IF(C96-I96&gt;0.4,"12h → 24h","")))))))))))</f>
        <v/>
      </c>
      <c r="H96" s="4" t="str">
        <f t="shared" si="6"/>
        <v/>
      </c>
      <c r="I96" s="5" t="str">
        <f t="shared" si="7"/>
        <v/>
      </c>
      <c r="J96" s="6">
        <f t="shared" si="8"/>
        <v>0</v>
      </c>
      <c r="K96" s="4" t="str">
        <f t="shared" si="9"/>
        <v/>
      </c>
      <c r="L96" s="4" t="str">
        <f t="shared" si="10"/>
        <v/>
      </c>
      <c r="M96" s="4" t="b" cm="1">
        <f t="array" ref="M96">IF(H96="",FALSE,SUMPRODUCT(--(H$1:H95=H96))&gt;0)</f>
        <v>0</v>
      </c>
      <c r="N96" s="36"/>
      <c r="P96" s="1" t="str">
        <f t="shared" si="11"/>
        <v/>
      </c>
    </row>
    <row r="97" spans="1:16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"&amp;L97,IF(AND(MAX(K$1:K96)&gt;0,N(K97)-MAX(K$1:K96)&gt;180),"⚠ Gap &gt; 3h",IF(_xlfn.LET(_xlpm.q,E97,_xlpm.tk,P97,_xlpm.ld,Log!$P$18,_xlpm.fx,IF(OR(_xlpm.ld="",_xlpm.ld="Full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"&amp;_xlpm.q,""))))&lt;&gt;"",IF(N97&lt;&gt;"","Load OK ✓ (checked)","⚠ "&amp;_xlfn.LET(_xlpm.q,E97,_xlpm.tk,P97,_xlpm.ld,Log!$P$18,_xlpm.fx,IF(OR(_xlpm.ld="",_xlpm.ld="Full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"&amp;_xlpm.q,""))))),IF(C97-I97&gt;=0.99,"next day",IF(C97-I97&gt;0.4,"12h → 24h","")))))))))))</f>
        <v/>
      </c>
      <c r="H97" s="4" t="str">
        <f t="shared" si="6"/>
        <v/>
      </c>
      <c r="I97" s="5" t="str">
        <f t="shared" si="7"/>
        <v/>
      </c>
      <c r="J97" s="6">
        <f t="shared" si="8"/>
        <v>0</v>
      </c>
      <c r="K97" s="4" t="str">
        <f t="shared" si="9"/>
        <v/>
      </c>
      <c r="L97" s="4" t="str">
        <f t="shared" si="10"/>
        <v/>
      </c>
      <c r="M97" s="4" t="b" cm="1">
        <f t="array" ref="M97">IF(H97="",FALSE,SUMPRODUCT(--(H$1:H96=H97))&gt;0)</f>
        <v>0</v>
      </c>
      <c r="N97" s="36"/>
      <c r="P97" s="1" t="str">
        <f t="shared" si="11"/>
        <v/>
      </c>
    </row>
    <row r="98" spans="1:16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"&amp;L98,IF(AND(MAX(K$1:K97)&gt;0,N(K98)-MAX(K$1:K97)&gt;180),"⚠ Gap &gt; 3h",IF(_xlfn.LET(_xlpm.q,E98,_xlpm.tk,P98,_xlpm.ld,Log!$P$18,_xlpm.fx,IF(OR(_xlpm.ld="",_xlpm.ld="Full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"&amp;_xlpm.q,""))))&lt;&gt;"",IF(N98&lt;&gt;"","Load OK ✓ (checked)","⚠ "&amp;_xlfn.LET(_xlpm.q,E98,_xlpm.tk,P98,_xlpm.ld,Log!$P$18,_xlpm.fx,IF(OR(_xlpm.ld="",_xlpm.ld="Full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"&amp;_xlpm.q,""))))),IF(C98-I98&gt;=0.99,"next day",IF(C98-I98&gt;0.4,"12h → 24h","")))))))))))</f>
        <v/>
      </c>
      <c r="H98" s="4" t="str">
        <f t="shared" si="6"/>
        <v/>
      </c>
      <c r="I98" s="5" t="str">
        <f t="shared" si="7"/>
        <v/>
      </c>
      <c r="J98" s="6">
        <f t="shared" si="8"/>
        <v>0</v>
      </c>
      <c r="K98" s="4" t="str">
        <f t="shared" si="9"/>
        <v/>
      </c>
      <c r="L98" s="4" t="str">
        <f t="shared" si="10"/>
        <v/>
      </c>
      <c r="M98" s="4" t="b" cm="1">
        <f t="array" ref="M98">IF(H98="",FALSE,SUMPRODUCT(--(H$1:H97=H98))&gt;0)</f>
        <v>0</v>
      </c>
      <c r="N98" s="36"/>
      <c r="P98" s="1" t="str">
        <f t="shared" si="11"/>
        <v/>
      </c>
    </row>
    <row r="99" spans="1:16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"&amp;L99,IF(AND(MAX(K$1:K98)&gt;0,N(K99)-MAX(K$1:K98)&gt;180),"⚠ Gap &gt; 3h",IF(_xlfn.LET(_xlpm.q,E99,_xlpm.tk,P99,_xlpm.ld,Log!$P$18,_xlpm.fx,IF(OR(_xlpm.ld="",_xlpm.ld="Full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"&amp;_xlpm.q,""))))&lt;&gt;"",IF(N99&lt;&gt;"","Load OK ✓ (checked)","⚠ "&amp;_xlfn.LET(_xlpm.q,E99,_xlpm.tk,P99,_xlpm.ld,Log!$P$18,_xlpm.fx,IF(OR(_xlpm.ld="",_xlpm.ld="Full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"&amp;_xlpm.q,""))))),IF(C99-I99&gt;=0.99,"next day",IF(C99-I99&gt;0.4,"12h → 24h","")))))))))))</f>
        <v/>
      </c>
      <c r="H99" s="4" t="str">
        <f t="shared" si="6"/>
        <v/>
      </c>
      <c r="I99" s="5" t="str">
        <f t="shared" si="7"/>
        <v/>
      </c>
      <c r="J99" s="6">
        <f t="shared" si="8"/>
        <v>0</v>
      </c>
      <c r="K99" s="4" t="str">
        <f t="shared" si="9"/>
        <v/>
      </c>
      <c r="L99" s="4" t="str">
        <f t="shared" si="10"/>
        <v/>
      </c>
      <c r="M99" s="4" t="b" cm="1">
        <f t="array" ref="M99">IF(H99="",FALSE,SUMPRODUCT(--(H$1:H98=H99))&gt;0)</f>
        <v>0</v>
      </c>
      <c r="N99" s="36"/>
      <c r="P99" s="1" t="str">
        <f t="shared" si="11"/>
        <v/>
      </c>
    </row>
    <row r="100" spans="1:16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"&amp;L100,IF(AND(MAX(K$1:K99)&gt;0,N(K100)-MAX(K$1:K99)&gt;180),"⚠ Gap &gt; 3h",IF(_xlfn.LET(_xlpm.q,E100,_xlpm.tk,P100,_xlpm.ld,Log!$P$18,_xlpm.fx,IF(OR(_xlpm.ld="",_xlpm.ld="Full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"&amp;_xlpm.q,""))))&lt;&gt;"",IF(N100&lt;&gt;"","Load OK ✓ (checked)","⚠ "&amp;_xlfn.LET(_xlpm.q,E100,_xlpm.tk,P100,_xlpm.ld,Log!$P$18,_xlpm.fx,IF(OR(_xlpm.ld="",_xlpm.ld="Full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"&amp;_xlpm.q,""))))),IF(C100-I100&gt;=0.99,"next day",IF(C100-I100&gt;0.4,"12h → 24h","")))))))))))</f>
        <v/>
      </c>
      <c r="H100" s="4" t="str">
        <f t="shared" si="6"/>
        <v/>
      </c>
      <c r="I100" s="5" t="str">
        <f t="shared" si="7"/>
        <v/>
      </c>
      <c r="J100" s="6">
        <f t="shared" si="8"/>
        <v>0</v>
      </c>
      <c r="K100" s="4" t="str">
        <f t="shared" si="9"/>
        <v/>
      </c>
      <c r="L100" s="4" t="str">
        <f t="shared" si="10"/>
        <v/>
      </c>
      <c r="M100" s="4" t="b" cm="1">
        <f t="array" ref="M100">IF(H100="",FALSE,SUMPRODUCT(--(H$1:H99=H100))&gt;0)</f>
        <v>0</v>
      </c>
      <c r="N100" s="36"/>
      <c r="P100" s="1" t="str">
        <f t="shared" si="11"/>
        <v/>
      </c>
    </row>
    <row r="101" spans="1:16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"&amp;L101,IF(AND(MAX(K$1:K100)&gt;0,N(K101)-MAX(K$1:K100)&gt;180),"⚠ Gap &gt; 3h",IF(_xlfn.LET(_xlpm.q,E101,_xlpm.tk,P101,_xlpm.ld,Log!$P$18,_xlpm.fx,IF(OR(_xlpm.ld="",_xlpm.ld="Full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"&amp;_xlpm.q,""))))&lt;&gt;"",IF(N101&lt;&gt;"","Load OK ✓ (checked)","⚠ "&amp;_xlfn.LET(_xlpm.q,E101,_xlpm.tk,P101,_xlpm.ld,Log!$P$18,_xlpm.fx,IF(OR(_xlpm.ld="",_xlpm.ld="Full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"&amp;_xlpm.q,""))))),IF(C101-I101&gt;=0.99,"next day",IF(C101-I101&gt;0.4,"12h → 24h","")))))))))))</f>
        <v/>
      </c>
      <c r="H101" s="4" t="str">
        <f t="shared" si="6"/>
        <v/>
      </c>
      <c r="I101" s="5" t="str">
        <f t="shared" si="7"/>
        <v/>
      </c>
      <c r="J101" s="6">
        <f t="shared" si="8"/>
        <v>0</v>
      </c>
      <c r="K101" s="4" t="str">
        <f t="shared" si="9"/>
        <v/>
      </c>
      <c r="L101" s="4" t="str">
        <f t="shared" si="10"/>
        <v/>
      </c>
      <c r="M101" s="4" t="b" cm="1">
        <f t="array" ref="M101">IF(H101="",FALSE,SUMPRODUCT(--(H$1:H100=H101))&gt;0)</f>
        <v>0</v>
      </c>
      <c r="N101" s="36"/>
      <c r="P101" s="1" t="str">
        <f t="shared" si="11"/>
        <v/>
      </c>
    </row>
    <row r="102" spans="1:16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"&amp;L102,IF(AND(MAX(K$1:K101)&gt;0,N(K102)-MAX(K$1:K101)&gt;180),"⚠ Gap &gt; 3h",IF(_xlfn.LET(_xlpm.q,E102,_xlpm.tk,P102,_xlpm.ld,Log!$P$18,_xlpm.fx,IF(OR(_xlpm.ld="",_xlpm.ld="Full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"&amp;_xlpm.q,""))))&lt;&gt;"",IF(N102&lt;&gt;"","Load OK ✓ (checked)","⚠ "&amp;_xlfn.LET(_xlpm.q,E102,_xlpm.tk,P102,_xlpm.ld,Log!$P$18,_xlpm.fx,IF(OR(_xlpm.ld="",_xlpm.ld="Full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"&amp;_xlpm.q,""))))),IF(C102-I102&gt;=0.99,"next day",IF(C102-I102&gt;0.4,"12h → 24h","")))))))))))</f>
        <v/>
      </c>
      <c r="H102" s="4" t="str">
        <f t="shared" si="6"/>
        <v/>
      </c>
      <c r="I102" s="5" t="str">
        <f t="shared" si="7"/>
        <v/>
      </c>
      <c r="J102" s="6">
        <f t="shared" si="8"/>
        <v>0</v>
      </c>
      <c r="K102" s="4" t="str">
        <f t="shared" si="9"/>
        <v/>
      </c>
      <c r="L102" s="4" t="str">
        <f t="shared" si="10"/>
        <v/>
      </c>
      <c r="M102" s="4" t="b" cm="1">
        <f t="array" ref="M102">IF(H102="",FALSE,SUMPRODUCT(--(H$1:H101=H102))&gt;0)</f>
        <v>0</v>
      </c>
      <c r="N102" s="36"/>
      <c r="P102" s="1" t="str">
        <f t="shared" si="11"/>
        <v/>
      </c>
    </row>
    <row r="103" spans="1:16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"&amp;L103,IF(AND(MAX(K$1:K102)&gt;0,N(K103)-MAX(K$1:K102)&gt;180),"⚠ Gap &gt; 3h",IF(_xlfn.LET(_xlpm.q,E103,_xlpm.tk,P103,_xlpm.ld,Log!$P$18,_xlpm.fx,IF(OR(_xlpm.ld="",_xlpm.ld="Full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"&amp;_xlpm.q,""))))&lt;&gt;"",IF(N103&lt;&gt;"","Load OK ✓ (checked)","⚠ "&amp;_xlfn.LET(_xlpm.q,E103,_xlpm.tk,P103,_xlpm.ld,Log!$P$18,_xlpm.fx,IF(OR(_xlpm.ld="",_xlpm.ld="Full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"&amp;_xlpm.q,""))))),IF(C103-I103&gt;=0.99,"next day",IF(C103-I103&gt;0.4,"12h → 24h","")))))))))))</f>
        <v/>
      </c>
      <c r="H103" s="4" t="str">
        <f t="shared" si="6"/>
        <v/>
      </c>
      <c r="I103" s="5" t="str">
        <f t="shared" si="7"/>
        <v/>
      </c>
      <c r="J103" s="6">
        <f t="shared" si="8"/>
        <v>0</v>
      </c>
      <c r="K103" s="4" t="str">
        <f t="shared" si="9"/>
        <v/>
      </c>
      <c r="L103" s="4" t="str">
        <f t="shared" si="10"/>
        <v/>
      </c>
      <c r="M103" s="4" t="b" cm="1">
        <f t="array" ref="M103">IF(H103="",FALSE,SUMPRODUCT(--(H$1:H102=H103))&gt;0)</f>
        <v>0</v>
      </c>
      <c r="N103" s="36"/>
      <c r="P103" s="1" t="str">
        <f t="shared" si="11"/>
        <v/>
      </c>
    </row>
    <row r="104" spans="1:16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"&amp;L104,IF(AND(MAX(K$1:K103)&gt;0,N(K104)-MAX(K$1:K103)&gt;180),"⚠ Gap &gt; 3h",IF(_xlfn.LET(_xlpm.q,E104,_xlpm.tk,P104,_xlpm.ld,Log!$P$18,_xlpm.fx,IF(OR(_xlpm.ld="",_xlpm.ld="Full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"&amp;_xlpm.q,""))))&lt;&gt;"",IF(N104&lt;&gt;"","Load OK ✓ (checked)","⚠ "&amp;_xlfn.LET(_xlpm.q,E104,_xlpm.tk,P104,_xlpm.ld,Log!$P$18,_xlpm.fx,IF(OR(_xlpm.ld="",_xlpm.ld="Full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"&amp;_xlpm.q,""))))),IF(C104-I104&gt;=0.99,"next day",IF(C104-I104&gt;0.4,"12h → 24h","")))))))))))</f>
        <v/>
      </c>
      <c r="H104" s="4" t="str">
        <f t="shared" si="6"/>
        <v/>
      </c>
      <c r="I104" s="5" t="str">
        <f t="shared" si="7"/>
        <v/>
      </c>
      <c r="J104" s="6">
        <f t="shared" si="8"/>
        <v>0</v>
      </c>
      <c r="K104" s="4" t="str">
        <f t="shared" si="9"/>
        <v/>
      </c>
      <c r="L104" s="4" t="str">
        <f t="shared" si="10"/>
        <v/>
      </c>
      <c r="M104" s="4" t="b" cm="1">
        <f t="array" ref="M104">IF(H104="",FALSE,SUMPRODUCT(--(H$1:H103=H104))&gt;0)</f>
        <v>0</v>
      </c>
      <c r="N104" s="36"/>
      <c r="P104" s="1" t="str">
        <f t="shared" si="11"/>
        <v/>
      </c>
    </row>
    <row r="105" spans="1:16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"&amp;L105,IF(AND(MAX(K$1:K104)&gt;0,N(K105)-MAX(K$1:K104)&gt;180),"⚠ Gap &gt; 3h",IF(_xlfn.LET(_xlpm.q,E105,_xlpm.tk,P105,_xlpm.ld,Log!$P$18,_xlpm.fx,IF(OR(_xlpm.ld="",_xlpm.ld="Full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"&amp;_xlpm.q,""))))&lt;&gt;"",IF(N105&lt;&gt;"","Load OK ✓ (checked)","⚠ "&amp;_xlfn.LET(_xlpm.q,E105,_xlpm.tk,P105,_xlpm.ld,Log!$P$18,_xlpm.fx,IF(OR(_xlpm.ld="",_xlpm.ld="Full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"&amp;_xlpm.q,""))))),IF(C105-I105&gt;=0.99,"next day",IF(C105-I105&gt;0.4,"12h → 24h","")))))))))))</f>
        <v/>
      </c>
      <c r="H105" s="4" t="str">
        <f t="shared" si="6"/>
        <v/>
      </c>
      <c r="I105" s="5" t="str">
        <f t="shared" si="7"/>
        <v/>
      </c>
      <c r="J105" s="6">
        <f t="shared" si="8"/>
        <v>0</v>
      </c>
      <c r="K105" s="4" t="str">
        <f t="shared" si="9"/>
        <v/>
      </c>
      <c r="L105" s="4" t="str">
        <f t="shared" si="10"/>
        <v/>
      </c>
      <c r="M105" s="4" t="b" cm="1">
        <f t="array" ref="M105">IF(H105="",FALSE,SUMPRODUCT(--(H$1:H104=H105))&gt;0)</f>
        <v>0</v>
      </c>
      <c r="N105" s="36"/>
      <c r="P105" s="1" t="str">
        <f t="shared" si="11"/>
        <v/>
      </c>
    </row>
    <row r="106" spans="1:16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"&amp;L106,IF(AND(MAX(K$1:K105)&gt;0,N(K106)-MAX(K$1:K105)&gt;180),"⚠ Gap &gt; 3h",IF(_xlfn.LET(_xlpm.q,E106,_xlpm.tk,P106,_xlpm.ld,Log!$P$18,_xlpm.fx,IF(OR(_xlpm.ld="",_xlpm.ld="Full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"&amp;_xlpm.q,""))))&lt;&gt;"",IF(N106&lt;&gt;"","Load OK ✓ (checked)","⚠ "&amp;_xlfn.LET(_xlpm.q,E106,_xlpm.tk,P106,_xlpm.ld,Log!$P$18,_xlpm.fx,IF(OR(_xlpm.ld="",_xlpm.ld="Full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"&amp;_xlpm.q,""))))),IF(C106-I106&gt;=0.99,"next day",IF(C106-I106&gt;0.4,"12h → 24h","")))))))))))</f>
        <v/>
      </c>
      <c r="H106" s="4" t="str">
        <f t="shared" si="6"/>
        <v/>
      </c>
      <c r="I106" s="5" t="str">
        <f t="shared" si="7"/>
        <v/>
      </c>
      <c r="J106" s="6">
        <f t="shared" si="8"/>
        <v>0</v>
      </c>
      <c r="K106" s="4" t="str">
        <f t="shared" si="9"/>
        <v/>
      </c>
      <c r="L106" s="4" t="str">
        <f t="shared" si="10"/>
        <v/>
      </c>
      <c r="M106" s="4" t="b" cm="1">
        <f t="array" ref="M106">IF(H106="",FALSE,SUMPRODUCT(--(H$1:H105=H106))&gt;0)</f>
        <v>0</v>
      </c>
      <c r="N106" s="36"/>
      <c r="P106" s="1" t="str">
        <f t="shared" si="11"/>
        <v/>
      </c>
    </row>
    <row r="107" spans="1:16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"&amp;L107,IF(AND(MAX(K$1:K106)&gt;0,N(K107)-MAX(K$1:K106)&gt;180),"⚠ Gap &gt; 3h",IF(_xlfn.LET(_xlpm.q,E107,_xlpm.tk,P107,_xlpm.ld,Log!$P$18,_xlpm.fx,IF(OR(_xlpm.ld="",_xlpm.ld="Full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"&amp;_xlpm.q,""))))&lt;&gt;"",IF(N107&lt;&gt;"","Load OK ✓ (checked)","⚠ "&amp;_xlfn.LET(_xlpm.q,E107,_xlpm.tk,P107,_xlpm.ld,Log!$P$18,_xlpm.fx,IF(OR(_xlpm.ld="",_xlpm.ld="Full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"&amp;_xlpm.q,""))))),IF(C107-I107&gt;=0.99,"next day",IF(C107-I107&gt;0.4,"12h → 24h","")))))))))))</f>
        <v/>
      </c>
      <c r="H107" s="4" t="str">
        <f t="shared" si="6"/>
        <v/>
      </c>
      <c r="I107" s="5" t="str">
        <f t="shared" si="7"/>
        <v/>
      </c>
      <c r="J107" s="6">
        <f t="shared" si="8"/>
        <v>0</v>
      </c>
      <c r="K107" s="4" t="str">
        <f t="shared" si="9"/>
        <v/>
      </c>
      <c r="L107" s="4" t="str">
        <f t="shared" si="10"/>
        <v/>
      </c>
      <c r="M107" s="4" t="b" cm="1">
        <f t="array" ref="M107">IF(H107="",FALSE,SUMPRODUCT(--(H$1:H106=H107))&gt;0)</f>
        <v>0</v>
      </c>
      <c r="N107" s="36"/>
      <c r="P107" s="1" t="str">
        <f t="shared" si="11"/>
        <v/>
      </c>
    </row>
    <row r="108" spans="1:16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"&amp;L108,IF(AND(MAX(K$1:K107)&gt;0,N(K108)-MAX(K$1:K107)&gt;180),"⚠ Gap &gt; 3h",IF(_xlfn.LET(_xlpm.q,E108,_xlpm.tk,P108,_xlpm.ld,Log!$P$18,_xlpm.fx,IF(OR(_xlpm.ld="",_xlpm.ld="Full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"&amp;_xlpm.q,""))))&lt;&gt;"",IF(N108&lt;&gt;"","Load OK ✓ (checked)","⚠ "&amp;_xlfn.LET(_xlpm.q,E108,_xlpm.tk,P108,_xlpm.ld,Log!$P$18,_xlpm.fx,IF(OR(_xlpm.ld="",_xlpm.ld="Full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"&amp;_xlpm.q,""))))),IF(C108-I108&gt;=0.99,"next day",IF(C108-I108&gt;0.4,"12h → 24h","")))))))))))</f>
        <v/>
      </c>
      <c r="H108" s="4" t="str">
        <f t="shared" si="6"/>
        <v/>
      </c>
      <c r="I108" s="5" t="str">
        <f t="shared" si="7"/>
        <v/>
      </c>
      <c r="J108" s="6">
        <f t="shared" si="8"/>
        <v>0</v>
      </c>
      <c r="K108" s="4" t="str">
        <f t="shared" si="9"/>
        <v/>
      </c>
      <c r="L108" s="4" t="str">
        <f t="shared" si="10"/>
        <v/>
      </c>
      <c r="M108" s="4" t="b" cm="1">
        <f t="array" ref="M108">IF(H108="",FALSE,SUMPRODUCT(--(H$1:H107=H108))&gt;0)</f>
        <v>0</v>
      </c>
      <c r="N108" s="36"/>
      <c r="P108" s="1" t="str">
        <f t="shared" si="11"/>
        <v/>
      </c>
    </row>
    <row r="109" spans="1:16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"&amp;L109,IF(AND(MAX(K$1:K108)&gt;0,N(K109)-MAX(K$1:K108)&gt;180),"⚠ Gap &gt; 3h",IF(_xlfn.LET(_xlpm.q,E109,_xlpm.tk,P109,_xlpm.ld,Log!$P$18,_xlpm.fx,IF(OR(_xlpm.ld="",_xlpm.ld="Full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"&amp;_xlpm.q,""))))&lt;&gt;"",IF(N109&lt;&gt;"","Load OK ✓ (checked)","⚠ "&amp;_xlfn.LET(_xlpm.q,E109,_xlpm.tk,P109,_xlpm.ld,Log!$P$18,_xlpm.fx,IF(OR(_xlpm.ld="",_xlpm.ld="Full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"&amp;_xlpm.q,""))))),IF(C109-I109&gt;=0.99,"next day",IF(C109-I109&gt;0.4,"12h → 24h","")))))))))))</f>
        <v/>
      </c>
      <c r="H109" s="4" t="str">
        <f t="shared" si="6"/>
        <v/>
      </c>
      <c r="I109" s="5" t="str">
        <f t="shared" si="7"/>
        <v/>
      </c>
      <c r="J109" s="6">
        <f t="shared" si="8"/>
        <v>0</v>
      </c>
      <c r="K109" s="4" t="str">
        <f t="shared" si="9"/>
        <v/>
      </c>
      <c r="L109" s="4" t="str">
        <f t="shared" si="10"/>
        <v/>
      </c>
      <c r="M109" s="4" t="b" cm="1">
        <f t="array" ref="M109">IF(H109="",FALSE,SUMPRODUCT(--(H$1:H108=H109))&gt;0)</f>
        <v>0</v>
      </c>
      <c r="N109" s="36"/>
      <c r="P109" s="1" t="str">
        <f t="shared" si="11"/>
        <v/>
      </c>
    </row>
    <row r="110" spans="1:16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"&amp;L110,IF(AND(MAX(K$1:K109)&gt;0,N(K110)-MAX(K$1:K109)&gt;180),"⚠ Gap &gt; 3h",IF(_xlfn.LET(_xlpm.q,E110,_xlpm.tk,P110,_xlpm.ld,Log!$P$18,_xlpm.fx,IF(OR(_xlpm.ld="",_xlpm.ld="Full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"&amp;_xlpm.q,""))))&lt;&gt;"",IF(N110&lt;&gt;"","Load OK ✓ (checked)","⚠ "&amp;_xlfn.LET(_xlpm.q,E110,_xlpm.tk,P110,_xlpm.ld,Log!$P$18,_xlpm.fx,IF(OR(_xlpm.ld="",_xlpm.ld="Full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"&amp;_xlpm.q,""))))),IF(C110-I110&gt;=0.99,"next day",IF(C110-I110&gt;0.4,"12h → 24h","")))))))))))</f>
        <v/>
      </c>
      <c r="H110" s="4" t="str">
        <f t="shared" si="6"/>
        <v/>
      </c>
      <c r="I110" s="5" t="str">
        <f t="shared" si="7"/>
        <v/>
      </c>
      <c r="J110" s="6">
        <f t="shared" si="8"/>
        <v>0</v>
      </c>
      <c r="K110" s="4" t="str">
        <f t="shared" si="9"/>
        <v/>
      </c>
      <c r="L110" s="4" t="str">
        <f t="shared" si="10"/>
        <v/>
      </c>
      <c r="M110" s="4" t="b" cm="1">
        <f t="array" ref="M110">IF(H110="",FALSE,SUMPRODUCT(--(H$1:H109=H110))&gt;0)</f>
        <v>0</v>
      </c>
      <c r="N110" s="36"/>
      <c r="P110" s="1" t="str">
        <f t="shared" si="11"/>
        <v/>
      </c>
    </row>
    <row r="111" spans="1:16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"&amp;L111,IF(AND(MAX(K$1:K110)&gt;0,N(K111)-MAX(K$1:K110)&gt;180),"⚠ Gap &gt; 3h",IF(_xlfn.LET(_xlpm.q,E111,_xlpm.tk,P111,_xlpm.ld,Log!$P$18,_xlpm.fx,IF(OR(_xlpm.ld="",_xlpm.ld="Full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"&amp;_xlpm.q,""))))&lt;&gt;"",IF(N111&lt;&gt;"","Load OK ✓ (checked)","⚠ "&amp;_xlfn.LET(_xlpm.q,E111,_xlpm.tk,P111,_xlpm.ld,Log!$P$18,_xlpm.fx,IF(OR(_xlpm.ld="",_xlpm.ld="Full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"&amp;_xlpm.q,""))))),IF(C111-I111&gt;=0.99,"next day",IF(C111-I111&gt;0.4,"12h → 24h","")))))))))))</f>
        <v/>
      </c>
      <c r="H111" s="4" t="str">
        <f t="shared" si="6"/>
        <v/>
      </c>
      <c r="I111" s="5" t="str">
        <f t="shared" si="7"/>
        <v/>
      </c>
      <c r="J111" s="6">
        <f t="shared" si="8"/>
        <v>0</v>
      </c>
      <c r="K111" s="4" t="str">
        <f t="shared" si="9"/>
        <v/>
      </c>
      <c r="L111" s="4" t="str">
        <f t="shared" si="10"/>
        <v/>
      </c>
      <c r="M111" s="4" t="b" cm="1">
        <f t="array" ref="M111">IF(H111="",FALSE,SUMPRODUCT(--(H$1:H110=H111))&gt;0)</f>
        <v>0</v>
      </c>
      <c r="N111" s="36"/>
      <c r="P111" s="1" t="str">
        <f t="shared" si="11"/>
        <v/>
      </c>
    </row>
    <row r="112" spans="1:16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"&amp;L112,IF(AND(MAX(K$1:K111)&gt;0,N(K112)-MAX(K$1:K111)&gt;180),"⚠ Gap &gt; 3h",IF(_xlfn.LET(_xlpm.q,E112,_xlpm.tk,P112,_xlpm.ld,Log!$P$18,_xlpm.fx,IF(OR(_xlpm.ld="",_xlpm.ld="Full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"&amp;_xlpm.q,""))))&lt;&gt;"",IF(N112&lt;&gt;"","Load OK ✓ (checked)","⚠ "&amp;_xlfn.LET(_xlpm.q,E112,_xlpm.tk,P112,_xlpm.ld,Log!$P$18,_xlpm.fx,IF(OR(_xlpm.ld="",_xlpm.ld="Full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"&amp;_xlpm.q,""))))),IF(C112-I112&gt;=0.99,"next day",IF(C112-I112&gt;0.4,"12h → 24h","")))))))))))</f>
        <v/>
      </c>
      <c r="H112" s="4" t="str">
        <f t="shared" si="6"/>
        <v/>
      </c>
      <c r="I112" s="5" t="str">
        <f t="shared" si="7"/>
        <v/>
      </c>
      <c r="J112" s="6">
        <f t="shared" si="8"/>
        <v>0</v>
      </c>
      <c r="K112" s="4" t="str">
        <f t="shared" si="9"/>
        <v/>
      </c>
      <c r="L112" s="4" t="str">
        <f t="shared" si="10"/>
        <v/>
      </c>
      <c r="M112" s="4" t="b" cm="1">
        <f t="array" ref="M112">IF(H112="",FALSE,SUMPRODUCT(--(H$1:H111=H112))&gt;0)</f>
        <v>0</v>
      </c>
      <c r="N112" s="36"/>
      <c r="P112" s="1" t="str">
        <f t="shared" si="11"/>
        <v/>
      </c>
    </row>
    <row r="113" spans="1:16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"&amp;L113,IF(AND(MAX(K$1:K112)&gt;0,N(K113)-MAX(K$1:K112)&gt;180),"⚠ Gap &gt; 3h",IF(_xlfn.LET(_xlpm.q,E113,_xlpm.tk,P113,_xlpm.ld,Log!$P$18,_xlpm.fx,IF(OR(_xlpm.ld="",_xlpm.ld="Full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"&amp;_xlpm.q,""))))&lt;&gt;"",IF(N113&lt;&gt;"","Load OK ✓ (checked)","⚠ "&amp;_xlfn.LET(_xlpm.q,E113,_xlpm.tk,P113,_xlpm.ld,Log!$P$18,_xlpm.fx,IF(OR(_xlpm.ld="",_xlpm.ld="Full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"&amp;_xlpm.q,""))))),IF(C113-I113&gt;=0.99,"next day",IF(C113-I113&gt;0.4,"12h → 24h","")))))))))))</f>
        <v/>
      </c>
      <c r="H113" s="4" t="str">
        <f t="shared" si="6"/>
        <v/>
      </c>
      <c r="I113" s="5" t="str">
        <f t="shared" si="7"/>
        <v/>
      </c>
      <c r="J113" s="6">
        <f t="shared" si="8"/>
        <v>0</v>
      </c>
      <c r="K113" s="4" t="str">
        <f t="shared" si="9"/>
        <v/>
      </c>
      <c r="L113" s="4" t="str">
        <f t="shared" si="10"/>
        <v/>
      </c>
      <c r="M113" s="4" t="b" cm="1">
        <f t="array" ref="M113">IF(H113="",FALSE,SUMPRODUCT(--(H$1:H112=H113))&gt;0)</f>
        <v>0</v>
      </c>
      <c r="N113" s="36"/>
      <c r="P113" s="1" t="str">
        <f t="shared" si="11"/>
        <v/>
      </c>
    </row>
    <row r="114" spans="1:16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"&amp;L114,IF(AND(MAX(K$1:K113)&gt;0,N(K114)-MAX(K$1:K113)&gt;180),"⚠ Gap &gt; 3h",IF(_xlfn.LET(_xlpm.q,E114,_xlpm.tk,P114,_xlpm.ld,Log!$P$18,_xlpm.fx,IF(OR(_xlpm.ld="",_xlpm.ld="Full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"&amp;_xlpm.q,""))))&lt;&gt;"",IF(N114&lt;&gt;"","Load OK ✓ (checked)","⚠ "&amp;_xlfn.LET(_xlpm.q,E114,_xlpm.tk,P114,_xlpm.ld,Log!$P$18,_xlpm.fx,IF(OR(_xlpm.ld="",_xlpm.ld="Full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"&amp;_xlpm.q,""))))),IF(C114-I114&gt;=0.99,"next day",IF(C114-I114&gt;0.4,"12h → 24h","")))))))))))</f>
        <v/>
      </c>
      <c r="H114" s="4" t="str">
        <f t="shared" si="6"/>
        <v/>
      </c>
      <c r="I114" s="5" t="str">
        <f t="shared" si="7"/>
        <v/>
      </c>
      <c r="J114" s="6">
        <f t="shared" si="8"/>
        <v>0</v>
      </c>
      <c r="K114" s="4" t="str">
        <f t="shared" si="9"/>
        <v/>
      </c>
      <c r="L114" s="4" t="str">
        <f t="shared" si="10"/>
        <v/>
      </c>
      <c r="M114" s="4" t="b" cm="1">
        <f t="array" ref="M114">IF(H114="",FALSE,SUMPRODUCT(--(H$1:H113=H114))&gt;0)</f>
        <v>0</v>
      </c>
      <c r="N114" s="36"/>
      <c r="P114" s="1" t="str">
        <f t="shared" si="11"/>
        <v/>
      </c>
    </row>
    <row r="115" spans="1:16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"&amp;L115,IF(AND(MAX(K$1:K114)&gt;0,N(K115)-MAX(K$1:K114)&gt;180),"⚠ Gap &gt; 3h",IF(_xlfn.LET(_xlpm.q,E115,_xlpm.tk,P115,_xlpm.ld,Log!$P$18,_xlpm.fx,IF(OR(_xlpm.ld="",_xlpm.ld="Full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"&amp;_xlpm.q,""))))&lt;&gt;"",IF(N115&lt;&gt;"","Load OK ✓ (checked)","⚠ "&amp;_xlfn.LET(_xlpm.q,E115,_xlpm.tk,P115,_xlpm.ld,Log!$P$18,_xlpm.fx,IF(OR(_xlpm.ld="",_xlpm.ld="Full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"&amp;_xlpm.q,""))))),IF(C115-I115&gt;=0.99,"next day",IF(C115-I115&gt;0.4,"12h → 24h","")))))))))))</f>
        <v/>
      </c>
      <c r="H115" s="4" t="str">
        <f t="shared" si="6"/>
        <v/>
      </c>
      <c r="I115" s="5" t="str">
        <f t="shared" si="7"/>
        <v/>
      </c>
      <c r="J115" s="6">
        <f t="shared" si="8"/>
        <v>0</v>
      </c>
      <c r="K115" s="4" t="str">
        <f t="shared" si="9"/>
        <v/>
      </c>
      <c r="L115" s="4" t="str">
        <f t="shared" si="10"/>
        <v/>
      </c>
      <c r="M115" s="4" t="b" cm="1">
        <f t="array" ref="M115">IF(H115="",FALSE,SUMPRODUCT(--(H$1:H114=H115))&gt;0)</f>
        <v>0</v>
      </c>
      <c r="N115" s="36"/>
      <c r="P115" s="1" t="str">
        <f t="shared" si="11"/>
        <v/>
      </c>
    </row>
    <row r="116" spans="1:16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"&amp;L116,IF(AND(MAX(K$1:K115)&gt;0,N(K116)-MAX(K$1:K115)&gt;180),"⚠ Gap &gt; 3h",IF(_xlfn.LET(_xlpm.q,E116,_xlpm.tk,P116,_xlpm.ld,Log!$P$18,_xlpm.fx,IF(OR(_xlpm.ld="",_xlpm.ld="Full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"&amp;_xlpm.q,""))))&lt;&gt;"",IF(N116&lt;&gt;"","Load OK ✓ (checked)","⚠ "&amp;_xlfn.LET(_xlpm.q,E116,_xlpm.tk,P116,_xlpm.ld,Log!$P$18,_xlpm.fx,IF(OR(_xlpm.ld="",_xlpm.ld="Full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"&amp;_xlpm.q,""))))),IF(C116-I116&gt;=0.99,"next day",IF(C116-I116&gt;0.4,"12h → 24h","")))))))))))</f>
        <v/>
      </c>
      <c r="H116" s="4" t="str">
        <f t="shared" si="6"/>
        <v/>
      </c>
      <c r="I116" s="5" t="str">
        <f t="shared" si="7"/>
        <v/>
      </c>
      <c r="J116" s="6">
        <f t="shared" si="8"/>
        <v>0</v>
      </c>
      <c r="K116" s="4" t="str">
        <f t="shared" si="9"/>
        <v/>
      </c>
      <c r="L116" s="4" t="str">
        <f t="shared" si="10"/>
        <v/>
      </c>
      <c r="M116" s="4" t="b" cm="1">
        <f t="array" ref="M116">IF(H116="",FALSE,SUMPRODUCT(--(H$1:H115=H116))&gt;0)</f>
        <v>0</v>
      </c>
      <c r="N116" s="36"/>
      <c r="P116" s="1" t="str">
        <f t="shared" si="11"/>
        <v/>
      </c>
    </row>
    <row r="117" spans="1:16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"&amp;L117,IF(AND(MAX(K$1:K116)&gt;0,N(K117)-MAX(K$1:K116)&gt;180),"⚠ Gap &gt; 3h",IF(_xlfn.LET(_xlpm.q,E117,_xlpm.tk,P117,_xlpm.ld,Log!$P$18,_xlpm.fx,IF(OR(_xlpm.ld="",_xlpm.ld="Full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"&amp;_xlpm.q,""))))&lt;&gt;"",IF(N117&lt;&gt;"","Load OK ✓ (checked)","⚠ "&amp;_xlfn.LET(_xlpm.q,E117,_xlpm.tk,P117,_xlpm.ld,Log!$P$18,_xlpm.fx,IF(OR(_xlpm.ld="",_xlpm.ld="Full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"&amp;_xlpm.q,""))))),IF(C117-I117&gt;=0.99,"next day",IF(C117-I117&gt;0.4,"12h → 24h","")))))))))))</f>
        <v/>
      </c>
      <c r="H117" s="4" t="str">
        <f t="shared" si="6"/>
        <v/>
      </c>
      <c r="I117" s="5" t="str">
        <f t="shared" si="7"/>
        <v/>
      </c>
      <c r="J117" s="6">
        <f t="shared" si="8"/>
        <v>0</v>
      </c>
      <c r="K117" s="4" t="str">
        <f t="shared" si="9"/>
        <v/>
      </c>
      <c r="L117" s="4" t="str">
        <f t="shared" si="10"/>
        <v/>
      </c>
      <c r="M117" s="4" t="b" cm="1">
        <f t="array" ref="M117">IF(H117="",FALSE,SUMPRODUCT(--(H$1:H116=H117))&gt;0)</f>
        <v>0</v>
      </c>
      <c r="N117" s="36"/>
      <c r="P117" s="1" t="str">
        <f t="shared" si="11"/>
        <v/>
      </c>
    </row>
    <row r="118" spans="1:16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"&amp;L118,IF(AND(MAX(K$1:K117)&gt;0,N(K118)-MAX(K$1:K117)&gt;180),"⚠ Gap &gt; 3h",IF(_xlfn.LET(_xlpm.q,E118,_xlpm.tk,P118,_xlpm.ld,Log!$P$18,_xlpm.fx,IF(OR(_xlpm.ld="",_xlpm.ld="Full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"&amp;_xlpm.q,""))))&lt;&gt;"",IF(N118&lt;&gt;"","Load OK ✓ (checked)","⚠ "&amp;_xlfn.LET(_xlpm.q,E118,_xlpm.tk,P118,_xlpm.ld,Log!$P$18,_xlpm.fx,IF(OR(_xlpm.ld="",_xlpm.ld="Full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"&amp;_xlpm.q,""))))),IF(C118-I118&gt;=0.99,"next day",IF(C118-I118&gt;0.4,"12h → 24h","")))))))))))</f>
        <v/>
      </c>
      <c r="H118" s="4" t="str">
        <f t="shared" si="6"/>
        <v/>
      </c>
      <c r="I118" s="5" t="str">
        <f t="shared" si="7"/>
        <v/>
      </c>
      <c r="J118" s="6">
        <f t="shared" si="8"/>
        <v>0</v>
      </c>
      <c r="K118" s="4" t="str">
        <f t="shared" si="9"/>
        <v/>
      </c>
      <c r="L118" s="4" t="str">
        <f t="shared" si="10"/>
        <v/>
      </c>
      <c r="M118" s="4" t="b" cm="1">
        <f t="array" ref="M118">IF(H118="",FALSE,SUMPRODUCT(--(H$1:H117=H118))&gt;0)</f>
        <v>0</v>
      </c>
      <c r="N118" s="36"/>
      <c r="P118" s="1" t="str">
        <f t="shared" si="11"/>
        <v/>
      </c>
    </row>
    <row r="119" spans="1:16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"&amp;L119,IF(AND(MAX(K$1:K118)&gt;0,N(K119)-MAX(K$1:K118)&gt;180),"⚠ Gap &gt; 3h",IF(_xlfn.LET(_xlpm.q,E119,_xlpm.tk,P119,_xlpm.ld,Log!$P$18,_xlpm.fx,IF(OR(_xlpm.ld="",_xlpm.ld="Full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"&amp;_xlpm.q,""))))&lt;&gt;"",IF(N119&lt;&gt;"","Load OK ✓ (checked)","⚠ "&amp;_xlfn.LET(_xlpm.q,E119,_xlpm.tk,P119,_xlpm.ld,Log!$P$18,_xlpm.fx,IF(OR(_xlpm.ld="",_xlpm.ld="Full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"&amp;_xlpm.q,""))))),IF(C119-I119&gt;=0.99,"next day",IF(C119-I119&gt;0.4,"12h → 24h","")))))))))))</f>
        <v/>
      </c>
      <c r="H119" s="4" t="str">
        <f t="shared" si="6"/>
        <v/>
      </c>
      <c r="I119" s="5" t="str">
        <f t="shared" si="7"/>
        <v/>
      </c>
      <c r="J119" s="6">
        <f t="shared" si="8"/>
        <v>0</v>
      </c>
      <c r="K119" s="4" t="str">
        <f t="shared" si="9"/>
        <v/>
      </c>
      <c r="L119" s="4" t="str">
        <f t="shared" si="10"/>
        <v/>
      </c>
      <c r="M119" s="4" t="b" cm="1">
        <f t="array" ref="M119">IF(H119="",FALSE,SUMPRODUCT(--(H$1:H118=H119))&gt;0)</f>
        <v>0</v>
      </c>
      <c r="N119" s="36"/>
      <c r="P119" s="1" t="str">
        <f t="shared" si="11"/>
        <v/>
      </c>
    </row>
    <row r="120" spans="1:16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"&amp;L120,IF(AND(MAX(K$1:K119)&gt;0,N(K120)-MAX(K$1:K119)&gt;180),"⚠ Gap &gt; 3h",IF(_xlfn.LET(_xlpm.q,E120,_xlpm.tk,P120,_xlpm.ld,Log!$P$18,_xlpm.fx,IF(OR(_xlpm.ld="",_xlpm.ld="Full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"&amp;_xlpm.q,""))))&lt;&gt;"",IF(N120&lt;&gt;"","Load OK ✓ (checked)","⚠ "&amp;_xlfn.LET(_xlpm.q,E120,_xlpm.tk,P120,_xlpm.ld,Log!$P$18,_xlpm.fx,IF(OR(_xlpm.ld="",_xlpm.ld="Full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"&amp;_xlpm.q,""))))),IF(C120-I120&gt;=0.99,"next day",IF(C120-I120&gt;0.4,"12h → 24h","")))))))))))</f>
        <v/>
      </c>
      <c r="H120" s="4" t="str">
        <f t="shared" si="6"/>
        <v/>
      </c>
      <c r="I120" s="5" t="str">
        <f t="shared" si="7"/>
        <v/>
      </c>
      <c r="J120" s="6">
        <f t="shared" si="8"/>
        <v>0</v>
      </c>
      <c r="K120" s="4" t="str">
        <f t="shared" si="9"/>
        <v/>
      </c>
      <c r="L120" s="4" t="str">
        <f t="shared" si="10"/>
        <v/>
      </c>
      <c r="M120" s="4" t="b" cm="1">
        <f t="array" ref="M120">IF(H120="",FALSE,SUMPRODUCT(--(H$1:H119=H120))&gt;0)</f>
        <v>0</v>
      </c>
      <c r="N120" s="36"/>
      <c r="P120" s="1" t="str">
        <f t="shared" si="11"/>
        <v/>
      </c>
    </row>
    <row r="121" spans="1:16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"&amp;L121,IF(AND(MAX(K$1:K120)&gt;0,N(K121)-MAX(K$1:K120)&gt;180),"⚠ Gap &gt; 3h",IF(_xlfn.LET(_xlpm.q,E121,_xlpm.tk,P121,_xlpm.ld,Log!$P$18,_xlpm.fx,IF(OR(_xlpm.ld="",_xlpm.ld="Full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"&amp;_xlpm.q,""))))&lt;&gt;"",IF(N121&lt;&gt;"","Load OK ✓ (checked)","⚠ "&amp;_xlfn.LET(_xlpm.q,E121,_xlpm.tk,P121,_xlpm.ld,Log!$P$18,_xlpm.fx,IF(OR(_xlpm.ld="",_xlpm.ld="Full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"&amp;_xlpm.q,""))))),IF(C121-I121&gt;=0.99,"next day",IF(C121-I121&gt;0.4,"12h → 24h","")))))))))))</f>
        <v/>
      </c>
      <c r="H121" s="4" t="str">
        <f t="shared" si="6"/>
        <v/>
      </c>
      <c r="I121" s="5" t="str">
        <f t="shared" si="7"/>
        <v/>
      </c>
      <c r="J121" s="6">
        <f t="shared" si="8"/>
        <v>0</v>
      </c>
      <c r="K121" s="4" t="str">
        <f t="shared" si="9"/>
        <v/>
      </c>
      <c r="L121" s="4" t="str">
        <f t="shared" si="10"/>
        <v/>
      </c>
      <c r="M121" s="4" t="b" cm="1">
        <f t="array" ref="M121">IF(H121="",FALSE,SUMPRODUCT(--(H$1:H120=H121))&gt;0)</f>
        <v>0</v>
      </c>
      <c r="N121" s="36"/>
      <c r="P121" s="1" t="str">
        <f t="shared" si="11"/>
        <v/>
      </c>
    </row>
    <row r="122" spans="1:16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"&amp;L122,IF(AND(MAX(K$1:K121)&gt;0,N(K122)-MAX(K$1:K121)&gt;180),"⚠ Gap &gt; 3h",IF(_xlfn.LET(_xlpm.q,E122,_xlpm.tk,P122,_xlpm.ld,Log!$P$18,_xlpm.fx,IF(OR(_xlpm.ld="",_xlpm.ld="Full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"&amp;_xlpm.q,""))))&lt;&gt;"",IF(N122&lt;&gt;"","Load OK ✓ (checked)","⚠ "&amp;_xlfn.LET(_xlpm.q,E122,_xlpm.tk,P122,_xlpm.ld,Log!$P$18,_xlpm.fx,IF(OR(_xlpm.ld="",_xlpm.ld="Full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"&amp;_xlpm.q,""))))),IF(C122-I122&gt;=0.99,"next day",IF(C122-I122&gt;0.4,"12h → 24h","")))))))))))</f>
        <v/>
      </c>
      <c r="H122" s="4" t="str">
        <f t="shared" si="6"/>
        <v/>
      </c>
      <c r="I122" s="5" t="str">
        <f t="shared" si="7"/>
        <v/>
      </c>
      <c r="J122" s="6">
        <f t="shared" si="8"/>
        <v>0</v>
      </c>
      <c r="K122" s="4" t="str">
        <f t="shared" si="9"/>
        <v/>
      </c>
      <c r="L122" s="4" t="str">
        <f t="shared" si="10"/>
        <v/>
      </c>
      <c r="M122" s="4" t="b" cm="1">
        <f t="array" ref="M122">IF(H122="",FALSE,SUMPRODUCT(--(H$1:H121=H122))&gt;0)</f>
        <v>0</v>
      </c>
      <c r="N122" s="36"/>
      <c r="P122" s="1" t="str">
        <f t="shared" si="11"/>
        <v/>
      </c>
    </row>
    <row r="123" spans="1:16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"&amp;L123,IF(AND(MAX(K$1:K122)&gt;0,N(K123)-MAX(K$1:K122)&gt;180),"⚠ Gap &gt; 3h",IF(_xlfn.LET(_xlpm.q,E123,_xlpm.tk,P123,_xlpm.ld,Log!$P$18,_xlpm.fx,IF(OR(_xlpm.ld="",_xlpm.ld="Full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"&amp;_xlpm.q,""))))&lt;&gt;"",IF(N123&lt;&gt;"","Load OK ✓ (checked)","⚠ "&amp;_xlfn.LET(_xlpm.q,E123,_xlpm.tk,P123,_xlpm.ld,Log!$P$18,_xlpm.fx,IF(OR(_xlpm.ld="",_xlpm.ld="Full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"&amp;_xlpm.q,""))))),IF(C123-I123&gt;=0.99,"next day",IF(C123-I123&gt;0.4,"12h → 24h","")))))))))))</f>
        <v/>
      </c>
      <c r="H123" s="4" t="str">
        <f t="shared" si="6"/>
        <v/>
      </c>
      <c r="I123" s="5" t="str">
        <f t="shared" si="7"/>
        <v/>
      </c>
      <c r="J123" s="6">
        <f t="shared" si="8"/>
        <v>0</v>
      </c>
      <c r="K123" s="4" t="str">
        <f t="shared" si="9"/>
        <v/>
      </c>
      <c r="L123" s="4" t="str">
        <f t="shared" si="10"/>
        <v/>
      </c>
      <c r="M123" s="4" t="b" cm="1">
        <f t="array" ref="M123">IF(H123="",FALSE,SUMPRODUCT(--(H$1:H122=H123))&gt;0)</f>
        <v>0</v>
      </c>
      <c r="N123" s="36"/>
      <c r="P123" s="1" t="str">
        <f t="shared" si="11"/>
        <v/>
      </c>
    </row>
    <row r="124" spans="1:16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"&amp;L124,IF(AND(MAX(K$1:K123)&gt;0,N(K124)-MAX(K$1:K123)&gt;180),"⚠ Gap &gt; 3h",IF(_xlfn.LET(_xlpm.q,E124,_xlpm.tk,P124,_xlpm.ld,Log!$P$18,_xlpm.fx,IF(OR(_xlpm.ld="",_xlpm.ld="Full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"&amp;_xlpm.q,""))))&lt;&gt;"",IF(N124&lt;&gt;"","Load OK ✓ (checked)","⚠ "&amp;_xlfn.LET(_xlpm.q,E124,_xlpm.tk,P124,_xlpm.ld,Log!$P$18,_xlpm.fx,IF(OR(_xlpm.ld="",_xlpm.ld="Full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"&amp;_xlpm.q,""))))),IF(C124-I124&gt;=0.99,"next day",IF(C124-I124&gt;0.4,"12h → 24h","")))))))))))</f>
        <v/>
      </c>
      <c r="H124" s="4" t="str">
        <f t="shared" si="6"/>
        <v/>
      </c>
      <c r="I124" s="5" t="str">
        <f t="shared" si="7"/>
        <v/>
      </c>
      <c r="J124" s="6">
        <f t="shared" si="8"/>
        <v>0</v>
      </c>
      <c r="K124" s="4" t="str">
        <f t="shared" si="9"/>
        <v/>
      </c>
      <c r="L124" s="4" t="str">
        <f t="shared" si="10"/>
        <v/>
      </c>
      <c r="M124" s="4" t="b" cm="1">
        <f t="array" ref="M124">IF(H124="",FALSE,SUMPRODUCT(--(H$1:H123=H124))&gt;0)</f>
        <v>0</v>
      </c>
      <c r="N124" s="36"/>
      <c r="P124" s="1" t="str">
        <f t="shared" si="11"/>
        <v/>
      </c>
    </row>
    <row r="125" spans="1:16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"&amp;L125,IF(AND(MAX(K$1:K124)&gt;0,N(K125)-MAX(K$1:K124)&gt;180),"⚠ Gap &gt; 3h",IF(_xlfn.LET(_xlpm.q,E125,_xlpm.tk,P125,_xlpm.ld,Log!$P$18,_xlpm.fx,IF(OR(_xlpm.ld="",_xlpm.ld="Full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"&amp;_xlpm.q,""))))&lt;&gt;"",IF(N125&lt;&gt;"","Load OK ✓ (checked)","⚠ "&amp;_xlfn.LET(_xlpm.q,E125,_xlpm.tk,P125,_xlpm.ld,Log!$P$18,_xlpm.fx,IF(OR(_xlpm.ld="",_xlpm.ld="Full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"&amp;_xlpm.q,""))))),IF(C125-I125&gt;=0.99,"next day",IF(C125-I125&gt;0.4,"12h → 24h","")))))))))))</f>
        <v/>
      </c>
      <c r="H125" s="4" t="str">
        <f t="shared" si="6"/>
        <v/>
      </c>
      <c r="I125" s="5" t="str">
        <f t="shared" si="7"/>
        <v/>
      </c>
      <c r="J125" s="6">
        <f t="shared" si="8"/>
        <v>0</v>
      </c>
      <c r="K125" s="4" t="str">
        <f t="shared" si="9"/>
        <v/>
      </c>
      <c r="L125" s="4" t="str">
        <f t="shared" si="10"/>
        <v/>
      </c>
      <c r="M125" s="4" t="b" cm="1">
        <f t="array" ref="M125">IF(H125="",FALSE,SUMPRODUCT(--(H$1:H124=H125))&gt;0)</f>
        <v>0</v>
      </c>
      <c r="N125" s="36"/>
      <c r="P125" s="1" t="str">
        <f t="shared" si="11"/>
        <v/>
      </c>
    </row>
    <row r="126" spans="1:16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"&amp;L126,IF(AND(MAX(K$1:K125)&gt;0,N(K126)-MAX(K$1:K125)&gt;180),"⚠ Gap &gt; 3h",IF(_xlfn.LET(_xlpm.q,E126,_xlpm.tk,P126,_xlpm.ld,Log!$P$18,_xlpm.fx,IF(OR(_xlpm.ld="",_xlpm.ld="Full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"&amp;_xlpm.q,""))))&lt;&gt;"",IF(N126&lt;&gt;"","Load OK ✓ (checked)","⚠ "&amp;_xlfn.LET(_xlpm.q,E126,_xlpm.tk,P126,_xlpm.ld,Log!$P$18,_xlpm.fx,IF(OR(_xlpm.ld="",_xlpm.ld="Full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"&amp;_xlpm.q,""))))),IF(C126-I126&gt;=0.99,"next day",IF(C126-I126&gt;0.4,"12h → 24h","")))))))))))</f>
        <v/>
      </c>
      <c r="H126" s="4" t="str">
        <f t="shared" si="6"/>
        <v/>
      </c>
      <c r="I126" s="5" t="str">
        <f t="shared" si="7"/>
        <v/>
      </c>
      <c r="J126" s="6">
        <f t="shared" si="8"/>
        <v>0</v>
      </c>
      <c r="K126" s="4" t="str">
        <f t="shared" si="9"/>
        <v/>
      </c>
      <c r="L126" s="4" t="str">
        <f t="shared" si="10"/>
        <v/>
      </c>
      <c r="M126" s="4" t="b" cm="1">
        <f t="array" ref="M126">IF(H126="",FALSE,SUMPRODUCT(--(H$1:H125=H126))&gt;0)</f>
        <v>0</v>
      </c>
      <c r="N126" s="36"/>
      <c r="P126" s="1" t="str">
        <f t="shared" si="11"/>
        <v/>
      </c>
    </row>
    <row r="127" spans="1:16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"&amp;L127,IF(AND(MAX(K$1:K126)&gt;0,N(K127)-MAX(K$1:K126)&gt;180),"⚠ Gap &gt; 3h",IF(_xlfn.LET(_xlpm.q,E127,_xlpm.tk,P127,_xlpm.ld,Log!$P$18,_xlpm.fx,IF(OR(_xlpm.ld="",_xlpm.ld="Full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"&amp;_xlpm.q,""))))&lt;&gt;"",IF(N127&lt;&gt;"","Load OK ✓ (checked)","⚠ "&amp;_xlfn.LET(_xlpm.q,E127,_xlpm.tk,P127,_xlpm.ld,Log!$P$18,_xlpm.fx,IF(OR(_xlpm.ld="",_xlpm.ld="Full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"&amp;_xlpm.q,""))))),IF(C127-I127&gt;=0.99,"next day",IF(C127-I127&gt;0.4,"12h → 24h","")))))))))))</f>
        <v/>
      </c>
      <c r="H127" s="4" t="str">
        <f t="shared" si="6"/>
        <v/>
      </c>
      <c r="I127" s="5" t="str">
        <f t="shared" si="7"/>
        <v/>
      </c>
      <c r="J127" s="6">
        <f t="shared" si="8"/>
        <v>0</v>
      </c>
      <c r="K127" s="4" t="str">
        <f t="shared" si="9"/>
        <v/>
      </c>
      <c r="L127" s="4" t="str">
        <f t="shared" si="10"/>
        <v/>
      </c>
      <c r="M127" s="4" t="b" cm="1">
        <f t="array" ref="M127">IF(H127="",FALSE,SUMPRODUCT(--(H$1:H126=H127))&gt;0)</f>
        <v>0</v>
      </c>
      <c r="N127" s="36"/>
      <c r="P127" s="1" t="str">
        <f t="shared" si="11"/>
        <v/>
      </c>
    </row>
    <row r="128" spans="1:16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"&amp;L128,IF(AND(MAX(K$1:K127)&gt;0,N(K128)-MAX(K$1:K127)&gt;180),"⚠ Gap &gt; 3h",IF(_xlfn.LET(_xlpm.q,E128,_xlpm.tk,P128,_xlpm.ld,Log!$P$18,_xlpm.fx,IF(OR(_xlpm.ld="",_xlpm.ld="Full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"&amp;_xlpm.q,""))))&lt;&gt;"",IF(N128&lt;&gt;"","Load OK ✓ (checked)","⚠ "&amp;_xlfn.LET(_xlpm.q,E128,_xlpm.tk,P128,_xlpm.ld,Log!$P$18,_xlpm.fx,IF(OR(_xlpm.ld="",_xlpm.ld="Full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"&amp;_xlpm.q,""))))),IF(C128-I128&gt;=0.99,"next day",IF(C128-I128&gt;0.4,"12h → 24h","")))))))))))</f>
        <v/>
      </c>
      <c r="H128" s="4" t="str">
        <f t="shared" si="6"/>
        <v/>
      </c>
      <c r="I128" s="5" t="str">
        <f t="shared" si="7"/>
        <v/>
      </c>
      <c r="J128" s="6">
        <f t="shared" si="8"/>
        <v>0</v>
      </c>
      <c r="K128" s="4" t="str">
        <f t="shared" si="9"/>
        <v/>
      </c>
      <c r="L128" s="4" t="str">
        <f t="shared" si="10"/>
        <v/>
      </c>
      <c r="M128" s="4" t="b" cm="1">
        <f t="array" ref="M128">IF(H128="",FALSE,SUMPRODUCT(--(H$1:H127=H128))&gt;0)</f>
        <v>0</v>
      </c>
      <c r="N128" s="36"/>
      <c r="P128" s="1" t="str">
        <f t="shared" si="11"/>
        <v/>
      </c>
    </row>
    <row r="129" spans="1:16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"&amp;L129,IF(AND(MAX(K$1:K128)&gt;0,N(K129)-MAX(K$1:K128)&gt;180),"⚠ Gap &gt; 3h",IF(_xlfn.LET(_xlpm.q,E129,_xlpm.tk,P129,_xlpm.ld,Log!$P$18,_xlpm.fx,IF(OR(_xlpm.ld="",_xlpm.ld="Full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"&amp;_xlpm.q,""))))&lt;&gt;"",IF(N129&lt;&gt;"","Load OK ✓ (checked)","⚠ "&amp;_xlfn.LET(_xlpm.q,E129,_xlpm.tk,P129,_xlpm.ld,Log!$P$18,_xlpm.fx,IF(OR(_xlpm.ld="",_xlpm.ld="Full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"&amp;_xlpm.q,""))))),IF(C129-I129&gt;=0.99,"next day",IF(C129-I129&gt;0.4,"12h → 24h","")))))))))))</f>
        <v/>
      </c>
      <c r="H129" s="4" t="str">
        <f t="shared" si="6"/>
        <v/>
      </c>
      <c r="I129" s="5" t="str">
        <f t="shared" si="7"/>
        <v/>
      </c>
      <c r="J129" s="6">
        <f t="shared" si="8"/>
        <v>0</v>
      </c>
      <c r="K129" s="4" t="str">
        <f t="shared" si="9"/>
        <v/>
      </c>
      <c r="L129" s="4" t="str">
        <f t="shared" si="10"/>
        <v/>
      </c>
      <c r="M129" s="4" t="b" cm="1">
        <f t="array" ref="M129">IF(H129="",FALSE,SUMPRODUCT(--(H$1:H128=H129))&gt;0)</f>
        <v>0</v>
      </c>
      <c r="N129" s="36"/>
      <c r="P129" s="1" t="str">
        <f t="shared" si="11"/>
        <v/>
      </c>
    </row>
    <row r="130" spans="1:16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"&amp;L130,IF(AND(MAX(K$1:K129)&gt;0,N(K130)-MAX(K$1:K129)&gt;180),"⚠ Gap &gt; 3h",IF(_xlfn.LET(_xlpm.q,E130,_xlpm.tk,P130,_xlpm.ld,Log!$P$18,_xlpm.fx,IF(OR(_xlpm.ld="",_xlpm.ld="Full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"&amp;_xlpm.q,""))))&lt;&gt;"",IF(N130&lt;&gt;"","Load OK ✓ (checked)","⚠ "&amp;_xlfn.LET(_xlpm.q,E130,_xlpm.tk,P130,_xlpm.ld,Log!$P$18,_xlpm.fx,IF(OR(_xlpm.ld="",_xlpm.ld="Full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"&amp;_xlpm.q,""))))),IF(C130-I130&gt;=0.99,"next day",IF(C130-I130&gt;0.4,"12h → 24h","")))))))))))</f>
        <v/>
      </c>
      <c r="H130" s="4" t="str">
        <f t="shared" ref="H130:H193" si="12">IF(B130="","",_xlfn.LET(_xlpm.t,TRIM(B130),IF(LEFT(_xlpm.t,1)="[",IFERROR(TRIM(MID(_xlpm.t,FIND(": ",_xlpm.t,FIND("]",_xlpm.t))+2,500)),_xlpm.t),_xlpm.t)))</f>
        <v/>
      </c>
      <c r="I130" s="5" t="str">
        <f t="shared" ref="I130:I193" si="13">IF(H130="","",IFERROR(TIMEVALUE(TRIM(SUBSTITUTE(SUBSTITUTE(MID(H130,SEARCH(":",H130)-2,5),".",""),"*",""))),""))</f>
        <v/>
      </c>
      <c r="J130" s="6">
        <f t="shared" ref="J130:J193" si="14">IF(OR(B130="",F130="",M130),0,IF(ISNUMBER(F130),F130,N(E130)))</f>
        <v>0</v>
      </c>
      <c r="K130" s="4" t="str">
        <f t="shared" ref="K130:K193" si="15">IF(OR(C130="",M130),"",ROUND(C130*1440,0))</f>
        <v/>
      </c>
      <c r="L130" s="4" t="str">
        <f t="shared" ref="L130:L193" si="16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  <c r="N130" s="36"/>
      <c r="P130" s="1" t="str">
        <f t="shared" ref="P130:P193" si="17">IF(OR(H130="",NOT(ISNUMBER(L130))),"",IFERROR(_xlfn.LET(_xlpm.t,TRIM(SUBSTITUTE(SUBSTITUTE(SUBSTITUTE(H130,"*",""),"_",""),"."," ")),_xlpm.s,TRIM(MID(SUBSTITUTE(_xlpm.t," ",REPT(" ",100)),101,100)),IF(AND(LEN(_xlpm.s)=3,ISNUMBER(--_xlpm.s)),--_xlpm.s,"")),""))</f>
        <v/>
      </c>
    </row>
    <row r="131" spans="1:16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"&amp;L131,IF(AND(MAX(K$1:K130)&gt;0,N(K131)-MAX(K$1:K130)&gt;180),"⚠ Gap &gt; 3h",IF(_xlfn.LET(_xlpm.q,E131,_xlpm.tk,P131,_xlpm.ld,Log!$P$18,_xlpm.fx,IF(OR(_xlpm.ld="",_xlpm.ld="Full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"&amp;_xlpm.q,""))))&lt;&gt;"",IF(N131&lt;&gt;"","Load OK ✓ (checked)","⚠ "&amp;_xlfn.LET(_xlpm.q,E131,_xlpm.tk,P131,_xlpm.ld,Log!$P$18,_xlpm.fx,IF(OR(_xlpm.ld="",_xlpm.ld="Full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"&amp;_xlpm.q,""))))),IF(C131-I131&gt;=0.99,"next day",IF(C131-I131&gt;0.4,"12h → 24h","")))))))))))</f>
        <v/>
      </c>
      <c r="H131" s="4" t="str">
        <f t="shared" si="12"/>
        <v/>
      </c>
      <c r="I131" s="5" t="str">
        <f t="shared" si="13"/>
        <v/>
      </c>
      <c r="J131" s="6">
        <f t="shared" si="14"/>
        <v>0</v>
      </c>
      <c r="K131" s="4" t="str">
        <f t="shared" si="15"/>
        <v/>
      </c>
      <c r="L131" s="4" t="str">
        <f t="shared" si="16"/>
        <v/>
      </c>
      <c r="M131" s="4" t="b" cm="1">
        <f t="array" ref="M131">IF(H131="",FALSE,SUMPRODUCT(--(H$1:H130=H131))&gt;0)</f>
        <v>0</v>
      </c>
      <c r="N131" s="36"/>
      <c r="P131" s="1" t="str">
        <f t="shared" si="17"/>
        <v/>
      </c>
    </row>
    <row r="132" spans="1:16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"&amp;L132,IF(AND(MAX(K$1:K131)&gt;0,N(K132)-MAX(K$1:K131)&gt;180),"⚠ Gap &gt; 3h",IF(_xlfn.LET(_xlpm.q,E132,_xlpm.tk,P132,_xlpm.ld,Log!$P$18,_xlpm.fx,IF(OR(_xlpm.ld="",_xlpm.ld="Full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"&amp;_xlpm.q,""))))&lt;&gt;"",IF(N132&lt;&gt;"","Load OK ✓ (checked)","⚠ "&amp;_xlfn.LET(_xlpm.q,E132,_xlpm.tk,P132,_xlpm.ld,Log!$P$18,_xlpm.fx,IF(OR(_xlpm.ld="",_xlpm.ld="Full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"&amp;_xlpm.q,""))))),IF(C132-I132&gt;=0.99,"next day",IF(C132-I132&gt;0.4,"12h → 24h","")))))))))))</f>
        <v/>
      </c>
      <c r="H132" s="4" t="str">
        <f t="shared" si="12"/>
        <v/>
      </c>
      <c r="I132" s="5" t="str">
        <f t="shared" si="13"/>
        <v/>
      </c>
      <c r="J132" s="6">
        <f t="shared" si="14"/>
        <v>0</v>
      </c>
      <c r="K132" s="4" t="str">
        <f t="shared" si="15"/>
        <v/>
      </c>
      <c r="L132" s="4" t="str">
        <f t="shared" si="16"/>
        <v/>
      </c>
      <c r="M132" s="4" t="b" cm="1">
        <f t="array" ref="M132">IF(H132="",FALSE,SUMPRODUCT(--(H$1:H131=H132))&gt;0)</f>
        <v>0</v>
      </c>
      <c r="N132" s="36"/>
      <c r="P132" s="1" t="str">
        <f t="shared" si="17"/>
        <v/>
      </c>
    </row>
    <row r="133" spans="1:16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"&amp;L133,IF(AND(MAX(K$1:K132)&gt;0,N(K133)-MAX(K$1:K132)&gt;180),"⚠ Gap &gt; 3h",IF(_xlfn.LET(_xlpm.q,E133,_xlpm.tk,P133,_xlpm.ld,Log!$P$18,_xlpm.fx,IF(OR(_xlpm.ld="",_xlpm.ld="Full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"&amp;_xlpm.q,""))))&lt;&gt;"",IF(N133&lt;&gt;"","Load OK ✓ (checked)","⚠ "&amp;_xlfn.LET(_xlpm.q,E133,_xlpm.tk,P133,_xlpm.ld,Log!$P$18,_xlpm.fx,IF(OR(_xlpm.ld="",_xlpm.ld="Full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"&amp;_xlpm.q,""))))),IF(C133-I133&gt;=0.99,"next day",IF(C133-I133&gt;0.4,"12h → 24h","")))))))))))</f>
        <v/>
      </c>
      <c r="H133" s="4" t="str">
        <f t="shared" si="12"/>
        <v/>
      </c>
      <c r="I133" s="5" t="str">
        <f t="shared" si="13"/>
        <v/>
      </c>
      <c r="J133" s="6">
        <f t="shared" si="14"/>
        <v>0</v>
      </c>
      <c r="K133" s="4" t="str">
        <f t="shared" si="15"/>
        <v/>
      </c>
      <c r="L133" s="4" t="str">
        <f t="shared" si="16"/>
        <v/>
      </c>
      <c r="M133" s="4" t="b" cm="1">
        <f t="array" ref="M133">IF(H133="",FALSE,SUMPRODUCT(--(H$1:H132=H133))&gt;0)</f>
        <v>0</v>
      </c>
      <c r="N133" s="36"/>
      <c r="P133" s="1" t="str">
        <f t="shared" si="17"/>
        <v/>
      </c>
    </row>
    <row r="134" spans="1:16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"&amp;L134,IF(AND(MAX(K$1:K133)&gt;0,N(K134)-MAX(K$1:K133)&gt;180),"⚠ Gap &gt; 3h",IF(_xlfn.LET(_xlpm.q,E134,_xlpm.tk,P134,_xlpm.ld,Log!$P$18,_xlpm.fx,IF(OR(_xlpm.ld="",_xlpm.ld="Full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"&amp;_xlpm.q,""))))&lt;&gt;"",IF(N134&lt;&gt;"","Load OK ✓ (checked)","⚠ "&amp;_xlfn.LET(_xlpm.q,E134,_xlpm.tk,P134,_xlpm.ld,Log!$P$18,_xlpm.fx,IF(OR(_xlpm.ld="",_xlpm.ld="Full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"&amp;_xlpm.q,""))))),IF(C134-I134&gt;=0.99,"next day",IF(C134-I134&gt;0.4,"12h → 24h","")))))))))))</f>
        <v/>
      </c>
      <c r="H134" s="4" t="str">
        <f t="shared" si="12"/>
        <v/>
      </c>
      <c r="I134" s="5" t="str">
        <f t="shared" si="13"/>
        <v/>
      </c>
      <c r="J134" s="6">
        <f t="shared" si="14"/>
        <v>0</v>
      </c>
      <c r="K134" s="4" t="str">
        <f t="shared" si="15"/>
        <v/>
      </c>
      <c r="L134" s="4" t="str">
        <f t="shared" si="16"/>
        <v/>
      </c>
      <c r="M134" s="4" t="b" cm="1">
        <f t="array" ref="M134">IF(H134="",FALSE,SUMPRODUCT(--(H$1:H133=H134))&gt;0)</f>
        <v>0</v>
      </c>
      <c r="N134" s="36"/>
      <c r="P134" s="1" t="str">
        <f t="shared" si="17"/>
        <v/>
      </c>
    </row>
    <row r="135" spans="1:16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"&amp;L135,IF(AND(MAX(K$1:K134)&gt;0,N(K135)-MAX(K$1:K134)&gt;180),"⚠ Gap &gt; 3h",IF(_xlfn.LET(_xlpm.q,E135,_xlpm.tk,P135,_xlpm.ld,Log!$P$18,_xlpm.fx,IF(OR(_xlpm.ld="",_xlpm.ld="Full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"&amp;_xlpm.q,""))))&lt;&gt;"",IF(N135&lt;&gt;"","Load OK ✓ (checked)","⚠ "&amp;_xlfn.LET(_xlpm.q,E135,_xlpm.tk,P135,_xlpm.ld,Log!$P$18,_xlpm.fx,IF(OR(_xlpm.ld="",_xlpm.ld="Full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"&amp;_xlpm.q,""))))),IF(C135-I135&gt;=0.99,"next day",IF(C135-I135&gt;0.4,"12h → 24h","")))))))))))</f>
        <v/>
      </c>
      <c r="H135" s="4" t="str">
        <f t="shared" si="12"/>
        <v/>
      </c>
      <c r="I135" s="5" t="str">
        <f t="shared" si="13"/>
        <v/>
      </c>
      <c r="J135" s="6">
        <f t="shared" si="14"/>
        <v>0</v>
      </c>
      <c r="K135" s="4" t="str">
        <f t="shared" si="15"/>
        <v/>
      </c>
      <c r="L135" s="4" t="str">
        <f t="shared" si="16"/>
        <v/>
      </c>
      <c r="M135" s="4" t="b" cm="1">
        <f t="array" ref="M135">IF(H135="",FALSE,SUMPRODUCT(--(H$1:H134=H135))&gt;0)</f>
        <v>0</v>
      </c>
      <c r="N135" s="36"/>
      <c r="P135" s="1" t="str">
        <f t="shared" si="17"/>
        <v/>
      </c>
    </row>
    <row r="136" spans="1:16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"&amp;L136,IF(AND(MAX(K$1:K135)&gt;0,N(K136)-MAX(K$1:K135)&gt;180),"⚠ Gap &gt; 3h",IF(_xlfn.LET(_xlpm.q,E136,_xlpm.tk,P136,_xlpm.ld,Log!$P$18,_xlpm.fx,IF(OR(_xlpm.ld="",_xlpm.ld="Full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"&amp;_xlpm.q,""))))&lt;&gt;"",IF(N136&lt;&gt;"","Load OK ✓ (checked)","⚠ "&amp;_xlfn.LET(_xlpm.q,E136,_xlpm.tk,P136,_xlpm.ld,Log!$P$18,_xlpm.fx,IF(OR(_xlpm.ld="",_xlpm.ld="Full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"&amp;_xlpm.q,""))))),IF(C136-I136&gt;=0.99,"next day",IF(C136-I136&gt;0.4,"12h → 24h","")))))))))))</f>
        <v/>
      </c>
      <c r="H136" s="4" t="str">
        <f t="shared" si="12"/>
        <v/>
      </c>
      <c r="I136" s="5" t="str">
        <f t="shared" si="13"/>
        <v/>
      </c>
      <c r="J136" s="6">
        <f t="shared" si="14"/>
        <v>0</v>
      </c>
      <c r="K136" s="4" t="str">
        <f t="shared" si="15"/>
        <v/>
      </c>
      <c r="L136" s="4" t="str">
        <f t="shared" si="16"/>
        <v/>
      </c>
      <c r="M136" s="4" t="b" cm="1">
        <f t="array" ref="M136">IF(H136="",FALSE,SUMPRODUCT(--(H$1:H135=H136))&gt;0)</f>
        <v>0</v>
      </c>
      <c r="N136" s="36"/>
      <c r="P136" s="1" t="str">
        <f t="shared" si="17"/>
        <v/>
      </c>
    </row>
    <row r="137" spans="1:16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"&amp;L137,IF(AND(MAX(K$1:K136)&gt;0,N(K137)-MAX(K$1:K136)&gt;180),"⚠ Gap &gt; 3h",IF(_xlfn.LET(_xlpm.q,E137,_xlpm.tk,P137,_xlpm.ld,Log!$P$18,_xlpm.fx,IF(OR(_xlpm.ld="",_xlpm.ld="Full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"&amp;_xlpm.q,""))))&lt;&gt;"",IF(N137&lt;&gt;"","Load OK ✓ (checked)","⚠ "&amp;_xlfn.LET(_xlpm.q,E137,_xlpm.tk,P137,_xlpm.ld,Log!$P$18,_xlpm.fx,IF(OR(_xlpm.ld="",_xlpm.ld="Full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"&amp;_xlpm.q,""))))),IF(C137-I137&gt;=0.99,"next day",IF(C137-I137&gt;0.4,"12h → 24h","")))))))))))</f>
        <v/>
      </c>
      <c r="H137" s="4" t="str">
        <f t="shared" si="12"/>
        <v/>
      </c>
      <c r="I137" s="5" t="str">
        <f t="shared" si="13"/>
        <v/>
      </c>
      <c r="J137" s="6">
        <f t="shared" si="14"/>
        <v>0</v>
      </c>
      <c r="K137" s="4" t="str">
        <f t="shared" si="15"/>
        <v/>
      </c>
      <c r="L137" s="4" t="str">
        <f t="shared" si="16"/>
        <v/>
      </c>
      <c r="M137" s="4" t="b" cm="1">
        <f t="array" ref="M137">IF(H137="",FALSE,SUMPRODUCT(--(H$1:H136=H137))&gt;0)</f>
        <v>0</v>
      </c>
      <c r="N137" s="36"/>
      <c r="P137" s="1" t="str">
        <f t="shared" si="17"/>
        <v/>
      </c>
    </row>
    <row r="138" spans="1:16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"&amp;L138,IF(AND(MAX(K$1:K137)&gt;0,N(K138)-MAX(K$1:K137)&gt;180),"⚠ Gap &gt; 3h",IF(_xlfn.LET(_xlpm.q,E138,_xlpm.tk,P138,_xlpm.ld,Log!$P$18,_xlpm.fx,IF(OR(_xlpm.ld="",_xlpm.ld="Full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"&amp;_xlpm.q,""))))&lt;&gt;"",IF(N138&lt;&gt;"","Load OK ✓ (checked)","⚠ "&amp;_xlfn.LET(_xlpm.q,E138,_xlpm.tk,P138,_xlpm.ld,Log!$P$18,_xlpm.fx,IF(OR(_xlpm.ld="",_xlpm.ld="Full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"&amp;_xlpm.q,""))))),IF(C138-I138&gt;=0.99,"next day",IF(C138-I138&gt;0.4,"12h → 24h","")))))))))))</f>
        <v/>
      </c>
      <c r="H138" s="4" t="str">
        <f t="shared" si="12"/>
        <v/>
      </c>
      <c r="I138" s="5" t="str">
        <f t="shared" si="13"/>
        <v/>
      </c>
      <c r="J138" s="6">
        <f t="shared" si="14"/>
        <v>0</v>
      </c>
      <c r="K138" s="4" t="str">
        <f t="shared" si="15"/>
        <v/>
      </c>
      <c r="L138" s="4" t="str">
        <f t="shared" si="16"/>
        <v/>
      </c>
      <c r="M138" s="4" t="b" cm="1">
        <f t="array" ref="M138">IF(H138="",FALSE,SUMPRODUCT(--(H$1:H137=H138))&gt;0)</f>
        <v>0</v>
      </c>
      <c r="N138" s="36"/>
      <c r="P138" s="1" t="str">
        <f t="shared" si="17"/>
        <v/>
      </c>
    </row>
    <row r="139" spans="1:16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"&amp;L139,IF(AND(MAX(K$1:K138)&gt;0,N(K139)-MAX(K$1:K138)&gt;180),"⚠ Gap &gt; 3h",IF(_xlfn.LET(_xlpm.q,E139,_xlpm.tk,P139,_xlpm.ld,Log!$P$18,_xlpm.fx,IF(OR(_xlpm.ld="",_xlpm.ld="Full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"&amp;_xlpm.q,""))))&lt;&gt;"",IF(N139&lt;&gt;"","Load OK ✓ (checked)","⚠ "&amp;_xlfn.LET(_xlpm.q,E139,_xlpm.tk,P139,_xlpm.ld,Log!$P$18,_xlpm.fx,IF(OR(_xlpm.ld="",_xlpm.ld="Full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"&amp;_xlpm.q,""))))),IF(C139-I139&gt;=0.99,"next day",IF(C139-I139&gt;0.4,"12h → 24h","")))))))))))</f>
        <v/>
      </c>
      <c r="H139" s="4" t="str">
        <f t="shared" si="12"/>
        <v/>
      </c>
      <c r="I139" s="5" t="str">
        <f t="shared" si="13"/>
        <v/>
      </c>
      <c r="J139" s="6">
        <f t="shared" si="14"/>
        <v>0</v>
      </c>
      <c r="K139" s="4" t="str">
        <f t="shared" si="15"/>
        <v/>
      </c>
      <c r="L139" s="4" t="str">
        <f t="shared" si="16"/>
        <v/>
      </c>
      <c r="M139" s="4" t="b" cm="1">
        <f t="array" ref="M139">IF(H139="",FALSE,SUMPRODUCT(--(H$1:H138=H139))&gt;0)</f>
        <v>0</v>
      </c>
      <c r="N139" s="36"/>
      <c r="P139" s="1" t="str">
        <f t="shared" si="17"/>
        <v/>
      </c>
    </row>
    <row r="140" spans="1:16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"&amp;L140,IF(AND(MAX(K$1:K139)&gt;0,N(K140)-MAX(K$1:K139)&gt;180),"⚠ Gap &gt; 3h",IF(_xlfn.LET(_xlpm.q,E140,_xlpm.tk,P140,_xlpm.ld,Log!$P$18,_xlpm.fx,IF(OR(_xlpm.ld="",_xlpm.ld="Full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"&amp;_xlpm.q,""))))&lt;&gt;"",IF(N140&lt;&gt;"","Load OK ✓ (checked)","⚠ "&amp;_xlfn.LET(_xlpm.q,E140,_xlpm.tk,P140,_xlpm.ld,Log!$P$18,_xlpm.fx,IF(OR(_xlpm.ld="",_xlpm.ld="Full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"&amp;_xlpm.q,""))))),IF(C140-I140&gt;=0.99,"next day",IF(C140-I140&gt;0.4,"12h → 24h","")))))))))))</f>
        <v/>
      </c>
      <c r="H140" s="4" t="str">
        <f t="shared" si="12"/>
        <v/>
      </c>
      <c r="I140" s="5" t="str">
        <f t="shared" si="13"/>
        <v/>
      </c>
      <c r="J140" s="6">
        <f t="shared" si="14"/>
        <v>0</v>
      </c>
      <c r="K140" s="4" t="str">
        <f t="shared" si="15"/>
        <v/>
      </c>
      <c r="L140" s="4" t="str">
        <f t="shared" si="16"/>
        <v/>
      </c>
      <c r="M140" s="4" t="b" cm="1">
        <f t="array" ref="M140">IF(H140="",FALSE,SUMPRODUCT(--(H$1:H139=H140))&gt;0)</f>
        <v>0</v>
      </c>
      <c r="N140" s="36"/>
      <c r="P140" s="1" t="str">
        <f t="shared" si="17"/>
        <v/>
      </c>
    </row>
    <row r="141" spans="1:16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"&amp;L141,IF(AND(MAX(K$1:K140)&gt;0,N(K141)-MAX(K$1:K140)&gt;180),"⚠ Gap &gt; 3h",IF(_xlfn.LET(_xlpm.q,E141,_xlpm.tk,P141,_xlpm.ld,Log!$P$18,_xlpm.fx,IF(OR(_xlpm.ld="",_xlpm.ld="Full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"&amp;_xlpm.q,""))))&lt;&gt;"",IF(N141&lt;&gt;"","Load OK ✓ (checked)","⚠ "&amp;_xlfn.LET(_xlpm.q,E141,_xlpm.tk,P141,_xlpm.ld,Log!$P$18,_xlpm.fx,IF(OR(_xlpm.ld="",_xlpm.ld="Full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"&amp;_xlpm.q,""))))),IF(C141-I141&gt;=0.99,"next day",IF(C141-I141&gt;0.4,"12h → 24h","")))))))))))</f>
        <v/>
      </c>
      <c r="H141" s="4" t="str">
        <f t="shared" si="12"/>
        <v/>
      </c>
      <c r="I141" s="5" t="str">
        <f t="shared" si="13"/>
        <v/>
      </c>
      <c r="J141" s="6">
        <f t="shared" si="14"/>
        <v>0</v>
      </c>
      <c r="K141" s="4" t="str">
        <f t="shared" si="15"/>
        <v/>
      </c>
      <c r="L141" s="4" t="str">
        <f t="shared" si="16"/>
        <v/>
      </c>
      <c r="M141" s="4" t="b" cm="1">
        <f t="array" ref="M141">IF(H141="",FALSE,SUMPRODUCT(--(H$1:H140=H141))&gt;0)</f>
        <v>0</v>
      </c>
      <c r="N141" s="36"/>
      <c r="P141" s="1" t="str">
        <f t="shared" si="17"/>
        <v/>
      </c>
    </row>
    <row r="142" spans="1:16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"&amp;L142,IF(AND(MAX(K$1:K141)&gt;0,N(K142)-MAX(K$1:K141)&gt;180),"⚠ Gap &gt; 3h",IF(_xlfn.LET(_xlpm.q,E142,_xlpm.tk,P142,_xlpm.ld,Log!$P$18,_xlpm.fx,IF(OR(_xlpm.ld="",_xlpm.ld="Full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"&amp;_xlpm.q,""))))&lt;&gt;"",IF(N142&lt;&gt;"","Load OK ✓ (checked)","⚠ "&amp;_xlfn.LET(_xlpm.q,E142,_xlpm.tk,P142,_xlpm.ld,Log!$P$18,_xlpm.fx,IF(OR(_xlpm.ld="",_xlpm.ld="Full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"&amp;_xlpm.q,""))))),IF(C142-I142&gt;=0.99,"next day",IF(C142-I142&gt;0.4,"12h → 24h","")))))))))))</f>
        <v/>
      </c>
      <c r="H142" s="4" t="str">
        <f t="shared" si="12"/>
        <v/>
      </c>
      <c r="I142" s="5" t="str">
        <f t="shared" si="13"/>
        <v/>
      </c>
      <c r="J142" s="6">
        <f t="shared" si="14"/>
        <v>0</v>
      </c>
      <c r="K142" s="4" t="str">
        <f t="shared" si="15"/>
        <v/>
      </c>
      <c r="L142" s="4" t="str">
        <f t="shared" si="16"/>
        <v/>
      </c>
      <c r="M142" s="4" t="b" cm="1">
        <f t="array" ref="M142">IF(H142="",FALSE,SUMPRODUCT(--(H$1:H141=H142))&gt;0)</f>
        <v>0</v>
      </c>
      <c r="N142" s="36"/>
      <c r="P142" s="1" t="str">
        <f t="shared" si="17"/>
        <v/>
      </c>
    </row>
    <row r="143" spans="1:16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"&amp;L143,IF(AND(MAX(K$1:K142)&gt;0,N(K143)-MAX(K$1:K142)&gt;180),"⚠ Gap &gt; 3h",IF(_xlfn.LET(_xlpm.q,E143,_xlpm.tk,P143,_xlpm.ld,Log!$P$18,_xlpm.fx,IF(OR(_xlpm.ld="",_xlpm.ld="Full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"&amp;_xlpm.q,""))))&lt;&gt;"",IF(N143&lt;&gt;"","Load OK ✓ (checked)","⚠ "&amp;_xlfn.LET(_xlpm.q,E143,_xlpm.tk,P143,_xlpm.ld,Log!$P$18,_xlpm.fx,IF(OR(_xlpm.ld="",_xlpm.ld="Full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"&amp;_xlpm.q,""))))),IF(C143-I143&gt;=0.99,"next day",IF(C143-I143&gt;0.4,"12h → 24h","")))))))))))</f>
        <v/>
      </c>
      <c r="H143" s="4" t="str">
        <f t="shared" si="12"/>
        <v/>
      </c>
      <c r="I143" s="5" t="str">
        <f t="shared" si="13"/>
        <v/>
      </c>
      <c r="J143" s="6">
        <f t="shared" si="14"/>
        <v>0</v>
      </c>
      <c r="K143" s="4" t="str">
        <f t="shared" si="15"/>
        <v/>
      </c>
      <c r="L143" s="4" t="str">
        <f t="shared" si="16"/>
        <v/>
      </c>
      <c r="M143" s="4" t="b" cm="1">
        <f t="array" ref="M143">IF(H143="",FALSE,SUMPRODUCT(--(H$1:H142=H143))&gt;0)</f>
        <v>0</v>
      </c>
      <c r="N143" s="36"/>
      <c r="P143" s="1" t="str">
        <f t="shared" si="17"/>
        <v/>
      </c>
    </row>
    <row r="144" spans="1:16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"&amp;L144,IF(AND(MAX(K$1:K143)&gt;0,N(K144)-MAX(K$1:K143)&gt;180),"⚠ Gap &gt; 3h",IF(_xlfn.LET(_xlpm.q,E144,_xlpm.tk,P144,_xlpm.ld,Log!$P$18,_xlpm.fx,IF(OR(_xlpm.ld="",_xlpm.ld="Full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"&amp;_xlpm.q,""))))&lt;&gt;"",IF(N144&lt;&gt;"","Load OK ✓ (checked)","⚠ "&amp;_xlfn.LET(_xlpm.q,E144,_xlpm.tk,P144,_xlpm.ld,Log!$P$18,_xlpm.fx,IF(OR(_xlpm.ld="",_xlpm.ld="Full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"&amp;_xlpm.q,""))))),IF(C144-I144&gt;=0.99,"next day",IF(C144-I144&gt;0.4,"12h → 24h","")))))))))))</f>
        <v/>
      </c>
      <c r="H144" s="4" t="str">
        <f t="shared" si="12"/>
        <v/>
      </c>
      <c r="I144" s="5" t="str">
        <f t="shared" si="13"/>
        <v/>
      </c>
      <c r="J144" s="6">
        <f t="shared" si="14"/>
        <v>0</v>
      </c>
      <c r="K144" s="4" t="str">
        <f t="shared" si="15"/>
        <v/>
      </c>
      <c r="L144" s="4" t="str">
        <f t="shared" si="16"/>
        <v/>
      </c>
      <c r="M144" s="4" t="b" cm="1">
        <f t="array" ref="M144">IF(H144="",FALSE,SUMPRODUCT(--(H$1:H143=H144))&gt;0)</f>
        <v>0</v>
      </c>
      <c r="N144" s="36"/>
      <c r="P144" s="1" t="str">
        <f t="shared" si="17"/>
        <v/>
      </c>
    </row>
    <row r="145" spans="1:16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"&amp;L145,IF(AND(MAX(K$1:K144)&gt;0,N(K145)-MAX(K$1:K144)&gt;180),"⚠ Gap &gt; 3h",IF(_xlfn.LET(_xlpm.q,E145,_xlpm.tk,P145,_xlpm.ld,Log!$P$18,_xlpm.fx,IF(OR(_xlpm.ld="",_xlpm.ld="Full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"&amp;_xlpm.q,""))))&lt;&gt;"",IF(N145&lt;&gt;"","Load OK ✓ (checked)","⚠ "&amp;_xlfn.LET(_xlpm.q,E145,_xlpm.tk,P145,_xlpm.ld,Log!$P$18,_xlpm.fx,IF(OR(_xlpm.ld="",_xlpm.ld="Full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"&amp;_xlpm.q,""))))),IF(C145-I145&gt;=0.99,"next day",IF(C145-I145&gt;0.4,"12h → 24h","")))))))))))</f>
        <v/>
      </c>
      <c r="H145" s="4" t="str">
        <f t="shared" si="12"/>
        <v/>
      </c>
      <c r="I145" s="5" t="str">
        <f t="shared" si="13"/>
        <v/>
      </c>
      <c r="J145" s="6">
        <f t="shared" si="14"/>
        <v>0</v>
      </c>
      <c r="K145" s="4" t="str">
        <f t="shared" si="15"/>
        <v/>
      </c>
      <c r="L145" s="4" t="str">
        <f t="shared" si="16"/>
        <v/>
      </c>
      <c r="M145" s="4" t="b" cm="1">
        <f t="array" ref="M145">IF(H145="",FALSE,SUMPRODUCT(--(H$1:H144=H145))&gt;0)</f>
        <v>0</v>
      </c>
      <c r="N145" s="36"/>
      <c r="P145" s="1" t="str">
        <f t="shared" si="17"/>
        <v/>
      </c>
    </row>
    <row r="146" spans="1:16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"&amp;L146,IF(AND(MAX(K$1:K145)&gt;0,N(K146)-MAX(K$1:K145)&gt;180),"⚠ Gap &gt; 3h",IF(_xlfn.LET(_xlpm.q,E146,_xlpm.tk,P146,_xlpm.ld,Log!$P$18,_xlpm.fx,IF(OR(_xlpm.ld="",_xlpm.ld="Full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"&amp;_xlpm.q,""))))&lt;&gt;"",IF(N146&lt;&gt;"","Load OK ✓ (checked)","⚠ "&amp;_xlfn.LET(_xlpm.q,E146,_xlpm.tk,P146,_xlpm.ld,Log!$P$18,_xlpm.fx,IF(OR(_xlpm.ld="",_xlpm.ld="Full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"&amp;_xlpm.q,""))))),IF(C146-I146&gt;=0.99,"next day",IF(C146-I146&gt;0.4,"12h → 24h","")))))))))))</f>
        <v/>
      </c>
      <c r="H146" s="4" t="str">
        <f t="shared" si="12"/>
        <v/>
      </c>
      <c r="I146" s="5" t="str">
        <f t="shared" si="13"/>
        <v/>
      </c>
      <c r="J146" s="6">
        <f t="shared" si="14"/>
        <v>0</v>
      </c>
      <c r="K146" s="4" t="str">
        <f t="shared" si="15"/>
        <v/>
      </c>
      <c r="L146" s="4" t="str">
        <f t="shared" si="16"/>
        <v/>
      </c>
      <c r="M146" s="4" t="b" cm="1">
        <f t="array" ref="M146">IF(H146="",FALSE,SUMPRODUCT(--(H$1:H145=H146))&gt;0)</f>
        <v>0</v>
      </c>
      <c r="N146" s="36"/>
      <c r="P146" s="1" t="str">
        <f t="shared" si="17"/>
        <v/>
      </c>
    </row>
    <row r="147" spans="1:16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"&amp;L147,IF(AND(MAX(K$1:K146)&gt;0,N(K147)-MAX(K$1:K146)&gt;180),"⚠ Gap &gt; 3h",IF(_xlfn.LET(_xlpm.q,E147,_xlpm.tk,P147,_xlpm.ld,Log!$P$18,_xlpm.fx,IF(OR(_xlpm.ld="",_xlpm.ld="Full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"&amp;_xlpm.q,""))))&lt;&gt;"",IF(N147&lt;&gt;"","Load OK ✓ (checked)","⚠ "&amp;_xlfn.LET(_xlpm.q,E147,_xlpm.tk,P147,_xlpm.ld,Log!$P$18,_xlpm.fx,IF(OR(_xlpm.ld="",_xlpm.ld="Full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"&amp;_xlpm.q,""))))),IF(C147-I147&gt;=0.99,"next day",IF(C147-I147&gt;0.4,"12h → 24h","")))))))))))</f>
        <v/>
      </c>
      <c r="H147" s="4" t="str">
        <f t="shared" si="12"/>
        <v/>
      </c>
      <c r="I147" s="5" t="str">
        <f t="shared" si="13"/>
        <v/>
      </c>
      <c r="J147" s="6">
        <f t="shared" si="14"/>
        <v>0</v>
      </c>
      <c r="K147" s="4" t="str">
        <f t="shared" si="15"/>
        <v/>
      </c>
      <c r="L147" s="4" t="str">
        <f t="shared" si="16"/>
        <v/>
      </c>
      <c r="M147" s="4" t="b" cm="1">
        <f t="array" ref="M147">IF(H147="",FALSE,SUMPRODUCT(--(H$1:H146=H147))&gt;0)</f>
        <v>0</v>
      </c>
      <c r="N147" s="36"/>
      <c r="P147" s="1" t="str">
        <f t="shared" si="17"/>
        <v/>
      </c>
    </row>
    <row r="148" spans="1:16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"&amp;L148,IF(AND(MAX(K$1:K147)&gt;0,N(K148)-MAX(K$1:K147)&gt;180),"⚠ Gap &gt; 3h",IF(_xlfn.LET(_xlpm.q,E148,_xlpm.tk,P148,_xlpm.ld,Log!$P$18,_xlpm.fx,IF(OR(_xlpm.ld="",_xlpm.ld="Full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"&amp;_xlpm.q,""))))&lt;&gt;"",IF(N148&lt;&gt;"","Load OK ✓ (checked)","⚠ "&amp;_xlfn.LET(_xlpm.q,E148,_xlpm.tk,P148,_xlpm.ld,Log!$P$18,_xlpm.fx,IF(OR(_xlpm.ld="",_xlpm.ld="Full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"&amp;_xlpm.q,""))))),IF(C148-I148&gt;=0.99,"next day",IF(C148-I148&gt;0.4,"12h → 24h","")))))))))))</f>
        <v/>
      </c>
      <c r="H148" s="4" t="str">
        <f t="shared" si="12"/>
        <v/>
      </c>
      <c r="I148" s="5" t="str">
        <f t="shared" si="13"/>
        <v/>
      </c>
      <c r="J148" s="6">
        <f t="shared" si="14"/>
        <v>0</v>
      </c>
      <c r="K148" s="4" t="str">
        <f t="shared" si="15"/>
        <v/>
      </c>
      <c r="L148" s="4" t="str">
        <f t="shared" si="16"/>
        <v/>
      </c>
      <c r="M148" s="4" t="b" cm="1">
        <f t="array" ref="M148">IF(H148="",FALSE,SUMPRODUCT(--(H$1:H147=H148))&gt;0)</f>
        <v>0</v>
      </c>
      <c r="N148" s="36"/>
      <c r="P148" s="1" t="str">
        <f t="shared" si="17"/>
        <v/>
      </c>
    </row>
    <row r="149" spans="1:16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"&amp;L149,IF(AND(MAX(K$1:K148)&gt;0,N(K149)-MAX(K$1:K148)&gt;180),"⚠ Gap &gt; 3h",IF(_xlfn.LET(_xlpm.q,E149,_xlpm.tk,P149,_xlpm.ld,Log!$P$18,_xlpm.fx,IF(OR(_xlpm.ld="",_xlpm.ld="Full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"&amp;_xlpm.q,""))))&lt;&gt;"",IF(N149&lt;&gt;"","Load OK ✓ (checked)","⚠ "&amp;_xlfn.LET(_xlpm.q,E149,_xlpm.tk,P149,_xlpm.ld,Log!$P$18,_xlpm.fx,IF(OR(_xlpm.ld="",_xlpm.ld="Full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"&amp;_xlpm.q,""))))),IF(C149-I149&gt;=0.99,"next day",IF(C149-I149&gt;0.4,"12h → 24h","")))))))))))</f>
        <v/>
      </c>
      <c r="H149" s="4" t="str">
        <f t="shared" si="12"/>
        <v/>
      </c>
      <c r="I149" s="5" t="str">
        <f t="shared" si="13"/>
        <v/>
      </c>
      <c r="J149" s="6">
        <f t="shared" si="14"/>
        <v>0</v>
      </c>
      <c r="K149" s="4" t="str">
        <f t="shared" si="15"/>
        <v/>
      </c>
      <c r="L149" s="4" t="str">
        <f t="shared" si="16"/>
        <v/>
      </c>
      <c r="M149" s="4" t="b" cm="1">
        <f t="array" ref="M149">IF(H149="",FALSE,SUMPRODUCT(--(H$1:H148=H149))&gt;0)</f>
        <v>0</v>
      </c>
      <c r="N149" s="36"/>
      <c r="P149" s="1" t="str">
        <f t="shared" si="17"/>
        <v/>
      </c>
    </row>
    <row r="150" spans="1:16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"&amp;L150,IF(AND(MAX(K$1:K149)&gt;0,N(K150)-MAX(K$1:K149)&gt;180),"⚠ Gap &gt; 3h",IF(_xlfn.LET(_xlpm.q,E150,_xlpm.tk,P150,_xlpm.ld,Log!$P$18,_xlpm.fx,IF(OR(_xlpm.ld="",_xlpm.ld="Full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"&amp;_xlpm.q,""))))&lt;&gt;"",IF(N150&lt;&gt;"","Load OK ✓ (checked)","⚠ "&amp;_xlfn.LET(_xlpm.q,E150,_xlpm.tk,P150,_xlpm.ld,Log!$P$18,_xlpm.fx,IF(OR(_xlpm.ld="",_xlpm.ld="Full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"&amp;_xlpm.q,""))))),IF(C150-I150&gt;=0.99,"next day",IF(C150-I150&gt;0.4,"12h → 24h","")))))))))))</f>
        <v/>
      </c>
      <c r="H150" s="4" t="str">
        <f t="shared" si="12"/>
        <v/>
      </c>
      <c r="I150" s="5" t="str">
        <f t="shared" si="13"/>
        <v/>
      </c>
      <c r="J150" s="6">
        <f t="shared" si="14"/>
        <v>0</v>
      </c>
      <c r="K150" s="4" t="str">
        <f t="shared" si="15"/>
        <v/>
      </c>
      <c r="L150" s="4" t="str">
        <f t="shared" si="16"/>
        <v/>
      </c>
      <c r="M150" s="4" t="b" cm="1">
        <f t="array" ref="M150">IF(H150="",FALSE,SUMPRODUCT(--(H$1:H149=H150))&gt;0)</f>
        <v>0</v>
      </c>
      <c r="N150" s="36"/>
      <c r="P150" s="1" t="str">
        <f t="shared" si="17"/>
        <v/>
      </c>
    </row>
    <row r="151" spans="1:16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"&amp;L151,IF(AND(MAX(K$1:K150)&gt;0,N(K151)-MAX(K$1:K150)&gt;180),"⚠ Gap &gt; 3h",IF(_xlfn.LET(_xlpm.q,E151,_xlpm.tk,P151,_xlpm.ld,Log!$P$18,_xlpm.fx,IF(OR(_xlpm.ld="",_xlpm.ld="Full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"&amp;_xlpm.q,""))))&lt;&gt;"",IF(N151&lt;&gt;"","Load OK ✓ (checked)","⚠ "&amp;_xlfn.LET(_xlpm.q,E151,_xlpm.tk,P151,_xlpm.ld,Log!$P$18,_xlpm.fx,IF(OR(_xlpm.ld="",_xlpm.ld="Full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"&amp;_xlpm.q,""))))),IF(C151-I151&gt;=0.99,"next day",IF(C151-I151&gt;0.4,"12h → 24h","")))))))))))</f>
        <v/>
      </c>
      <c r="H151" s="4" t="str">
        <f t="shared" si="12"/>
        <v/>
      </c>
      <c r="I151" s="5" t="str">
        <f t="shared" si="13"/>
        <v/>
      </c>
      <c r="J151" s="6">
        <f t="shared" si="14"/>
        <v>0</v>
      </c>
      <c r="K151" s="4" t="str">
        <f t="shared" si="15"/>
        <v/>
      </c>
      <c r="L151" s="4" t="str">
        <f t="shared" si="16"/>
        <v/>
      </c>
      <c r="M151" s="4" t="b" cm="1">
        <f t="array" ref="M151">IF(H151="",FALSE,SUMPRODUCT(--(H$1:H150=H151))&gt;0)</f>
        <v>0</v>
      </c>
      <c r="N151" s="36"/>
      <c r="P151" s="1" t="str">
        <f t="shared" si="17"/>
        <v/>
      </c>
    </row>
    <row r="152" spans="1:16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"&amp;L152,IF(AND(MAX(K$1:K151)&gt;0,N(K152)-MAX(K$1:K151)&gt;180),"⚠ Gap &gt; 3h",IF(_xlfn.LET(_xlpm.q,E152,_xlpm.tk,P152,_xlpm.ld,Log!$P$18,_xlpm.fx,IF(OR(_xlpm.ld="",_xlpm.ld="Full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"&amp;_xlpm.q,""))))&lt;&gt;"",IF(N152&lt;&gt;"","Load OK ✓ (checked)","⚠ "&amp;_xlfn.LET(_xlpm.q,E152,_xlpm.tk,P152,_xlpm.ld,Log!$P$18,_xlpm.fx,IF(OR(_xlpm.ld="",_xlpm.ld="Full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"&amp;_xlpm.q,""))))),IF(C152-I152&gt;=0.99,"next day",IF(C152-I152&gt;0.4,"12h → 24h","")))))))))))</f>
        <v/>
      </c>
      <c r="H152" s="4" t="str">
        <f t="shared" si="12"/>
        <v/>
      </c>
      <c r="I152" s="5" t="str">
        <f t="shared" si="13"/>
        <v/>
      </c>
      <c r="J152" s="6">
        <f t="shared" si="14"/>
        <v>0</v>
      </c>
      <c r="K152" s="4" t="str">
        <f t="shared" si="15"/>
        <v/>
      </c>
      <c r="L152" s="4" t="str">
        <f t="shared" si="16"/>
        <v/>
      </c>
      <c r="M152" s="4" t="b" cm="1">
        <f t="array" ref="M152">IF(H152="",FALSE,SUMPRODUCT(--(H$1:H151=H152))&gt;0)</f>
        <v>0</v>
      </c>
      <c r="N152" s="36"/>
      <c r="P152" s="1" t="str">
        <f t="shared" si="17"/>
        <v/>
      </c>
    </row>
    <row r="153" spans="1:16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"&amp;L153,IF(AND(MAX(K$1:K152)&gt;0,N(K153)-MAX(K$1:K152)&gt;180),"⚠ Gap &gt; 3h",IF(_xlfn.LET(_xlpm.q,E153,_xlpm.tk,P153,_xlpm.ld,Log!$P$18,_xlpm.fx,IF(OR(_xlpm.ld="",_xlpm.ld="Full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"&amp;_xlpm.q,""))))&lt;&gt;"",IF(N153&lt;&gt;"","Load OK ✓ (checked)","⚠ "&amp;_xlfn.LET(_xlpm.q,E153,_xlpm.tk,P153,_xlpm.ld,Log!$P$18,_xlpm.fx,IF(OR(_xlpm.ld="",_xlpm.ld="Full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"&amp;_xlpm.q,""))))),IF(C153-I153&gt;=0.99,"next day",IF(C153-I153&gt;0.4,"12h → 24h","")))))))))))</f>
        <v/>
      </c>
      <c r="H153" s="4" t="str">
        <f t="shared" si="12"/>
        <v/>
      </c>
      <c r="I153" s="5" t="str">
        <f t="shared" si="13"/>
        <v/>
      </c>
      <c r="J153" s="6">
        <f t="shared" si="14"/>
        <v>0</v>
      </c>
      <c r="K153" s="4" t="str">
        <f t="shared" si="15"/>
        <v/>
      </c>
      <c r="L153" s="4" t="str">
        <f t="shared" si="16"/>
        <v/>
      </c>
      <c r="M153" s="4" t="b" cm="1">
        <f t="array" ref="M153">IF(H153="",FALSE,SUMPRODUCT(--(H$1:H152=H153))&gt;0)</f>
        <v>0</v>
      </c>
      <c r="N153" s="36"/>
      <c r="P153" s="1" t="str">
        <f t="shared" si="17"/>
        <v/>
      </c>
    </row>
    <row r="154" spans="1:16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"&amp;L154,IF(AND(MAX(K$1:K153)&gt;0,N(K154)-MAX(K$1:K153)&gt;180),"⚠ Gap &gt; 3h",IF(_xlfn.LET(_xlpm.q,E154,_xlpm.tk,P154,_xlpm.ld,Log!$P$18,_xlpm.fx,IF(OR(_xlpm.ld="",_xlpm.ld="Full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"&amp;_xlpm.q,""))))&lt;&gt;"",IF(N154&lt;&gt;"","Load OK ✓ (checked)","⚠ "&amp;_xlfn.LET(_xlpm.q,E154,_xlpm.tk,P154,_xlpm.ld,Log!$P$18,_xlpm.fx,IF(OR(_xlpm.ld="",_xlpm.ld="Full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"&amp;_xlpm.q,""))))),IF(C154-I154&gt;=0.99,"next day",IF(C154-I154&gt;0.4,"12h → 24h","")))))))))))</f>
        <v/>
      </c>
      <c r="H154" s="4" t="str">
        <f t="shared" si="12"/>
        <v/>
      </c>
      <c r="I154" s="5" t="str">
        <f t="shared" si="13"/>
        <v/>
      </c>
      <c r="J154" s="6">
        <f t="shared" si="14"/>
        <v>0</v>
      </c>
      <c r="K154" s="4" t="str">
        <f t="shared" si="15"/>
        <v/>
      </c>
      <c r="L154" s="4" t="str">
        <f t="shared" si="16"/>
        <v/>
      </c>
      <c r="M154" s="4" t="b" cm="1">
        <f t="array" ref="M154">IF(H154="",FALSE,SUMPRODUCT(--(H$1:H153=H154))&gt;0)</f>
        <v>0</v>
      </c>
      <c r="N154" s="36"/>
      <c r="P154" s="1" t="str">
        <f t="shared" si="17"/>
        <v/>
      </c>
    </row>
    <row r="155" spans="1:16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"&amp;L155,IF(AND(MAX(K$1:K154)&gt;0,N(K155)-MAX(K$1:K154)&gt;180),"⚠ Gap &gt; 3h",IF(_xlfn.LET(_xlpm.q,E155,_xlpm.tk,P155,_xlpm.ld,Log!$P$18,_xlpm.fx,IF(OR(_xlpm.ld="",_xlpm.ld="Full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"&amp;_xlpm.q,""))))&lt;&gt;"",IF(N155&lt;&gt;"","Load OK ✓ (checked)","⚠ "&amp;_xlfn.LET(_xlpm.q,E155,_xlpm.tk,P155,_xlpm.ld,Log!$P$18,_xlpm.fx,IF(OR(_xlpm.ld="",_xlpm.ld="Full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"&amp;_xlpm.q,""))))),IF(C155-I155&gt;=0.99,"next day",IF(C155-I155&gt;0.4,"12h → 24h","")))))))))))</f>
        <v/>
      </c>
      <c r="H155" s="4" t="str">
        <f t="shared" si="12"/>
        <v/>
      </c>
      <c r="I155" s="5" t="str">
        <f t="shared" si="13"/>
        <v/>
      </c>
      <c r="J155" s="6">
        <f t="shared" si="14"/>
        <v>0</v>
      </c>
      <c r="K155" s="4" t="str">
        <f t="shared" si="15"/>
        <v/>
      </c>
      <c r="L155" s="4" t="str">
        <f t="shared" si="16"/>
        <v/>
      </c>
      <c r="M155" s="4" t="b" cm="1">
        <f t="array" ref="M155">IF(H155="",FALSE,SUMPRODUCT(--(H$1:H154=H155))&gt;0)</f>
        <v>0</v>
      </c>
      <c r="N155" s="36"/>
      <c r="P155" s="1" t="str">
        <f t="shared" si="17"/>
        <v/>
      </c>
    </row>
    <row r="156" spans="1:16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"&amp;L156,IF(AND(MAX(K$1:K155)&gt;0,N(K156)-MAX(K$1:K155)&gt;180),"⚠ Gap &gt; 3h",IF(_xlfn.LET(_xlpm.q,E156,_xlpm.tk,P156,_xlpm.ld,Log!$P$18,_xlpm.fx,IF(OR(_xlpm.ld="",_xlpm.ld="Full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"&amp;_xlpm.q,""))))&lt;&gt;"",IF(N156&lt;&gt;"","Load OK ✓ (checked)","⚠ "&amp;_xlfn.LET(_xlpm.q,E156,_xlpm.tk,P156,_xlpm.ld,Log!$P$18,_xlpm.fx,IF(OR(_xlpm.ld="",_xlpm.ld="Full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"&amp;_xlpm.q,""))))),IF(C156-I156&gt;=0.99,"next day",IF(C156-I156&gt;0.4,"12h → 24h","")))))))))))</f>
        <v/>
      </c>
      <c r="H156" s="4" t="str">
        <f t="shared" si="12"/>
        <v/>
      </c>
      <c r="I156" s="5" t="str">
        <f t="shared" si="13"/>
        <v/>
      </c>
      <c r="J156" s="6">
        <f t="shared" si="14"/>
        <v>0</v>
      </c>
      <c r="K156" s="4" t="str">
        <f t="shared" si="15"/>
        <v/>
      </c>
      <c r="L156" s="4" t="str">
        <f t="shared" si="16"/>
        <v/>
      </c>
      <c r="M156" s="4" t="b" cm="1">
        <f t="array" ref="M156">IF(H156="",FALSE,SUMPRODUCT(--(H$1:H155=H156))&gt;0)</f>
        <v>0</v>
      </c>
      <c r="N156" s="36"/>
      <c r="P156" s="1" t="str">
        <f t="shared" si="17"/>
        <v/>
      </c>
    </row>
    <row r="157" spans="1:16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"&amp;L157,IF(AND(MAX(K$1:K156)&gt;0,N(K157)-MAX(K$1:K156)&gt;180),"⚠ Gap &gt; 3h",IF(_xlfn.LET(_xlpm.q,E157,_xlpm.tk,P157,_xlpm.ld,Log!$P$18,_xlpm.fx,IF(OR(_xlpm.ld="",_xlpm.ld="Full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"&amp;_xlpm.q,""))))&lt;&gt;"",IF(N157&lt;&gt;"","Load OK ✓ (checked)","⚠ "&amp;_xlfn.LET(_xlpm.q,E157,_xlpm.tk,P157,_xlpm.ld,Log!$P$18,_xlpm.fx,IF(OR(_xlpm.ld="",_xlpm.ld="Full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"&amp;_xlpm.q,""))))),IF(C157-I157&gt;=0.99,"next day",IF(C157-I157&gt;0.4,"12h → 24h","")))))))))))</f>
        <v/>
      </c>
      <c r="H157" s="4" t="str">
        <f t="shared" si="12"/>
        <v/>
      </c>
      <c r="I157" s="5" t="str">
        <f t="shared" si="13"/>
        <v/>
      </c>
      <c r="J157" s="6">
        <f t="shared" si="14"/>
        <v>0</v>
      </c>
      <c r="K157" s="4" t="str">
        <f t="shared" si="15"/>
        <v/>
      </c>
      <c r="L157" s="4" t="str">
        <f t="shared" si="16"/>
        <v/>
      </c>
      <c r="M157" s="4" t="b" cm="1">
        <f t="array" ref="M157">IF(H157="",FALSE,SUMPRODUCT(--(H$1:H156=H157))&gt;0)</f>
        <v>0</v>
      </c>
      <c r="N157" s="36"/>
      <c r="P157" s="1" t="str">
        <f t="shared" si="17"/>
        <v/>
      </c>
    </row>
    <row r="158" spans="1:16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"&amp;L158,IF(AND(MAX(K$1:K157)&gt;0,N(K158)-MAX(K$1:K157)&gt;180),"⚠ Gap &gt; 3h",IF(_xlfn.LET(_xlpm.q,E158,_xlpm.tk,P158,_xlpm.ld,Log!$P$18,_xlpm.fx,IF(OR(_xlpm.ld="",_xlpm.ld="Full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"&amp;_xlpm.q,""))))&lt;&gt;"",IF(N158&lt;&gt;"","Load OK ✓ (checked)","⚠ "&amp;_xlfn.LET(_xlpm.q,E158,_xlpm.tk,P158,_xlpm.ld,Log!$P$18,_xlpm.fx,IF(OR(_xlpm.ld="",_xlpm.ld="Full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"&amp;_xlpm.q,""))))),IF(C158-I158&gt;=0.99,"next day",IF(C158-I158&gt;0.4,"12h → 24h","")))))))))))</f>
        <v/>
      </c>
      <c r="H158" s="4" t="str">
        <f t="shared" si="12"/>
        <v/>
      </c>
      <c r="I158" s="5" t="str">
        <f t="shared" si="13"/>
        <v/>
      </c>
      <c r="J158" s="6">
        <f t="shared" si="14"/>
        <v>0</v>
      </c>
      <c r="K158" s="4" t="str">
        <f t="shared" si="15"/>
        <v/>
      </c>
      <c r="L158" s="4" t="str">
        <f t="shared" si="16"/>
        <v/>
      </c>
      <c r="M158" s="4" t="b" cm="1">
        <f t="array" ref="M158">IF(H158="",FALSE,SUMPRODUCT(--(H$1:H157=H158))&gt;0)</f>
        <v>0</v>
      </c>
      <c r="N158" s="36"/>
      <c r="P158" s="1" t="str">
        <f t="shared" si="17"/>
        <v/>
      </c>
    </row>
    <row r="159" spans="1:16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"&amp;L159,IF(AND(MAX(K$1:K158)&gt;0,N(K159)-MAX(K$1:K158)&gt;180),"⚠ Gap &gt; 3h",IF(_xlfn.LET(_xlpm.q,E159,_xlpm.tk,P159,_xlpm.ld,Log!$P$18,_xlpm.fx,IF(OR(_xlpm.ld="",_xlpm.ld="Full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"&amp;_xlpm.q,""))))&lt;&gt;"",IF(N159&lt;&gt;"","Load OK ✓ (checked)","⚠ "&amp;_xlfn.LET(_xlpm.q,E159,_xlpm.tk,P159,_xlpm.ld,Log!$P$18,_xlpm.fx,IF(OR(_xlpm.ld="",_xlpm.ld="Full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"&amp;_xlpm.q,""))))),IF(C159-I159&gt;=0.99,"next day",IF(C159-I159&gt;0.4,"12h → 24h","")))))))))))</f>
        <v/>
      </c>
      <c r="H159" s="4" t="str">
        <f t="shared" si="12"/>
        <v/>
      </c>
      <c r="I159" s="5" t="str">
        <f t="shared" si="13"/>
        <v/>
      </c>
      <c r="J159" s="6">
        <f t="shared" si="14"/>
        <v>0</v>
      </c>
      <c r="K159" s="4" t="str">
        <f t="shared" si="15"/>
        <v/>
      </c>
      <c r="L159" s="4" t="str">
        <f t="shared" si="16"/>
        <v/>
      </c>
      <c r="M159" s="4" t="b" cm="1">
        <f t="array" ref="M159">IF(H159="",FALSE,SUMPRODUCT(--(H$1:H158=H159))&gt;0)</f>
        <v>0</v>
      </c>
      <c r="N159" s="36"/>
      <c r="P159" s="1" t="str">
        <f t="shared" si="17"/>
        <v/>
      </c>
    </row>
    <row r="160" spans="1:16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"&amp;L160,IF(AND(MAX(K$1:K159)&gt;0,N(K160)-MAX(K$1:K159)&gt;180),"⚠ Gap &gt; 3h",IF(_xlfn.LET(_xlpm.q,E160,_xlpm.tk,P160,_xlpm.ld,Log!$P$18,_xlpm.fx,IF(OR(_xlpm.ld="",_xlpm.ld="Full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"&amp;_xlpm.q,""))))&lt;&gt;"",IF(N160&lt;&gt;"","Load OK ✓ (checked)","⚠ "&amp;_xlfn.LET(_xlpm.q,E160,_xlpm.tk,P160,_xlpm.ld,Log!$P$18,_xlpm.fx,IF(OR(_xlpm.ld="",_xlpm.ld="Full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"&amp;_xlpm.q,""))))),IF(C160-I160&gt;=0.99,"next day",IF(C160-I160&gt;0.4,"12h → 24h","")))))))))))</f>
        <v/>
      </c>
      <c r="H160" s="4" t="str">
        <f t="shared" si="12"/>
        <v/>
      </c>
      <c r="I160" s="5" t="str">
        <f t="shared" si="13"/>
        <v/>
      </c>
      <c r="J160" s="6">
        <f t="shared" si="14"/>
        <v>0</v>
      </c>
      <c r="K160" s="4" t="str">
        <f t="shared" si="15"/>
        <v/>
      </c>
      <c r="L160" s="4" t="str">
        <f t="shared" si="16"/>
        <v/>
      </c>
      <c r="M160" s="4" t="b" cm="1">
        <f t="array" ref="M160">IF(H160="",FALSE,SUMPRODUCT(--(H$1:H159=H160))&gt;0)</f>
        <v>0</v>
      </c>
      <c r="N160" s="36"/>
      <c r="P160" s="1" t="str">
        <f t="shared" si="17"/>
        <v/>
      </c>
    </row>
    <row r="161" spans="1:16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"&amp;L161,IF(AND(MAX(K$1:K160)&gt;0,N(K161)-MAX(K$1:K160)&gt;180),"⚠ Gap &gt; 3h",IF(_xlfn.LET(_xlpm.q,E161,_xlpm.tk,P161,_xlpm.ld,Log!$P$18,_xlpm.fx,IF(OR(_xlpm.ld="",_xlpm.ld="Full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"&amp;_xlpm.q,""))))&lt;&gt;"",IF(N161&lt;&gt;"","Load OK ✓ (checked)","⚠ "&amp;_xlfn.LET(_xlpm.q,E161,_xlpm.tk,P161,_xlpm.ld,Log!$P$18,_xlpm.fx,IF(OR(_xlpm.ld="",_xlpm.ld="Full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"&amp;_xlpm.q,""))))),IF(C161-I161&gt;=0.99,"next day",IF(C161-I161&gt;0.4,"12h → 24h","")))))))))))</f>
        <v/>
      </c>
      <c r="H161" s="4" t="str">
        <f t="shared" si="12"/>
        <v/>
      </c>
      <c r="I161" s="5" t="str">
        <f t="shared" si="13"/>
        <v/>
      </c>
      <c r="J161" s="6">
        <f t="shared" si="14"/>
        <v>0</v>
      </c>
      <c r="K161" s="4" t="str">
        <f t="shared" si="15"/>
        <v/>
      </c>
      <c r="L161" s="4" t="str">
        <f t="shared" si="16"/>
        <v/>
      </c>
      <c r="M161" s="4" t="b" cm="1">
        <f t="array" ref="M161">IF(H161="",FALSE,SUMPRODUCT(--(H$1:H160=H161))&gt;0)</f>
        <v>0</v>
      </c>
      <c r="N161" s="36"/>
      <c r="P161" s="1" t="str">
        <f t="shared" si="17"/>
        <v/>
      </c>
    </row>
    <row r="162" spans="1:16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"&amp;L162,IF(AND(MAX(K$1:K161)&gt;0,N(K162)-MAX(K$1:K161)&gt;180),"⚠ Gap &gt; 3h",IF(_xlfn.LET(_xlpm.q,E162,_xlpm.tk,P162,_xlpm.ld,Log!$P$18,_xlpm.fx,IF(OR(_xlpm.ld="",_xlpm.ld="Full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"&amp;_xlpm.q,""))))&lt;&gt;"",IF(N162&lt;&gt;"","Load OK ✓ (checked)","⚠ "&amp;_xlfn.LET(_xlpm.q,E162,_xlpm.tk,P162,_xlpm.ld,Log!$P$18,_xlpm.fx,IF(OR(_xlpm.ld="",_xlpm.ld="Full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"&amp;_xlpm.q,""))))),IF(C162-I162&gt;=0.99,"next day",IF(C162-I162&gt;0.4,"12h → 24h","")))))))))))</f>
        <v/>
      </c>
      <c r="H162" s="4" t="str">
        <f t="shared" si="12"/>
        <v/>
      </c>
      <c r="I162" s="5" t="str">
        <f t="shared" si="13"/>
        <v/>
      </c>
      <c r="J162" s="6">
        <f t="shared" si="14"/>
        <v>0</v>
      </c>
      <c r="K162" s="4" t="str">
        <f t="shared" si="15"/>
        <v/>
      </c>
      <c r="L162" s="4" t="str">
        <f t="shared" si="16"/>
        <v/>
      </c>
      <c r="M162" s="4" t="b" cm="1">
        <f t="array" ref="M162">IF(H162="",FALSE,SUMPRODUCT(--(H$1:H161=H162))&gt;0)</f>
        <v>0</v>
      </c>
      <c r="N162" s="36"/>
      <c r="P162" s="1" t="str">
        <f t="shared" si="17"/>
        <v/>
      </c>
    </row>
    <row r="163" spans="1:16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"&amp;L163,IF(AND(MAX(K$1:K162)&gt;0,N(K163)-MAX(K$1:K162)&gt;180),"⚠ Gap &gt; 3h",IF(_xlfn.LET(_xlpm.q,E163,_xlpm.tk,P163,_xlpm.ld,Log!$P$18,_xlpm.fx,IF(OR(_xlpm.ld="",_xlpm.ld="Full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"&amp;_xlpm.q,""))))&lt;&gt;"",IF(N163&lt;&gt;"","Load OK ✓ (checked)","⚠ "&amp;_xlfn.LET(_xlpm.q,E163,_xlpm.tk,P163,_xlpm.ld,Log!$P$18,_xlpm.fx,IF(OR(_xlpm.ld="",_xlpm.ld="Full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"&amp;_xlpm.q,""))))),IF(C163-I163&gt;=0.99,"next day",IF(C163-I163&gt;0.4,"12h → 24h","")))))))))))</f>
        <v/>
      </c>
      <c r="H163" s="4" t="str">
        <f t="shared" si="12"/>
        <v/>
      </c>
      <c r="I163" s="5" t="str">
        <f t="shared" si="13"/>
        <v/>
      </c>
      <c r="J163" s="6">
        <f t="shared" si="14"/>
        <v>0</v>
      </c>
      <c r="K163" s="4" t="str">
        <f t="shared" si="15"/>
        <v/>
      </c>
      <c r="L163" s="4" t="str">
        <f t="shared" si="16"/>
        <v/>
      </c>
      <c r="M163" s="4" t="b" cm="1">
        <f t="array" ref="M163">IF(H163="",FALSE,SUMPRODUCT(--(H$1:H162=H163))&gt;0)</f>
        <v>0</v>
      </c>
      <c r="N163" s="36"/>
      <c r="P163" s="1" t="str">
        <f t="shared" si="17"/>
        <v/>
      </c>
    </row>
    <row r="164" spans="1:16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"&amp;L164,IF(AND(MAX(K$1:K163)&gt;0,N(K164)-MAX(K$1:K163)&gt;180),"⚠ Gap &gt; 3h",IF(_xlfn.LET(_xlpm.q,E164,_xlpm.tk,P164,_xlpm.ld,Log!$P$18,_xlpm.fx,IF(OR(_xlpm.ld="",_xlpm.ld="Full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"&amp;_xlpm.q,""))))&lt;&gt;"",IF(N164&lt;&gt;"","Load OK ✓ (checked)","⚠ "&amp;_xlfn.LET(_xlpm.q,E164,_xlpm.tk,P164,_xlpm.ld,Log!$P$18,_xlpm.fx,IF(OR(_xlpm.ld="",_xlpm.ld="Full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"&amp;_xlpm.q,""))))),IF(C164-I164&gt;=0.99,"next day",IF(C164-I164&gt;0.4,"12h → 24h","")))))))))))</f>
        <v/>
      </c>
      <c r="H164" s="4" t="str">
        <f t="shared" si="12"/>
        <v/>
      </c>
      <c r="I164" s="5" t="str">
        <f t="shared" si="13"/>
        <v/>
      </c>
      <c r="J164" s="6">
        <f t="shared" si="14"/>
        <v>0</v>
      </c>
      <c r="K164" s="4" t="str">
        <f t="shared" si="15"/>
        <v/>
      </c>
      <c r="L164" s="4" t="str">
        <f t="shared" si="16"/>
        <v/>
      </c>
      <c r="M164" s="4" t="b" cm="1">
        <f t="array" ref="M164">IF(H164="",FALSE,SUMPRODUCT(--(H$1:H163=H164))&gt;0)</f>
        <v>0</v>
      </c>
      <c r="N164" s="36"/>
      <c r="P164" s="1" t="str">
        <f t="shared" si="17"/>
        <v/>
      </c>
    </row>
    <row r="165" spans="1:16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"&amp;L165,IF(AND(MAX(K$1:K164)&gt;0,N(K165)-MAX(K$1:K164)&gt;180),"⚠ Gap &gt; 3h",IF(_xlfn.LET(_xlpm.q,E165,_xlpm.tk,P165,_xlpm.ld,Log!$P$18,_xlpm.fx,IF(OR(_xlpm.ld="",_xlpm.ld="Full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"&amp;_xlpm.q,""))))&lt;&gt;"",IF(N165&lt;&gt;"","Load OK ✓ (checked)","⚠ "&amp;_xlfn.LET(_xlpm.q,E165,_xlpm.tk,P165,_xlpm.ld,Log!$P$18,_xlpm.fx,IF(OR(_xlpm.ld="",_xlpm.ld="Full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"&amp;_xlpm.q,""))))),IF(C165-I165&gt;=0.99,"next day",IF(C165-I165&gt;0.4,"12h → 24h","")))))))))))</f>
        <v/>
      </c>
      <c r="H165" s="4" t="str">
        <f t="shared" si="12"/>
        <v/>
      </c>
      <c r="I165" s="5" t="str">
        <f t="shared" si="13"/>
        <v/>
      </c>
      <c r="J165" s="6">
        <f t="shared" si="14"/>
        <v>0</v>
      </c>
      <c r="K165" s="4" t="str">
        <f t="shared" si="15"/>
        <v/>
      </c>
      <c r="L165" s="4" t="str">
        <f t="shared" si="16"/>
        <v/>
      </c>
      <c r="M165" s="4" t="b" cm="1">
        <f t="array" ref="M165">IF(H165="",FALSE,SUMPRODUCT(--(H$1:H164=H165))&gt;0)</f>
        <v>0</v>
      </c>
      <c r="N165" s="36"/>
      <c r="P165" s="1" t="str">
        <f t="shared" si="17"/>
        <v/>
      </c>
    </row>
    <row r="166" spans="1:16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"&amp;L166,IF(AND(MAX(K$1:K165)&gt;0,N(K166)-MAX(K$1:K165)&gt;180),"⚠ Gap &gt; 3h",IF(_xlfn.LET(_xlpm.q,E166,_xlpm.tk,P166,_xlpm.ld,Log!$P$18,_xlpm.fx,IF(OR(_xlpm.ld="",_xlpm.ld="Full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"&amp;_xlpm.q,""))))&lt;&gt;"",IF(N166&lt;&gt;"","Load OK ✓ (checked)","⚠ "&amp;_xlfn.LET(_xlpm.q,E166,_xlpm.tk,P166,_xlpm.ld,Log!$P$18,_xlpm.fx,IF(OR(_xlpm.ld="",_xlpm.ld="Full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"&amp;_xlpm.q,""))))),IF(C166-I166&gt;=0.99,"next day",IF(C166-I166&gt;0.4,"12h → 24h","")))))))))))</f>
        <v/>
      </c>
      <c r="H166" s="4" t="str">
        <f t="shared" si="12"/>
        <v/>
      </c>
      <c r="I166" s="5" t="str">
        <f t="shared" si="13"/>
        <v/>
      </c>
      <c r="J166" s="6">
        <f t="shared" si="14"/>
        <v>0</v>
      </c>
      <c r="K166" s="4" t="str">
        <f t="shared" si="15"/>
        <v/>
      </c>
      <c r="L166" s="4" t="str">
        <f t="shared" si="16"/>
        <v/>
      </c>
      <c r="M166" s="4" t="b" cm="1">
        <f t="array" ref="M166">IF(H166="",FALSE,SUMPRODUCT(--(H$1:H165=H166))&gt;0)</f>
        <v>0</v>
      </c>
      <c r="N166" s="36"/>
      <c r="P166" s="1" t="str">
        <f t="shared" si="17"/>
        <v/>
      </c>
    </row>
    <row r="167" spans="1:16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"&amp;L167,IF(AND(MAX(K$1:K166)&gt;0,N(K167)-MAX(K$1:K166)&gt;180),"⚠ Gap &gt; 3h",IF(_xlfn.LET(_xlpm.q,E167,_xlpm.tk,P167,_xlpm.ld,Log!$P$18,_xlpm.fx,IF(OR(_xlpm.ld="",_xlpm.ld="Full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"&amp;_xlpm.q,""))))&lt;&gt;"",IF(N167&lt;&gt;"","Load OK ✓ (checked)","⚠ "&amp;_xlfn.LET(_xlpm.q,E167,_xlpm.tk,P167,_xlpm.ld,Log!$P$18,_xlpm.fx,IF(OR(_xlpm.ld="",_xlpm.ld="Full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"&amp;_xlpm.q,""))))),IF(C167-I167&gt;=0.99,"next day",IF(C167-I167&gt;0.4,"12h → 24h","")))))))))))</f>
        <v/>
      </c>
      <c r="H167" s="4" t="str">
        <f t="shared" si="12"/>
        <v/>
      </c>
      <c r="I167" s="5" t="str">
        <f t="shared" si="13"/>
        <v/>
      </c>
      <c r="J167" s="6">
        <f t="shared" si="14"/>
        <v>0</v>
      </c>
      <c r="K167" s="4" t="str">
        <f t="shared" si="15"/>
        <v/>
      </c>
      <c r="L167" s="4" t="str">
        <f t="shared" si="16"/>
        <v/>
      </c>
      <c r="M167" s="4" t="b" cm="1">
        <f t="array" ref="M167">IF(H167="",FALSE,SUMPRODUCT(--(H$1:H166=H167))&gt;0)</f>
        <v>0</v>
      </c>
      <c r="N167" s="36"/>
      <c r="P167" s="1" t="str">
        <f t="shared" si="17"/>
        <v/>
      </c>
    </row>
    <row r="168" spans="1:16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"&amp;L168,IF(AND(MAX(K$1:K167)&gt;0,N(K168)-MAX(K$1:K167)&gt;180),"⚠ Gap &gt; 3h",IF(_xlfn.LET(_xlpm.q,E168,_xlpm.tk,P168,_xlpm.ld,Log!$P$18,_xlpm.fx,IF(OR(_xlpm.ld="",_xlpm.ld="Full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"&amp;_xlpm.q,""))))&lt;&gt;"",IF(N168&lt;&gt;"","Load OK ✓ (checked)","⚠ "&amp;_xlfn.LET(_xlpm.q,E168,_xlpm.tk,P168,_xlpm.ld,Log!$P$18,_xlpm.fx,IF(OR(_xlpm.ld="",_xlpm.ld="Full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"&amp;_xlpm.q,""))))),IF(C168-I168&gt;=0.99,"next day",IF(C168-I168&gt;0.4,"12h → 24h","")))))))))))</f>
        <v/>
      </c>
      <c r="H168" s="4" t="str">
        <f t="shared" si="12"/>
        <v/>
      </c>
      <c r="I168" s="5" t="str">
        <f t="shared" si="13"/>
        <v/>
      </c>
      <c r="J168" s="6">
        <f t="shared" si="14"/>
        <v>0</v>
      </c>
      <c r="K168" s="4" t="str">
        <f t="shared" si="15"/>
        <v/>
      </c>
      <c r="L168" s="4" t="str">
        <f t="shared" si="16"/>
        <v/>
      </c>
      <c r="M168" s="4" t="b" cm="1">
        <f t="array" ref="M168">IF(H168="",FALSE,SUMPRODUCT(--(H$1:H167=H168))&gt;0)</f>
        <v>0</v>
      </c>
      <c r="N168" s="36"/>
      <c r="P168" s="1" t="str">
        <f t="shared" si="17"/>
        <v/>
      </c>
    </row>
    <row r="169" spans="1:16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"&amp;L169,IF(AND(MAX(K$1:K168)&gt;0,N(K169)-MAX(K$1:K168)&gt;180),"⚠ Gap &gt; 3h",IF(_xlfn.LET(_xlpm.q,E169,_xlpm.tk,P169,_xlpm.ld,Log!$P$18,_xlpm.fx,IF(OR(_xlpm.ld="",_xlpm.ld="Full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"&amp;_xlpm.q,""))))&lt;&gt;"",IF(N169&lt;&gt;"","Load OK ✓ (checked)","⚠ "&amp;_xlfn.LET(_xlpm.q,E169,_xlpm.tk,P169,_xlpm.ld,Log!$P$18,_xlpm.fx,IF(OR(_xlpm.ld="",_xlpm.ld="Full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"&amp;_xlpm.q,""))))),IF(C169-I169&gt;=0.99,"next day",IF(C169-I169&gt;0.4,"12h → 24h","")))))))))))</f>
        <v/>
      </c>
      <c r="H169" s="4" t="str">
        <f t="shared" si="12"/>
        <v/>
      </c>
      <c r="I169" s="5" t="str">
        <f t="shared" si="13"/>
        <v/>
      </c>
      <c r="J169" s="6">
        <f t="shared" si="14"/>
        <v>0</v>
      </c>
      <c r="K169" s="4" t="str">
        <f t="shared" si="15"/>
        <v/>
      </c>
      <c r="L169" s="4" t="str">
        <f t="shared" si="16"/>
        <v/>
      </c>
      <c r="M169" s="4" t="b" cm="1">
        <f t="array" ref="M169">IF(H169="",FALSE,SUMPRODUCT(--(H$1:H168=H169))&gt;0)</f>
        <v>0</v>
      </c>
      <c r="N169" s="36"/>
      <c r="P169" s="1" t="str">
        <f t="shared" si="17"/>
        <v/>
      </c>
    </row>
    <row r="170" spans="1:16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"&amp;L170,IF(AND(MAX(K$1:K169)&gt;0,N(K170)-MAX(K$1:K169)&gt;180),"⚠ Gap &gt; 3h",IF(_xlfn.LET(_xlpm.q,E170,_xlpm.tk,P170,_xlpm.ld,Log!$P$18,_xlpm.fx,IF(OR(_xlpm.ld="",_xlpm.ld="Full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"&amp;_xlpm.q,""))))&lt;&gt;"",IF(N170&lt;&gt;"","Load OK ✓ (checked)","⚠ "&amp;_xlfn.LET(_xlpm.q,E170,_xlpm.tk,P170,_xlpm.ld,Log!$P$18,_xlpm.fx,IF(OR(_xlpm.ld="",_xlpm.ld="Full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"&amp;_xlpm.q,""))))),IF(C170-I170&gt;=0.99,"next day",IF(C170-I170&gt;0.4,"12h → 24h","")))))))))))</f>
        <v/>
      </c>
      <c r="H170" s="4" t="str">
        <f t="shared" si="12"/>
        <v/>
      </c>
      <c r="I170" s="5" t="str">
        <f t="shared" si="13"/>
        <v/>
      </c>
      <c r="J170" s="6">
        <f t="shared" si="14"/>
        <v>0</v>
      </c>
      <c r="K170" s="4" t="str">
        <f t="shared" si="15"/>
        <v/>
      </c>
      <c r="L170" s="4" t="str">
        <f t="shared" si="16"/>
        <v/>
      </c>
      <c r="M170" s="4" t="b" cm="1">
        <f t="array" ref="M170">IF(H170="",FALSE,SUMPRODUCT(--(H$1:H169=H170))&gt;0)</f>
        <v>0</v>
      </c>
      <c r="N170" s="36"/>
      <c r="P170" s="1" t="str">
        <f t="shared" si="17"/>
        <v/>
      </c>
    </row>
    <row r="171" spans="1:16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"&amp;L171,IF(AND(MAX(K$1:K170)&gt;0,N(K171)-MAX(K$1:K170)&gt;180),"⚠ Gap &gt; 3h",IF(_xlfn.LET(_xlpm.q,E171,_xlpm.tk,P171,_xlpm.ld,Log!$P$18,_xlpm.fx,IF(OR(_xlpm.ld="",_xlpm.ld="Full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"&amp;_xlpm.q,""))))&lt;&gt;"",IF(N171&lt;&gt;"","Load OK ✓ (checked)","⚠ "&amp;_xlfn.LET(_xlpm.q,E171,_xlpm.tk,P171,_xlpm.ld,Log!$P$18,_xlpm.fx,IF(OR(_xlpm.ld="",_xlpm.ld="Full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"&amp;_xlpm.q,""))))),IF(C171-I171&gt;=0.99,"next day",IF(C171-I171&gt;0.4,"12h → 24h","")))))))))))</f>
        <v/>
      </c>
      <c r="H171" s="4" t="str">
        <f t="shared" si="12"/>
        <v/>
      </c>
      <c r="I171" s="5" t="str">
        <f t="shared" si="13"/>
        <v/>
      </c>
      <c r="J171" s="6">
        <f t="shared" si="14"/>
        <v>0</v>
      </c>
      <c r="K171" s="4" t="str">
        <f t="shared" si="15"/>
        <v/>
      </c>
      <c r="L171" s="4" t="str">
        <f t="shared" si="16"/>
        <v/>
      </c>
      <c r="M171" s="4" t="b" cm="1">
        <f t="array" ref="M171">IF(H171="",FALSE,SUMPRODUCT(--(H$1:H170=H171))&gt;0)</f>
        <v>0</v>
      </c>
      <c r="N171" s="36"/>
      <c r="P171" s="1" t="str">
        <f t="shared" si="17"/>
        <v/>
      </c>
    </row>
    <row r="172" spans="1:16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"&amp;L172,IF(AND(MAX(K$1:K171)&gt;0,N(K172)-MAX(K$1:K171)&gt;180),"⚠ Gap &gt; 3h",IF(_xlfn.LET(_xlpm.q,E172,_xlpm.tk,P172,_xlpm.ld,Log!$P$18,_xlpm.fx,IF(OR(_xlpm.ld="",_xlpm.ld="Full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"&amp;_xlpm.q,""))))&lt;&gt;"",IF(N172&lt;&gt;"","Load OK ✓ (checked)","⚠ "&amp;_xlfn.LET(_xlpm.q,E172,_xlpm.tk,P172,_xlpm.ld,Log!$P$18,_xlpm.fx,IF(OR(_xlpm.ld="",_xlpm.ld="Full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"&amp;_xlpm.q,""))))),IF(C172-I172&gt;=0.99,"next day",IF(C172-I172&gt;0.4,"12h → 24h","")))))))))))</f>
        <v/>
      </c>
      <c r="H172" s="4" t="str">
        <f t="shared" si="12"/>
        <v/>
      </c>
      <c r="I172" s="5" t="str">
        <f t="shared" si="13"/>
        <v/>
      </c>
      <c r="J172" s="6">
        <f t="shared" si="14"/>
        <v>0</v>
      </c>
      <c r="K172" s="4" t="str">
        <f t="shared" si="15"/>
        <v/>
      </c>
      <c r="L172" s="4" t="str">
        <f t="shared" si="16"/>
        <v/>
      </c>
      <c r="M172" s="4" t="b" cm="1">
        <f t="array" ref="M172">IF(H172="",FALSE,SUMPRODUCT(--(H$1:H171=H172))&gt;0)</f>
        <v>0</v>
      </c>
      <c r="N172" s="36"/>
      <c r="P172" s="1" t="str">
        <f t="shared" si="17"/>
        <v/>
      </c>
    </row>
    <row r="173" spans="1:16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"&amp;L173,IF(AND(MAX(K$1:K172)&gt;0,N(K173)-MAX(K$1:K172)&gt;180),"⚠ Gap &gt; 3h",IF(_xlfn.LET(_xlpm.q,E173,_xlpm.tk,P173,_xlpm.ld,Log!$P$18,_xlpm.fx,IF(OR(_xlpm.ld="",_xlpm.ld="Full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"&amp;_xlpm.q,""))))&lt;&gt;"",IF(N173&lt;&gt;"","Load OK ✓ (checked)","⚠ "&amp;_xlfn.LET(_xlpm.q,E173,_xlpm.tk,P173,_xlpm.ld,Log!$P$18,_xlpm.fx,IF(OR(_xlpm.ld="",_xlpm.ld="Full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"&amp;_xlpm.q,""))))),IF(C173-I173&gt;=0.99,"next day",IF(C173-I173&gt;0.4,"12h → 24h","")))))))))))</f>
        <v/>
      </c>
      <c r="H173" s="4" t="str">
        <f t="shared" si="12"/>
        <v/>
      </c>
      <c r="I173" s="5" t="str">
        <f t="shared" si="13"/>
        <v/>
      </c>
      <c r="J173" s="6">
        <f t="shared" si="14"/>
        <v>0</v>
      </c>
      <c r="K173" s="4" t="str">
        <f t="shared" si="15"/>
        <v/>
      </c>
      <c r="L173" s="4" t="str">
        <f t="shared" si="16"/>
        <v/>
      </c>
      <c r="M173" s="4" t="b" cm="1">
        <f t="array" ref="M173">IF(H173="",FALSE,SUMPRODUCT(--(H$1:H172=H173))&gt;0)</f>
        <v>0</v>
      </c>
      <c r="N173" s="36"/>
      <c r="P173" s="1" t="str">
        <f t="shared" si="17"/>
        <v/>
      </c>
    </row>
    <row r="174" spans="1:16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"&amp;L174,IF(AND(MAX(K$1:K173)&gt;0,N(K174)-MAX(K$1:K173)&gt;180),"⚠ Gap &gt; 3h",IF(_xlfn.LET(_xlpm.q,E174,_xlpm.tk,P174,_xlpm.ld,Log!$P$18,_xlpm.fx,IF(OR(_xlpm.ld="",_xlpm.ld="Full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"&amp;_xlpm.q,""))))&lt;&gt;"",IF(N174&lt;&gt;"","Load OK ✓ (checked)","⚠ "&amp;_xlfn.LET(_xlpm.q,E174,_xlpm.tk,P174,_xlpm.ld,Log!$P$18,_xlpm.fx,IF(OR(_xlpm.ld="",_xlpm.ld="Full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"&amp;_xlpm.q,""))))),IF(C174-I174&gt;=0.99,"next day",IF(C174-I174&gt;0.4,"12h → 24h","")))))))))))</f>
        <v/>
      </c>
      <c r="H174" s="4" t="str">
        <f t="shared" si="12"/>
        <v/>
      </c>
      <c r="I174" s="5" t="str">
        <f t="shared" si="13"/>
        <v/>
      </c>
      <c r="J174" s="6">
        <f t="shared" si="14"/>
        <v>0</v>
      </c>
      <c r="K174" s="4" t="str">
        <f t="shared" si="15"/>
        <v/>
      </c>
      <c r="L174" s="4" t="str">
        <f t="shared" si="16"/>
        <v/>
      </c>
      <c r="M174" s="4" t="b" cm="1">
        <f t="array" ref="M174">IF(H174="",FALSE,SUMPRODUCT(--(H$1:H173=H174))&gt;0)</f>
        <v>0</v>
      </c>
      <c r="N174" s="36"/>
      <c r="P174" s="1" t="str">
        <f t="shared" si="17"/>
        <v/>
      </c>
    </row>
    <row r="175" spans="1:16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"&amp;L175,IF(AND(MAX(K$1:K174)&gt;0,N(K175)-MAX(K$1:K174)&gt;180),"⚠ Gap &gt; 3h",IF(_xlfn.LET(_xlpm.q,E175,_xlpm.tk,P175,_xlpm.ld,Log!$P$18,_xlpm.fx,IF(OR(_xlpm.ld="",_xlpm.ld="Full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"&amp;_xlpm.q,""))))&lt;&gt;"",IF(N175&lt;&gt;"","Load OK ✓ (checked)","⚠ "&amp;_xlfn.LET(_xlpm.q,E175,_xlpm.tk,P175,_xlpm.ld,Log!$P$18,_xlpm.fx,IF(OR(_xlpm.ld="",_xlpm.ld="Full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"&amp;_xlpm.q,""))))),IF(C175-I175&gt;=0.99,"next day",IF(C175-I175&gt;0.4,"12h → 24h","")))))))))))</f>
        <v/>
      </c>
      <c r="H175" s="4" t="str">
        <f t="shared" si="12"/>
        <v/>
      </c>
      <c r="I175" s="5" t="str">
        <f t="shared" si="13"/>
        <v/>
      </c>
      <c r="J175" s="6">
        <f t="shared" si="14"/>
        <v>0</v>
      </c>
      <c r="K175" s="4" t="str">
        <f t="shared" si="15"/>
        <v/>
      </c>
      <c r="L175" s="4" t="str">
        <f t="shared" si="16"/>
        <v/>
      </c>
      <c r="M175" s="4" t="b" cm="1">
        <f t="array" ref="M175">IF(H175="",FALSE,SUMPRODUCT(--(H$1:H174=H175))&gt;0)</f>
        <v>0</v>
      </c>
      <c r="N175" s="36"/>
      <c r="P175" s="1" t="str">
        <f t="shared" si="17"/>
        <v/>
      </c>
    </row>
    <row r="176" spans="1:16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"&amp;L176,IF(AND(MAX(K$1:K175)&gt;0,N(K176)-MAX(K$1:K175)&gt;180),"⚠ Gap &gt; 3h",IF(_xlfn.LET(_xlpm.q,E176,_xlpm.tk,P176,_xlpm.ld,Log!$P$18,_xlpm.fx,IF(OR(_xlpm.ld="",_xlpm.ld="Full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"&amp;_xlpm.q,""))))&lt;&gt;"",IF(N176&lt;&gt;"","Load OK ✓ (checked)","⚠ "&amp;_xlfn.LET(_xlpm.q,E176,_xlpm.tk,P176,_xlpm.ld,Log!$P$18,_xlpm.fx,IF(OR(_xlpm.ld="",_xlpm.ld="Full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"&amp;_xlpm.q,""))))),IF(C176-I176&gt;=0.99,"next day",IF(C176-I176&gt;0.4,"12h → 24h","")))))))))))</f>
        <v/>
      </c>
      <c r="H176" s="4" t="str">
        <f t="shared" si="12"/>
        <v/>
      </c>
      <c r="I176" s="5" t="str">
        <f t="shared" si="13"/>
        <v/>
      </c>
      <c r="J176" s="6">
        <f t="shared" si="14"/>
        <v>0</v>
      </c>
      <c r="K176" s="4" t="str">
        <f t="shared" si="15"/>
        <v/>
      </c>
      <c r="L176" s="4" t="str">
        <f t="shared" si="16"/>
        <v/>
      </c>
      <c r="M176" s="4" t="b" cm="1">
        <f t="array" ref="M176">IF(H176="",FALSE,SUMPRODUCT(--(H$1:H175=H176))&gt;0)</f>
        <v>0</v>
      </c>
      <c r="N176" s="36"/>
      <c r="P176" s="1" t="str">
        <f t="shared" si="17"/>
        <v/>
      </c>
    </row>
    <row r="177" spans="1:16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"&amp;L177,IF(AND(MAX(K$1:K176)&gt;0,N(K177)-MAX(K$1:K176)&gt;180),"⚠ Gap &gt; 3h",IF(_xlfn.LET(_xlpm.q,E177,_xlpm.tk,P177,_xlpm.ld,Log!$P$18,_xlpm.fx,IF(OR(_xlpm.ld="",_xlpm.ld="Full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"&amp;_xlpm.q,""))))&lt;&gt;"",IF(N177&lt;&gt;"","Load OK ✓ (checked)","⚠ "&amp;_xlfn.LET(_xlpm.q,E177,_xlpm.tk,P177,_xlpm.ld,Log!$P$18,_xlpm.fx,IF(OR(_xlpm.ld="",_xlpm.ld="Full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"&amp;_xlpm.q,""))))),IF(C177-I177&gt;=0.99,"next day",IF(C177-I177&gt;0.4,"12h → 24h","")))))))))))</f>
        <v/>
      </c>
      <c r="H177" s="4" t="str">
        <f t="shared" si="12"/>
        <v/>
      </c>
      <c r="I177" s="5" t="str">
        <f t="shared" si="13"/>
        <v/>
      </c>
      <c r="J177" s="6">
        <f t="shared" si="14"/>
        <v>0</v>
      </c>
      <c r="K177" s="4" t="str">
        <f t="shared" si="15"/>
        <v/>
      </c>
      <c r="L177" s="4" t="str">
        <f t="shared" si="16"/>
        <v/>
      </c>
      <c r="M177" s="4" t="b" cm="1">
        <f t="array" ref="M177">IF(H177="",FALSE,SUMPRODUCT(--(H$1:H176=H177))&gt;0)</f>
        <v>0</v>
      </c>
      <c r="N177" s="36"/>
      <c r="P177" s="1" t="str">
        <f t="shared" si="17"/>
        <v/>
      </c>
    </row>
    <row r="178" spans="1:16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"&amp;L178,IF(AND(MAX(K$1:K177)&gt;0,N(K178)-MAX(K$1:K177)&gt;180),"⚠ Gap &gt; 3h",IF(_xlfn.LET(_xlpm.q,E178,_xlpm.tk,P178,_xlpm.ld,Log!$P$18,_xlpm.fx,IF(OR(_xlpm.ld="",_xlpm.ld="Full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"&amp;_xlpm.q,""))))&lt;&gt;"",IF(N178&lt;&gt;"","Load OK ✓ (checked)","⚠ "&amp;_xlfn.LET(_xlpm.q,E178,_xlpm.tk,P178,_xlpm.ld,Log!$P$18,_xlpm.fx,IF(OR(_xlpm.ld="",_xlpm.ld="Full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"&amp;_xlpm.q,""))))),IF(C178-I178&gt;=0.99,"next day",IF(C178-I178&gt;0.4,"12h → 24h","")))))))))))</f>
        <v/>
      </c>
      <c r="H178" s="4" t="str">
        <f t="shared" si="12"/>
        <v/>
      </c>
      <c r="I178" s="5" t="str">
        <f t="shared" si="13"/>
        <v/>
      </c>
      <c r="J178" s="6">
        <f t="shared" si="14"/>
        <v>0</v>
      </c>
      <c r="K178" s="4" t="str">
        <f t="shared" si="15"/>
        <v/>
      </c>
      <c r="L178" s="4" t="str">
        <f t="shared" si="16"/>
        <v/>
      </c>
      <c r="M178" s="4" t="b" cm="1">
        <f t="array" ref="M178">IF(H178="",FALSE,SUMPRODUCT(--(H$1:H177=H178))&gt;0)</f>
        <v>0</v>
      </c>
      <c r="N178" s="36"/>
      <c r="P178" s="1" t="str">
        <f t="shared" si="17"/>
        <v/>
      </c>
    </row>
    <row r="179" spans="1:16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"&amp;L179,IF(AND(MAX(K$1:K178)&gt;0,N(K179)-MAX(K$1:K178)&gt;180),"⚠ Gap &gt; 3h",IF(_xlfn.LET(_xlpm.q,E179,_xlpm.tk,P179,_xlpm.ld,Log!$P$18,_xlpm.fx,IF(OR(_xlpm.ld="",_xlpm.ld="Full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"&amp;_xlpm.q,""))))&lt;&gt;"",IF(N179&lt;&gt;"","Load OK ✓ (checked)","⚠ "&amp;_xlfn.LET(_xlpm.q,E179,_xlpm.tk,P179,_xlpm.ld,Log!$P$18,_xlpm.fx,IF(OR(_xlpm.ld="",_xlpm.ld="Full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"&amp;_xlpm.q,""))))),IF(C179-I179&gt;=0.99,"next day",IF(C179-I179&gt;0.4,"12h → 24h","")))))))))))</f>
        <v/>
      </c>
      <c r="H179" s="4" t="str">
        <f t="shared" si="12"/>
        <v/>
      </c>
      <c r="I179" s="5" t="str">
        <f t="shared" si="13"/>
        <v/>
      </c>
      <c r="J179" s="6">
        <f t="shared" si="14"/>
        <v>0</v>
      </c>
      <c r="K179" s="4" t="str">
        <f t="shared" si="15"/>
        <v/>
      </c>
      <c r="L179" s="4" t="str">
        <f t="shared" si="16"/>
        <v/>
      </c>
      <c r="M179" s="4" t="b" cm="1">
        <f t="array" ref="M179">IF(H179="",FALSE,SUMPRODUCT(--(H$1:H178=H179))&gt;0)</f>
        <v>0</v>
      </c>
      <c r="N179" s="36"/>
      <c r="P179" s="1" t="str">
        <f t="shared" si="17"/>
        <v/>
      </c>
    </row>
    <row r="180" spans="1:16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"&amp;L180,IF(AND(MAX(K$1:K179)&gt;0,N(K180)-MAX(K$1:K179)&gt;180),"⚠ Gap &gt; 3h",IF(_xlfn.LET(_xlpm.q,E180,_xlpm.tk,P180,_xlpm.ld,Log!$P$18,_xlpm.fx,IF(OR(_xlpm.ld="",_xlpm.ld="Full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"&amp;_xlpm.q,""))))&lt;&gt;"",IF(N180&lt;&gt;"","Load OK ✓ (checked)","⚠ "&amp;_xlfn.LET(_xlpm.q,E180,_xlpm.tk,P180,_xlpm.ld,Log!$P$18,_xlpm.fx,IF(OR(_xlpm.ld="",_xlpm.ld="Full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"&amp;_xlpm.q,""))))),IF(C180-I180&gt;=0.99,"next day",IF(C180-I180&gt;0.4,"12h → 24h","")))))))))))</f>
        <v/>
      </c>
      <c r="H180" s="4" t="str">
        <f t="shared" si="12"/>
        <v/>
      </c>
      <c r="I180" s="5" t="str">
        <f t="shared" si="13"/>
        <v/>
      </c>
      <c r="J180" s="6">
        <f t="shared" si="14"/>
        <v>0</v>
      </c>
      <c r="K180" s="4" t="str">
        <f t="shared" si="15"/>
        <v/>
      </c>
      <c r="L180" s="4" t="str">
        <f t="shared" si="16"/>
        <v/>
      </c>
      <c r="M180" s="4" t="b" cm="1">
        <f t="array" ref="M180">IF(H180="",FALSE,SUMPRODUCT(--(H$1:H179=H180))&gt;0)</f>
        <v>0</v>
      </c>
      <c r="N180" s="36"/>
      <c r="P180" s="1" t="str">
        <f t="shared" si="17"/>
        <v/>
      </c>
    </row>
    <row r="181" spans="1:16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"&amp;L181,IF(AND(MAX(K$1:K180)&gt;0,N(K181)-MAX(K$1:K180)&gt;180),"⚠ Gap &gt; 3h",IF(_xlfn.LET(_xlpm.q,E181,_xlpm.tk,P181,_xlpm.ld,Log!$P$18,_xlpm.fx,IF(OR(_xlpm.ld="",_xlpm.ld="Full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"&amp;_xlpm.q,""))))&lt;&gt;"",IF(N181&lt;&gt;"","Load OK ✓ (checked)","⚠ "&amp;_xlfn.LET(_xlpm.q,E181,_xlpm.tk,P181,_xlpm.ld,Log!$P$18,_xlpm.fx,IF(OR(_xlpm.ld="",_xlpm.ld="Full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"&amp;_xlpm.q,""))))),IF(C181-I181&gt;=0.99,"next day",IF(C181-I181&gt;0.4,"12h → 24h","")))))))))))</f>
        <v/>
      </c>
      <c r="H181" s="4" t="str">
        <f t="shared" si="12"/>
        <v/>
      </c>
      <c r="I181" s="5" t="str">
        <f t="shared" si="13"/>
        <v/>
      </c>
      <c r="J181" s="6">
        <f t="shared" si="14"/>
        <v>0</v>
      </c>
      <c r="K181" s="4" t="str">
        <f t="shared" si="15"/>
        <v/>
      </c>
      <c r="L181" s="4" t="str">
        <f t="shared" si="16"/>
        <v/>
      </c>
      <c r="M181" s="4" t="b" cm="1">
        <f t="array" ref="M181">IF(H181="",FALSE,SUMPRODUCT(--(H$1:H180=H181))&gt;0)</f>
        <v>0</v>
      </c>
      <c r="N181" s="36"/>
      <c r="P181" s="1" t="str">
        <f t="shared" si="17"/>
        <v/>
      </c>
    </row>
    <row r="182" spans="1:16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"&amp;L182,IF(AND(MAX(K$1:K181)&gt;0,N(K182)-MAX(K$1:K181)&gt;180),"⚠ Gap &gt; 3h",IF(_xlfn.LET(_xlpm.q,E182,_xlpm.tk,P182,_xlpm.ld,Log!$P$18,_xlpm.fx,IF(OR(_xlpm.ld="",_xlpm.ld="Full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"&amp;_xlpm.q,""))))&lt;&gt;"",IF(N182&lt;&gt;"","Load OK ✓ (checked)","⚠ "&amp;_xlfn.LET(_xlpm.q,E182,_xlpm.tk,P182,_xlpm.ld,Log!$P$18,_xlpm.fx,IF(OR(_xlpm.ld="",_xlpm.ld="Full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"&amp;_xlpm.q,""))))),IF(C182-I182&gt;=0.99,"next day",IF(C182-I182&gt;0.4,"12h → 24h","")))))))))))</f>
        <v/>
      </c>
      <c r="H182" s="4" t="str">
        <f t="shared" si="12"/>
        <v/>
      </c>
      <c r="I182" s="5" t="str">
        <f t="shared" si="13"/>
        <v/>
      </c>
      <c r="J182" s="6">
        <f t="shared" si="14"/>
        <v>0</v>
      </c>
      <c r="K182" s="4" t="str">
        <f t="shared" si="15"/>
        <v/>
      </c>
      <c r="L182" s="4" t="str">
        <f t="shared" si="16"/>
        <v/>
      </c>
      <c r="M182" s="4" t="b" cm="1">
        <f t="array" ref="M182">IF(H182="",FALSE,SUMPRODUCT(--(H$1:H181=H182))&gt;0)</f>
        <v>0</v>
      </c>
      <c r="N182" s="36"/>
      <c r="P182" s="1" t="str">
        <f t="shared" si="17"/>
        <v/>
      </c>
    </row>
    <row r="183" spans="1:16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"&amp;L183,IF(AND(MAX(K$1:K182)&gt;0,N(K183)-MAX(K$1:K182)&gt;180),"⚠ Gap &gt; 3h",IF(_xlfn.LET(_xlpm.q,E183,_xlpm.tk,P183,_xlpm.ld,Log!$P$18,_xlpm.fx,IF(OR(_xlpm.ld="",_xlpm.ld="Full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"&amp;_xlpm.q,""))))&lt;&gt;"",IF(N183&lt;&gt;"","Load OK ✓ (checked)","⚠ "&amp;_xlfn.LET(_xlpm.q,E183,_xlpm.tk,P183,_xlpm.ld,Log!$P$18,_xlpm.fx,IF(OR(_xlpm.ld="",_xlpm.ld="Full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"&amp;_xlpm.q,""))))),IF(C183-I183&gt;=0.99,"next day",IF(C183-I183&gt;0.4,"12h → 24h","")))))))))))</f>
        <v/>
      </c>
      <c r="H183" s="4" t="str">
        <f t="shared" si="12"/>
        <v/>
      </c>
      <c r="I183" s="5" t="str">
        <f t="shared" si="13"/>
        <v/>
      </c>
      <c r="J183" s="6">
        <f t="shared" si="14"/>
        <v>0</v>
      </c>
      <c r="K183" s="4" t="str">
        <f t="shared" si="15"/>
        <v/>
      </c>
      <c r="L183" s="4" t="str">
        <f t="shared" si="16"/>
        <v/>
      </c>
      <c r="M183" s="4" t="b" cm="1">
        <f t="array" ref="M183">IF(H183="",FALSE,SUMPRODUCT(--(H$1:H182=H183))&gt;0)</f>
        <v>0</v>
      </c>
      <c r="N183" s="36"/>
      <c r="P183" s="1" t="str">
        <f t="shared" si="17"/>
        <v/>
      </c>
    </row>
    <row r="184" spans="1:16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"&amp;L184,IF(AND(MAX(K$1:K183)&gt;0,N(K184)-MAX(K$1:K183)&gt;180),"⚠ Gap &gt; 3h",IF(_xlfn.LET(_xlpm.q,E184,_xlpm.tk,P184,_xlpm.ld,Log!$P$18,_xlpm.fx,IF(OR(_xlpm.ld="",_xlpm.ld="Full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"&amp;_xlpm.q,""))))&lt;&gt;"",IF(N184&lt;&gt;"","Load OK ✓ (checked)","⚠ "&amp;_xlfn.LET(_xlpm.q,E184,_xlpm.tk,P184,_xlpm.ld,Log!$P$18,_xlpm.fx,IF(OR(_xlpm.ld="",_xlpm.ld="Full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"&amp;_xlpm.q,""))))),IF(C184-I184&gt;=0.99,"next day",IF(C184-I184&gt;0.4,"12h → 24h","")))))))))))</f>
        <v/>
      </c>
      <c r="H184" s="4" t="str">
        <f t="shared" si="12"/>
        <v/>
      </c>
      <c r="I184" s="5" t="str">
        <f t="shared" si="13"/>
        <v/>
      </c>
      <c r="J184" s="6">
        <f t="shared" si="14"/>
        <v>0</v>
      </c>
      <c r="K184" s="4" t="str">
        <f t="shared" si="15"/>
        <v/>
      </c>
      <c r="L184" s="4" t="str">
        <f t="shared" si="16"/>
        <v/>
      </c>
      <c r="M184" s="4" t="b" cm="1">
        <f t="array" ref="M184">IF(H184="",FALSE,SUMPRODUCT(--(H$1:H183=H184))&gt;0)</f>
        <v>0</v>
      </c>
      <c r="N184" s="36"/>
      <c r="P184" s="1" t="str">
        <f t="shared" si="17"/>
        <v/>
      </c>
    </row>
    <row r="185" spans="1:16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"&amp;L185,IF(AND(MAX(K$1:K184)&gt;0,N(K185)-MAX(K$1:K184)&gt;180),"⚠ Gap &gt; 3h",IF(_xlfn.LET(_xlpm.q,E185,_xlpm.tk,P185,_xlpm.ld,Log!$P$18,_xlpm.fx,IF(OR(_xlpm.ld="",_xlpm.ld="Full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"&amp;_xlpm.q,""))))&lt;&gt;"",IF(N185&lt;&gt;"","Load OK ✓ (checked)","⚠ "&amp;_xlfn.LET(_xlpm.q,E185,_xlpm.tk,P185,_xlpm.ld,Log!$P$18,_xlpm.fx,IF(OR(_xlpm.ld="",_xlpm.ld="Full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"&amp;_xlpm.q,""))))),IF(C185-I185&gt;=0.99,"next day",IF(C185-I185&gt;0.4,"12h → 24h","")))))))))))</f>
        <v/>
      </c>
      <c r="H185" s="4" t="str">
        <f t="shared" si="12"/>
        <v/>
      </c>
      <c r="I185" s="5" t="str">
        <f t="shared" si="13"/>
        <v/>
      </c>
      <c r="J185" s="6">
        <f t="shared" si="14"/>
        <v>0</v>
      </c>
      <c r="K185" s="4" t="str">
        <f t="shared" si="15"/>
        <v/>
      </c>
      <c r="L185" s="4" t="str">
        <f t="shared" si="16"/>
        <v/>
      </c>
      <c r="M185" s="4" t="b" cm="1">
        <f t="array" ref="M185">IF(H185="",FALSE,SUMPRODUCT(--(H$1:H184=H185))&gt;0)</f>
        <v>0</v>
      </c>
      <c r="N185" s="36"/>
      <c r="P185" s="1" t="str">
        <f t="shared" si="17"/>
        <v/>
      </c>
    </row>
    <row r="186" spans="1:16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"&amp;L186,IF(AND(MAX(K$1:K185)&gt;0,N(K186)-MAX(K$1:K185)&gt;180),"⚠ Gap &gt; 3h",IF(_xlfn.LET(_xlpm.q,E186,_xlpm.tk,P186,_xlpm.ld,Log!$P$18,_xlpm.fx,IF(OR(_xlpm.ld="",_xlpm.ld="Full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"&amp;_xlpm.q,""))))&lt;&gt;"",IF(N186&lt;&gt;"","Load OK ✓ (checked)","⚠ "&amp;_xlfn.LET(_xlpm.q,E186,_xlpm.tk,P186,_xlpm.ld,Log!$P$18,_xlpm.fx,IF(OR(_xlpm.ld="",_xlpm.ld="Full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"&amp;_xlpm.q,""))))),IF(C186-I186&gt;=0.99,"next day",IF(C186-I186&gt;0.4,"12h → 24h","")))))))))))</f>
        <v/>
      </c>
      <c r="H186" s="4" t="str">
        <f t="shared" si="12"/>
        <v/>
      </c>
      <c r="I186" s="5" t="str">
        <f t="shared" si="13"/>
        <v/>
      </c>
      <c r="J186" s="6">
        <f t="shared" si="14"/>
        <v>0</v>
      </c>
      <c r="K186" s="4" t="str">
        <f t="shared" si="15"/>
        <v/>
      </c>
      <c r="L186" s="4" t="str">
        <f t="shared" si="16"/>
        <v/>
      </c>
      <c r="M186" s="4" t="b" cm="1">
        <f t="array" ref="M186">IF(H186="",FALSE,SUMPRODUCT(--(H$1:H185=H186))&gt;0)</f>
        <v>0</v>
      </c>
      <c r="N186" s="36"/>
      <c r="P186" s="1" t="str">
        <f t="shared" si="17"/>
        <v/>
      </c>
    </row>
    <row r="187" spans="1:16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"&amp;L187,IF(AND(MAX(K$1:K186)&gt;0,N(K187)-MAX(K$1:K186)&gt;180),"⚠ Gap &gt; 3h",IF(_xlfn.LET(_xlpm.q,E187,_xlpm.tk,P187,_xlpm.ld,Log!$P$18,_xlpm.fx,IF(OR(_xlpm.ld="",_xlpm.ld="Full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"&amp;_xlpm.q,""))))&lt;&gt;"",IF(N187&lt;&gt;"","Load OK ✓ (checked)","⚠ "&amp;_xlfn.LET(_xlpm.q,E187,_xlpm.tk,P187,_xlpm.ld,Log!$P$18,_xlpm.fx,IF(OR(_xlpm.ld="",_xlpm.ld="Full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"&amp;_xlpm.q,""))))),IF(C187-I187&gt;=0.99,"next day",IF(C187-I187&gt;0.4,"12h → 24h","")))))))))))</f>
        <v/>
      </c>
      <c r="H187" s="4" t="str">
        <f t="shared" si="12"/>
        <v/>
      </c>
      <c r="I187" s="5" t="str">
        <f t="shared" si="13"/>
        <v/>
      </c>
      <c r="J187" s="6">
        <f t="shared" si="14"/>
        <v>0</v>
      </c>
      <c r="K187" s="4" t="str">
        <f t="shared" si="15"/>
        <v/>
      </c>
      <c r="L187" s="4" t="str">
        <f t="shared" si="16"/>
        <v/>
      </c>
      <c r="M187" s="4" t="b" cm="1">
        <f t="array" ref="M187">IF(H187="",FALSE,SUMPRODUCT(--(H$1:H186=H187))&gt;0)</f>
        <v>0</v>
      </c>
      <c r="N187" s="36"/>
      <c r="P187" s="1" t="str">
        <f t="shared" si="17"/>
        <v/>
      </c>
    </row>
    <row r="188" spans="1:16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"&amp;L188,IF(AND(MAX(K$1:K187)&gt;0,N(K188)-MAX(K$1:K187)&gt;180),"⚠ Gap &gt; 3h",IF(_xlfn.LET(_xlpm.q,E188,_xlpm.tk,P188,_xlpm.ld,Log!$P$18,_xlpm.fx,IF(OR(_xlpm.ld="",_xlpm.ld="Full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"&amp;_xlpm.q,""))))&lt;&gt;"",IF(N188&lt;&gt;"","Load OK ✓ (checked)","⚠ "&amp;_xlfn.LET(_xlpm.q,E188,_xlpm.tk,P188,_xlpm.ld,Log!$P$18,_xlpm.fx,IF(OR(_xlpm.ld="",_xlpm.ld="Full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"&amp;_xlpm.q,""))))),IF(C188-I188&gt;=0.99,"next day",IF(C188-I188&gt;0.4,"12h → 24h","")))))))))))</f>
        <v/>
      </c>
      <c r="H188" s="4" t="str">
        <f t="shared" si="12"/>
        <v/>
      </c>
      <c r="I188" s="5" t="str">
        <f t="shared" si="13"/>
        <v/>
      </c>
      <c r="J188" s="6">
        <f t="shared" si="14"/>
        <v>0</v>
      </c>
      <c r="K188" s="4" t="str">
        <f t="shared" si="15"/>
        <v/>
      </c>
      <c r="L188" s="4" t="str">
        <f t="shared" si="16"/>
        <v/>
      </c>
      <c r="M188" s="4" t="b" cm="1">
        <f t="array" ref="M188">IF(H188="",FALSE,SUMPRODUCT(--(H$1:H187=H188))&gt;0)</f>
        <v>0</v>
      </c>
      <c r="N188" s="36"/>
      <c r="P188" s="1" t="str">
        <f t="shared" si="17"/>
        <v/>
      </c>
    </row>
    <row r="189" spans="1:16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"&amp;L189,IF(AND(MAX(K$1:K188)&gt;0,N(K189)-MAX(K$1:K188)&gt;180),"⚠ Gap &gt; 3h",IF(_xlfn.LET(_xlpm.q,E189,_xlpm.tk,P189,_xlpm.ld,Log!$P$18,_xlpm.fx,IF(OR(_xlpm.ld="",_xlpm.ld="Full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"&amp;_xlpm.q,""))))&lt;&gt;"",IF(N189&lt;&gt;"","Load OK ✓ (checked)","⚠ "&amp;_xlfn.LET(_xlpm.q,E189,_xlpm.tk,P189,_xlpm.ld,Log!$P$18,_xlpm.fx,IF(OR(_xlpm.ld="",_xlpm.ld="Full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"&amp;_xlpm.q,""))))),IF(C189-I189&gt;=0.99,"next day",IF(C189-I189&gt;0.4,"12h → 24h","")))))))))))</f>
        <v/>
      </c>
      <c r="H189" s="4" t="str">
        <f t="shared" si="12"/>
        <v/>
      </c>
      <c r="I189" s="5" t="str">
        <f t="shared" si="13"/>
        <v/>
      </c>
      <c r="J189" s="6">
        <f t="shared" si="14"/>
        <v>0</v>
      </c>
      <c r="K189" s="4" t="str">
        <f t="shared" si="15"/>
        <v/>
      </c>
      <c r="L189" s="4" t="str">
        <f t="shared" si="16"/>
        <v/>
      </c>
      <c r="M189" s="4" t="b" cm="1">
        <f t="array" ref="M189">IF(H189="",FALSE,SUMPRODUCT(--(H$1:H188=H189))&gt;0)</f>
        <v>0</v>
      </c>
      <c r="N189" s="36"/>
      <c r="P189" s="1" t="str">
        <f t="shared" si="17"/>
        <v/>
      </c>
    </row>
    <row r="190" spans="1:16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"&amp;L190,IF(AND(MAX(K$1:K189)&gt;0,N(K190)-MAX(K$1:K189)&gt;180),"⚠ Gap &gt; 3h",IF(_xlfn.LET(_xlpm.q,E190,_xlpm.tk,P190,_xlpm.ld,Log!$P$18,_xlpm.fx,IF(OR(_xlpm.ld="",_xlpm.ld="Full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"&amp;_xlpm.q,""))))&lt;&gt;"",IF(N190&lt;&gt;"","Load OK ✓ (checked)","⚠ "&amp;_xlfn.LET(_xlpm.q,E190,_xlpm.tk,P190,_xlpm.ld,Log!$P$18,_xlpm.fx,IF(OR(_xlpm.ld="",_xlpm.ld="Full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"&amp;_xlpm.q,""))))),IF(C190-I190&gt;=0.99,"next day",IF(C190-I190&gt;0.4,"12h → 24h","")))))))))))</f>
        <v/>
      </c>
      <c r="H190" s="4" t="str">
        <f t="shared" si="12"/>
        <v/>
      </c>
      <c r="I190" s="5" t="str">
        <f t="shared" si="13"/>
        <v/>
      </c>
      <c r="J190" s="6">
        <f t="shared" si="14"/>
        <v>0</v>
      </c>
      <c r="K190" s="4" t="str">
        <f t="shared" si="15"/>
        <v/>
      </c>
      <c r="L190" s="4" t="str">
        <f t="shared" si="16"/>
        <v/>
      </c>
      <c r="M190" s="4" t="b" cm="1">
        <f t="array" ref="M190">IF(H190="",FALSE,SUMPRODUCT(--(H$1:H189=H190))&gt;0)</f>
        <v>0</v>
      </c>
      <c r="N190" s="36"/>
      <c r="P190" s="1" t="str">
        <f t="shared" si="17"/>
        <v/>
      </c>
    </row>
    <row r="191" spans="1:16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"&amp;L191,IF(AND(MAX(K$1:K190)&gt;0,N(K191)-MAX(K$1:K190)&gt;180),"⚠ Gap &gt; 3h",IF(_xlfn.LET(_xlpm.q,E191,_xlpm.tk,P191,_xlpm.ld,Log!$P$18,_xlpm.fx,IF(OR(_xlpm.ld="",_xlpm.ld="Full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"&amp;_xlpm.q,""))))&lt;&gt;"",IF(N191&lt;&gt;"","Load OK ✓ (checked)","⚠ "&amp;_xlfn.LET(_xlpm.q,E191,_xlpm.tk,P191,_xlpm.ld,Log!$P$18,_xlpm.fx,IF(OR(_xlpm.ld="",_xlpm.ld="Full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"&amp;_xlpm.q,""))))),IF(C191-I191&gt;=0.99,"next day",IF(C191-I191&gt;0.4,"12h → 24h","")))))))))))</f>
        <v/>
      </c>
      <c r="H191" s="4" t="str">
        <f t="shared" si="12"/>
        <v/>
      </c>
      <c r="I191" s="5" t="str">
        <f t="shared" si="13"/>
        <v/>
      </c>
      <c r="J191" s="6">
        <f t="shared" si="14"/>
        <v>0</v>
      </c>
      <c r="K191" s="4" t="str">
        <f t="shared" si="15"/>
        <v/>
      </c>
      <c r="L191" s="4" t="str">
        <f t="shared" si="16"/>
        <v/>
      </c>
      <c r="M191" s="4" t="b" cm="1">
        <f t="array" ref="M191">IF(H191="",FALSE,SUMPRODUCT(--(H$1:H190=H191))&gt;0)</f>
        <v>0</v>
      </c>
      <c r="N191" s="36"/>
      <c r="P191" s="1" t="str">
        <f t="shared" si="17"/>
        <v/>
      </c>
    </row>
    <row r="192" spans="1:16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"&amp;L192,IF(AND(MAX(K$1:K191)&gt;0,N(K192)-MAX(K$1:K191)&gt;180),"⚠ Gap &gt; 3h",IF(_xlfn.LET(_xlpm.q,E192,_xlpm.tk,P192,_xlpm.ld,Log!$P$18,_xlpm.fx,IF(OR(_xlpm.ld="",_xlpm.ld="Full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"&amp;_xlpm.q,""))))&lt;&gt;"",IF(N192&lt;&gt;"","Load OK ✓ (checked)","⚠ "&amp;_xlfn.LET(_xlpm.q,E192,_xlpm.tk,P192,_xlpm.ld,Log!$P$18,_xlpm.fx,IF(OR(_xlpm.ld="",_xlpm.ld="Full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"&amp;_xlpm.q,""))))),IF(C192-I192&gt;=0.99,"next day",IF(C192-I192&gt;0.4,"12h → 24h","")))))))))))</f>
        <v/>
      </c>
      <c r="H192" s="4" t="str">
        <f t="shared" si="12"/>
        <v/>
      </c>
      <c r="I192" s="5" t="str">
        <f t="shared" si="13"/>
        <v/>
      </c>
      <c r="J192" s="6">
        <f t="shared" si="14"/>
        <v>0</v>
      </c>
      <c r="K192" s="4" t="str">
        <f t="shared" si="15"/>
        <v/>
      </c>
      <c r="L192" s="4" t="str">
        <f t="shared" si="16"/>
        <v/>
      </c>
      <c r="M192" s="4" t="b" cm="1">
        <f t="array" ref="M192">IF(H192="",FALSE,SUMPRODUCT(--(H$1:H191=H192))&gt;0)</f>
        <v>0</v>
      </c>
      <c r="N192" s="36"/>
      <c r="P192" s="1" t="str">
        <f t="shared" si="17"/>
        <v/>
      </c>
    </row>
    <row r="193" spans="1:16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"&amp;L193,IF(AND(MAX(K$1:K192)&gt;0,N(K193)-MAX(K$1:K192)&gt;180),"⚠ Gap &gt; 3h",IF(_xlfn.LET(_xlpm.q,E193,_xlpm.tk,P193,_xlpm.ld,Log!$P$18,_xlpm.fx,IF(OR(_xlpm.ld="",_xlpm.ld="Full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"&amp;_xlpm.q,""))))&lt;&gt;"",IF(N193&lt;&gt;"","Load OK ✓ (checked)","⚠ "&amp;_xlfn.LET(_xlpm.q,E193,_xlpm.tk,P193,_xlpm.ld,Log!$P$18,_xlpm.fx,IF(OR(_xlpm.ld="",_xlpm.ld="Full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"&amp;_xlpm.q,""))))),IF(C193-I193&gt;=0.99,"next day",IF(C193-I193&gt;0.4,"12h → 24h","")))))))))))</f>
        <v/>
      </c>
      <c r="H193" s="4" t="str">
        <f t="shared" si="12"/>
        <v/>
      </c>
      <c r="I193" s="5" t="str">
        <f t="shared" si="13"/>
        <v/>
      </c>
      <c r="J193" s="6">
        <f t="shared" si="14"/>
        <v>0</v>
      </c>
      <c r="K193" s="4" t="str">
        <f t="shared" si="15"/>
        <v/>
      </c>
      <c r="L193" s="4" t="str">
        <f t="shared" si="16"/>
        <v/>
      </c>
      <c r="M193" s="4" t="b" cm="1">
        <f t="array" ref="M193">IF(H193="",FALSE,SUMPRODUCT(--(H$1:H192=H193))&gt;0)</f>
        <v>0</v>
      </c>
      <c r="N193" s="36"/>
      <c r="P193" s="1" t="str">
        <f t="shared" si="17"/>
        <v/>
      </c>
    </row>
    <row r="194" spans="1:16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"&amp;L194,IF(AND(MAX(K$1:K193)&gt;0,N(K194)-MAX(K$1:K193)&gt;180),"⚠ Gap &gt; 3h",IF(_xlfn.LET(_xlpm.q,E194,_xlpm.tk,P194,_xlpm.ld,Log!$P$18,_xlpm.fx,IF(OR(_xlpm.ld="",_xlpm.ld="Full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"&amp;_xlpm.q,""))))&lt;&gt;"",IF(N194&lt;&gt;"","Load OK ✓ (checked)","⚠ "&amp;_xlfn.LET(_xlpm.q,E194,_xlpm.tk,P194,_xlpm.ld,Log!$P$18,_xlpm.fx,IF(OR(_xlpm.ld="",_xlpm.ld="Full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"&amp;_xlpm.q,""))))),IF(C194-I194&gt;=0.99,"next day",IF(C194-I194&gt;0.4,"12h → 24h","")))))))))))</f>
        <v/>
      </c>
      <c r="H194" s="4" t="str">
        <f t="shared" ref="H194:H257" si="18">IF(B194="","",_xlfn.LET(_xlpm.t,TRIM(B194),IF(LEFT(_xlpm.t,1)="[",IFERROR(TRIM(MID(_xlpm.t,FIND(": ",_xlpm.t,FIND("]",_xlpm.t))+2,500)),_xlpm.t),_xlpm.t)))</f>
        <v/>
      </c>
      <c r="I194" s="5" t="str">
        <f t="shared" ref="I194:I257" si="19">IF(H194="","",IFERROR(TIMEVALUE(TRIM(SUBSTITUTE(SUBSTITUTE(MID(H194,SEARCH(":",H194)-2,5),".",""),"*",""))),""))</f>
        <v/>
      </c>
      <c r="J194" s="6">
        <f t="shared" ref="J194:J257" si="20">IF(OR(B194="",F194="",M194),0,IF(ISNUMBER(F194),F194,N(E194)))</f>
        <v>0</v>
      </c>
      <c r="K194" s="4" t="str">
        <f t="shared" ref="K194:K257" si="21">IF(OR(C194="",M194),"",ROUND(C194*1440,0))</f>
        <v/>
      </c>
      <c r="L194" s="4" t="str">
        <f t="shared" ref="L194:L257" si="22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  <c r="N194" s="36"/>
      <c r="P194" s="1" t="str">
        <f t="shared" ref="P194:P257" si="23">IF(OR(H194="",NOT(ISNUMBER(L194))),"",IFERROR(_xlfn.LET(_xlpm.t,TRIM(SUBSTITUTE(SUBSTITUTE(SUBSTITUTE(H194,"*",""),"_",""),"."," ")),_xlpm.s,TRIM(MID(SUBSTITUTE(_xlpm.t," ",REPT(" ",100)),101,100)),IF(AND(LEN(_xlpm.s)=3,ISNUMBER(--_xlpm.s)),--_xlpm.s,"")),""))</f>
        <v/>
      </c>
    </row>
    <row r="195" spans="1:16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"&amp;L195,IF(AND(MAX(K$1:K194)&gt;0,N(K195)-MAX(K$1:K194)&gt;180),"⚠ Gap &gt; 3h",IF(_xlfn.LET(_xlpm.q,E195,_xlpm.tk,P195,_xlpm.ld,Log!$P$18,_xlpm.fx,IF(OR(_xlpm.ld="",_xlpm.ld="Full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"&amp;_xlpm.q,""))))&lt;&gt;"",IF(N195&lt;&gt;"","Load OK ✓ (checked)","⚠ "&amp;_xlfn.LET(_xlpm.q,E195,_xlpm.tk,P195,_xlpm.ld,Log!$P$18,_xlpm.fx,IF(OR(_xlpm.ld="",_xlpm.ld="Full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"&amp;_xlpm.q,""))))),IF(C195-I195&gt;=0.99,"next day",IF(C195-I195&gt;0.4,"12h → 24h","")))))))))))</f>
        <v/>
      </c>
      <c r="H195" s="4" t="str">
        <f t="shared" si="18"/>
        <v/>
      </c>
      <c r="I195" s="5" t="str">
        <f t="shared" si="19"/>
        <v/>
      </c>
      <c r="J195" s="6">
        <f t="shared" si="20"/>
        <v>0</v>
      </c>
      <c r="K195" s="4" t="str">
        <f t="shared" si="21"/>
        <v/>
      </c>
      <c r="L195" s="4" t="str">
        <f t="shared" si="22"/>
        <v/>
      </c>
      <c r="M195" s="4" t="b" cm="1">
        <f t="array" ref="M195">IF(H195="",FALSE,SUMPRODUCT(--(H$1:H194=H195))&gt;0)</f>
        <v>0</v>
      </c>
      <c r="N195" s="36"/>
      <c r="P195" s="1" t="str">
        <f t="shared" si="23"/>
        <v/>
      </c>
    </row>
    <row r="196" spans="1:16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"&amp;L196,IF(AND(MAX(K$1:K195)&gt;0,N(K196)-MAX(K$1:K195)&gt;180),"⚠ Gap &gt; 3h",IF(_xlfn.LET(_xlpm.q,E196,_xlpm.tk,P196,_xlpm.ld,Log!$P$18,_xlpm.fx,IF(OR(_xlpm.ld="",_xlpm.ld="Full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"&amp;_xlpm.q,""))))&lt;&gt;"",IF(N196&lt;&gt;"","Load OK ✓ (checked)","⚠ "&amp;_xlfn.LET(_xlpm.q,E196,_xlpm.tk,P196,_xlpm.ld,Log!$P$18,_xlpm.fx,IF(OR(_xlpm.ld="",_xlpm.ld="Full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"&amp;_xlpm.q,""))))),IF(C196-I196&gt;=0.99,"next day",IF(C196-I196&gt;0.4,"12h → 24h","")))))))))))</f>
        <v/>
      </c>
      <c r="H196" s="4" t="str">
        <f t="shared" si="18"/>
        <v/>
      </c>
      <c r="I196" s="5" t="str">
        <f t="shared" si="19"/>
        <v/>
      </c>
      <c r="J196" s="6">
        <f t="shared" si="20"/>
        <v>0</v>
      </c>
      <c r="K196" s="4" t="str">
        <f t="shared" si="21"/>
        <v/>
      </c>
      <c r="L196" s="4" t="str">
        <f t="shared" si="22"/>
        <v/>
      </c>
      <c r="M196" s="4" t="b" cm="1">
        <f t="array" ref="M196">IF(H196="",FALSE,SUMPRODUCT(--(H$1:H195=H196))&gt;0)</f>
        <v>0</v>
      </c>
      <c r="N196" s="36"/>
      <c r="P196" s="1" t="str">
        <f t="shared" si="23"/>
        <v/>
      </c>
    </row>
    <row r="197" spans="1:16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"&amp;L197,IF(AND(MAX(K$1:K196)&gt;0,N(K197)-MAX(K$1:K196)&gt;180),"⚠ Gap &gt; 3h",IF(_xlfn.LET(_xlpm.q,E197,_xlpm.tk,P197,_xlpm.ld,Log!$P$18,_xlpm.fx,IF(OR(_xlpm.ld="",_xlpm.ld="Full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"&amp;_xlpm.q,""))))&lt;&gt;"",IF(N197&lt;&gt;"","Load OK ✓ (checked)","⚠ "&amp;_xlfn.LET(_xlpm.q,E197,_xlpm.tk,P197,_xlpm.ld,Log!$P$18,_xlpm.fx,IF(OR(_xlpm.ld="",_xlpm.ld="Full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"&amp;_xlpm.q,""))))),IF(C197-I197&gt;=0.99,"next day",IF(C197-I197&gt;0.4,"12h → 24h","")))))))))))</f>
        <v/>
      </c>
      <c r="H197" s="4" t="str">
        <f t="shared" si="18"/>
        <v/>
      </c>
      <c r="I197" s="5" t="str">
        <f t="shared" si="19"/>
        <v/>
      </c>
      <c r="J197" s="6">
        <f t="shared" si="20"/>
        <v>0</v>
      </c>
      <c r="K197" s="4" t="str">
        <f t="shared" si="21"/>
        <v/>
      </c>
      <c r="L197" s="4" t="str">
        <f t="shared" si="22"/>
        <v/>
      </c>
      <c r="M197" s="4" t="b" cm="1">
        <f t="array" ref="M197">IF(H197="",FALSE,SUMPRODUCT(--(H$1:H196=H197))&gt;0)</f>
        <v>0</v>
      </c>
      <c r="N197" s="36"/>
      <c r="P197" s="1" t="str">
        <f t="shared" si="23"/>
        <v/>
      </c>
    </row>
    <row r="198" spans="1:16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"&amp;L198,IF(AND(MAX(K$1:K197)&gt;0,N(K198)-MAX(K$1:K197)&gt;180),"⚠ Gap &gt; 3h",IF(_xlfn.LET(_xlpm.q,E198,_xlpm.tk,P198,_xlpm.ld,Log!$P$18,_xlpm.fx,IF(OR(_xlpm.ld="",_xlpm.ld="Full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"&amp;_xlpm.q,""))))&lt;&gt;"",IF(N198&lt;&gt;"","Load OK ✓ (checked)","⚠ "&amp;_xlfn.LET(_xlpm.q,E198,_xlpm.tk,P198,_xlpm.ld,Log!$P$18,_xlpm.fx,IF(OR(_xlpm.ld="",_xlpm.ld="Full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"&amp;_xlpm.q,""))))),IF(C198-I198&gt;=0.99,"next day",IF(C198-I198&gt;0.4,"12h → 24h","")))))))))))</f>
        <v/>
      </c>
      <c r="H198" s="4" t="str">
        <f t="shared" si="18"/>
        <v/>
      </c>
      <c r="I198" s="5" t="str">
        <f t="shared" si="19"/>
        <v/>
      </c>
      <c r="J198" s="6">
        <f t="shared" si="20"/>
        <v>0</v>
      </c>
      <c r="K198" s="4" t="str">
        <f t="shared" si="21"/>
        <v/>
      </c>
      <c r="L198" s="4" t="str">
        <f t="shared" si="22"/>
        <v/>
      </c>
      <c r="M198" s="4" t="b" cm="1">
        <f t="array" ref="M198">IF(H198="",FALSE,SUMPRODUCT(--(H$1:H197=H198))&gt;0)</f>
        <v>0</v>
      </c>
      <c r="N198" s="36"/>
      <c r="P198" s="1" t="str">
        <f t="shared" si="23"/>
        <v/>
      </c>
    </row>
    <row r="199" spans="1:16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"&amp;L199,IF(AND(MAX(K$1:K198)&gt;0,N(K199)-MAX(K$1:K198)&gt;180),"⚠ Gap &gt; 3h",IF(_xlfn.LET(_xlpm.q,E199,_xlpm.tk,P199,_xlpm.ld,Log!$P$18,_xlpm.fx,IF(OR(_xlpm.ld="",_xlpm.ld="Full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"&amp;_xlpm.q,""))))&lt;&gt;"",IF(N199&lt;&gt;"","Load OK ✓ (checked)","⚠ "&amp;_xlfn.LET(_xlpm.q,E199,_xlpm.tk,P199,_xlpm.ld,Log!$P$18,_xlpm.fx,IF(OR(_xlpm.ld="",_xlpm.ld="Full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"&amp;_xlpm.q,""))))),IF(C199-I199&gt;=0.99,"next day",IF(C199-I199&gt;0.4,"12h → 24h","")))))))))))</f>
        <v/>
      </c>
      <c r="H199" s="4" t="str">
        <f t="shared" si="18"/>
        <v/>
      </c>
      <c r="I199" s="5" t="str">
        <f t="shared" si="19"/>
        <v/>
      </c>
      <c r="J199" s="6">
        <f t="shared" si="20"/>
        <v>0</v>
      </c>
      <c r="K199" s="4" t="str">
        <f t="shared" si="21"/>
        <v/>
      </c>
      <c r="L199" s="4" t="str">
        <f t="shared" si="22"/>
        <v/>
      </c>
      <c r="M199" s="4" t="b" cm="1">
        <f t="array" ref="M199">IF(H199="",FALSE,SUMPRODUCT(--(H$1:H198=H199))&gt;0)</f>
        <v>0</v>
      </c>
      <c r="N199" s="36"/>
      <c r="P199" s="1" t="str">
        <f t="shared" si="23"/>
        <v/>
      </c>
    </row>
    <row r="200" spans="1:16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"&amp;L200,IF(AND(MAX(K$1:K199)&gt;0,N(K200)-MAX(K$1:K199)&gt;180),"⚠ Gap &gt; 3h",IF(_xlfn.LET(_xlpm.q,E200,_xlpm.tk,P200,_xlpm.ld,Log!$P$18,_xlpm.fx,IF(OR(_xlpm.ld="",_xlpm.ld="Full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"&amp;_xlpm.q,""))))&lt;&gt;"",IF(N200&lt;&gt;"","Load OK ✓ (checked)","⚠ "&amp;_xlfn.LET(_xlpm.q,E200,_xlpm.tk,P200,_xlpm.ld,Log!$P$18,_xlpm.fx,IF(OR(_xlpm.ld="",_xlpm.ld="Full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"&amp;_xlpm.q,""))))),IF(C200-I200&gt;=0.99,"next day",IF(C200-I200&gt;0.4,"12h → 24h","")))))))))))</f>
        <v/>
      </c>
      <c r="H200" s="4" t="str">
        <f t="shared" si="18"/>
        <v/>
      </c>
      <c r="I200" s="5" t="str">
        <f t="shared" si="19"/>
        <v/>
      </c>
      <c r="J200" s="6">
        <f t="shared" si="20"/>
        <v>0</v>
      </c>
      <c r="K200" s="4" t="str">
        <f t="shared" si="21"/>
        <v/>
      </c>
      <c r="L200" s="4" t="str">
        <f t="shared" si="22"/>
        <v/>
      </c>
      <c r="M200" s="4" t="b" cm="1">
        <f t="array" ref="M200">IF(H200="",FALSE,SUMPRODUCT(--(H$1:H199=H200))&gt;0)</f>
        <v>0</v>
      </c>
      <c r="N200" s="36"/>
      <c r="P200" s="1" t="str">
        <f t="shared" si="23"/>
        <v/>
      </c>
    </row>
    <row r="201" spans="1:16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"&amp;L201,IF(AND(MAX(K$1:K200)&gt;0,N(K201)-MAX(K$1:K200)&gt;180),"⚠ Gap &gt; 3h",IF(_xlfn.LET(_xlpm.q,E201,_xlpm.tk,P201,_xlpm.ld,Log!$P$18,_xlpm.fx,IF(OR(_xlpm.ld="",_xlpm.ld="Full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"&amp;_xlpm.q,""))))&lt;&gt;"",IF(N201&lt;&gt;"","Load OK ✓ (checked)","⚠ "&amp;_xlfn.LET(_xlpm.q,E201,_xlpm.tk,P201,_xlpm.ld,Log!$P$18,_xlpm.fx,IF(OR(_xlpm.ld="",_xlpm.ld="Full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"&amp;_xlpm.q,""))))),IF(C201-I201&gt;=0.99,"next day",IF(C201-I201&gt;0.4,"12h → 24h","")))))))))))</f>
        <v/>
      </c>
      <c r="H201" s="4" t="str">
        <f t="shared" si="18"/>
        <v/>
      </c>
      <c r="I201" s="5" t="str">
        <f t="shared" si="19"/>
        <v/>
      </c>
      <c r="J201" s="6">
        <f t="shared" si="20"/>
        <v>0</v>
      </c>
      <c r="K201" s="4" t="str">
        <f t="shared" si="21"/>
        <v/>
      </c>
      <c r="L201" s="4" t="str">
        <f t="shared" si="22"/>
        <v/>
      </c>
      <c r="M201" s="4" t="b" cm="1">
        <f t="array" ref="M201">IF(H201="",FALSE,SUMPRODUCT(--(H$1:H200=H201))&gt;0)</f>
        <v>0</v>
      </c>
      <c r="N201" s="36"/>
      <c r="P201" s="1" t="str">
        <f t="shared" si="23"/>
        <v/>
      </c>
    </row>
    <row r="202" spans="1:16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"&amp;L202,IF(AND(MAX(K$1:K201)&gt;0,N(K202)-MAX(K$1:K201)&gt;180),"⚠ Gap &gt; 3h",IF(_xlfn.LET(_xlpm.q,E202,_xlpm.tk,P202,_xlpm.ld,Log!$P$18,_xlpm.fx,IF(OR(_xlpm.ld="",_xlpm.ld="Full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"&amp;_xlpm.q,""))))&lt;&gt;"",IF(N202&lt;&gt;"","Load OK ✓ (checked)","⚠ "&amp;_xlfn.LET(_xlpm.q,E202,_xlpm.tk,P202,_xlpm.ld,Log!$P$18,_xlpm.fx,IF(OR(_xlpm.ld="",_xlpm.ld="Full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"&amp;_xlpm.q,""))))),IF(C202-I202&gt;=0.99,"next day",IF(C202-I202&gt;0.4,"12h → 24h","")))))))))))</f>
        <v/>
      </c>
      <c r="H202" s="4" t="str">
        <f t="shared" si="18"/>
        <v/>
      </c>
      <c r="I202" s="5" t="str">
        <f t="shared" si="19"/>
        <v/>
      </c>
      <c r="J202" s="6">
        <f t="shared" si="20"/>
        <v>0</v>
      </c>
      <c r="K202" s="4" t="str">
        <f t="shared" si="21"/>
        <v/>
      </c>
      <c r="L202" s="4" t="str">
        <f t="shared" si="22"/>
        <v/>
      </c>
      <c r="M202" s="4" t="b" cm="1">
        <f t="array" ref="M202">IF(H202="",FALSE,SUMPRODUCT(--(H$1:H201=H202))&gt;0)</f>
        <v>0</v>
      </c>
      <c r="N202" s="36"/>
      <c r="P202" s="1" t="str">
        <f t="shared" si="23"/>
        <v/>
      </c>
    </row>
    <row r="203" spans="1:16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"&amp;L203,IF(AND(MAX(K$1:K202)&gt;0,N(K203)-MAX(K$1:K202)&gt;180),"⚠ Gap &gt; 3h",IF(_xlfn.LET(_xlpm.q,E203,_xlpm.tk,P203,_xlpm.ld,Log!$P$18,_xlpm.fx,IF(OR(_xlpm.ld="",_xlpm.ld="Full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"&amp;_xlpm.q,""))))&lt;&gt;"",IF(N203&lt;&gt;"","Load OK ✓ (checked)","⚠ "&amp;_xlfn.LET(_xlpm.q,E203,_xlpm.tk,P203,_xlpm.ld,Log!$P$18,_xlpm.fx,IF(OR(_xlpm.ld="",_xlpm.ld="Full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"&amp;_xlpm.q,""))))),IF(C203-I203&gt;=0.99,"next day",IF(C203-I203&gt;0.4,"12h → 24h","")))))))))))</f>
        <v/>
      </c>
      <c r="H203" s="4" t="str">
        <f t="shared" si="18"/>
        <v/>
      </c>
      <c r="I203" s="5" t="str">
        <f t="shared" si="19"/>
        <v/>
      </c>
      <c r="J203" s="6">
        <f t="shared" si="20"/>
        <v>0</v>
      </c>
      <c r="K203" s="4" t="str">
        <f t="shared" si="21"/>
        <v/>
      </c>
      <c r="L203" s="4" t="str">
        <f t="shared" si="22"/>
        <v/>
      </c>
      <c r="M203" s="4" t="b" cm="1">
        <f t="array" ref="M203">IF(H203="",FALSE,SUMPRODUCT(--(H$1:H202=H203))&gt;0)</f>
        <v>0</v>
      </c>
      <c r="N203" s="36"/>
      <c r="P203" s="1" t="str">
        <f t="shared" si="23"/>
        <v/>
      </c>
    </row>
    <row r="204" spans="1:16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"&amp;L204,IF(AND(MAX(K$1:K203)&gt;0,N(K204)-MAX(K$1:K203)&gt;180),"⚠ Gap &gt; 3h",IF(_xlfn.LET(_xlpm.q,E204,_xlpm.tk,P204,_xlpm.ld,Log!$P$18,_xlpm.fx,IF(OR(_xlpm.ld="",_xlpm.ld="Full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"&amp;_xlpm.q,""))))&lt;&gt;"",IF(N204&lt;&gt;"","Load OK ✓ (checked)","⚠ "&amp;_xlfn.LET(_xlpm.q,E204,_xlpm.tk,P204,_xlpm.ld,Log!$P$18,_xlpm.fx,IF(OR(_xlpm.ld="",_xlpm.ld="Full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"&amp;_xlpm.q,""))))),IF(C204-I204&gt;=0.99,"next day",IF(C204-I204&gt;0.4,"12h → 24h","")))))))))))</f>
        <v/>
      </c>
      <c r="H204" s="4" t="str">
        <f t="shared" si="18"/>
        <v/>
      </c>
      <c r="I204" s="5" t="str">
        <f t="shared" si="19"/>
        <v/>
      </c>
      <c r="J204" s="6">
        <f t="shared" si="20"/>
        <v>0</v>
      </c>
      <c r="K204" s="4" t="str">
        <f t="shared" si="21"/>
        <v/>
      </c>
      <c r="L204" s="4" t="str">
        <f t="shared" si="22"/>
        <v/>
      </c>
      <c r="M204" s="4" t="b" cm="1">
        <f t="array" ref="M204">IF(H204="",FALSE,SUMPRODUCT(--(H$1:H203=H204))&gt;0)</f>
        <v>0</v>
      </c>
      <c r="N204" s="36"/>
      <c r="P204" s="1" t="str">
        <f t="shared" si="23"/>
        <v/>
      </c>
    </row>
    <row r="205" spans="1:16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"&amp;L205,IF(AND(MAX(K$1:K204)&gt;0,N(K205)-MAX(K$1:K204)&gt;180),"⚠ Gap &gt; 3h",IF(_xlfn.LET(_xlpm.q,E205,_xlpm.tk,P205,_xlpm.ld,Log!$P$18,_xlpm.fx,IF(OR(_xlpm.ld="",_xlpm.ld="Full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"&amp;_xlpm.q,""))))&lt;&gt;"",IF(N205&lt;&gt;"","Load OK ✓ (checked)","⚠ "&amp;_xlfn.LET(_xlpm.q,E205,_xlpm.tk,P205,_xlpm.ld,Log!$P$18,_xlpm.fx,IF(OR(_xlpm.ld="",_xlpm.ld="Full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"&amp;_xlpm.q,""))))),IF(C205-I205&gt;=0.99,"next day",IF(C205-I205&gt;0.4,"12h → 24h","")))))))))))</f>
        <v/>
      </c>
      <c r="H205" s="4" t="str">
        <f t="shared" si="18"/>
        <v/>
      </c>
      <c r="I205" s="5" t="str">
        <f t="shared" si="19"/>
        <v/>
      </c>
      <c r="J205" s="6">
        <f t="shared" si="20"/>
        <v>0</v>
      </c>
      <c r="K205" s="4" t="str">
        <f t="shared" si="21"/>
        <v/>
      </c>
      <c r="L205" s="4" t="str">
        <f t="shared" si="22"/>
        <v/>
      </c>
      <c r="M205" s="4" t="b" cm="1">
        <f t="array" ref="M205">IF(H205="",FALSE,SUMPRODUCT(--(H$1:H204=H205))&gt;0)</f>
        <v>0</v>
      </c>
      <c r="N205" s="36"/>
      <c r="P205" s="1" t="str">
        <f t="shared" si="23"/>
        <v/>
      </c>
    </row>
    <row r="206" spans="1:16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"&amp;L206,IF(AND(MAX(K$1:K205)&gt;0,N(K206)-MAX(K$1:K205)&gt;180),"⚠ Gap &gt; 3h",IF(_xlfn.LET(_xlpm.q,E206,_xlpm.tk,P206,_xlpm.ld,Log!$P$18,_xlpm.fx,IF(OR(_xlpm.ld="",_xlpm.ld="Full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"&amp;_xlpm.q,""))))&lt;&gt;"",IF(N206&lt;&gt;"","Load OK ✓ (checked)","⚠ "&amp;_xlfn.LET(_xlpm.q,E206,_xlpm.tk,P206,_xlpm.ld,Log!$P$18,_xlpm.fx,IF(OR(_xlpm.ld="",_xlpm.ld="Full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"&amp;_xlpm.q,""))))),IF(C206-I206&gt;=0.99,"next day",IF(C206-I206&gt;0.4,"12h → 24h","")))))))))))</f>
        <v/>
      </c>
      <c r="H206" s="4" t="str">
        <f t="shared" si="18"/>
        <v/>
      </c>
      <c r="I206" s="5" t="str">
        <f t="shared" si="19"/>
        <v/>
      </c>
      <c r="J206" s="6">
        <f t="shared" si="20"/>
        <v>0</v>
      </c>
      <c r="K206" s="4" t="str">
        <f t="shared" si="21"/>
        <v/>
      </c>
      <c r="L206" s="4" t="str">
        <f t="shared" si="22"/>
        <v/>
      </c>
      <c r="M206" s="4" t="b" cm="1">
        <f t="array" ref="M206">IF(H206="",FALSE,SUMPRODUCT(--(H$1:H205=H206))&gt;0)</f>
        <v>0</v>
      </c>
      <c r="N206" s="36"/>
      <c r="P206" s="1" t="str">
        <f t="shared" si="23"/>
        <v/>
      </c>
    </row>
    <row r="207" spans="1:16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"&amp;L207,IF(AND(MAX(K$1:K206)&gt;0,N(K207)-MAX(K$1:K206)&gt;180),"⚠ Gap &gt; 3h",IF(_xlfn.LET(_xlpm.q,E207,_xlpm.tk,P207,_xlpm.ld,Log!$P$18,_xlpm.fx,IF(OR(_xlpm.ld="",_xlpm.ld="Full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"&amp;_xlpm.q,""))))&lt;&gt;"",IF(N207&lt;&gt;"","Load OK ✓ (checked)","⚠ "&amp;_xlfn.LET(_xlpm.q,E207,_xlpm.tk,P207,_xlpm.ld,Log!$P$18,_xlpm.fx,IF(OR(_xlpm.ld="",_xlpm.ld="Full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"&amp;_xlpm.q,""))))),IF(C207-I207&gt;=0.99,"next day",IF(C207-I207&gt;0.4,"12h → 24h","")))))))))))</f>
        <v/>
      </c>
      <c r="H207" s="4" t="str">
        <f t="shared" si="18"/>
        <v/>
      </c>
      <c r="I207" s="5" t="str">
        <f t="shared" si="19"/>
        <v/>
      </c>
      <c r="J207" s="6">
        <f t="shared" si="20"/>
        <v>0</v>
      </c>
      <c r="K207" s="4" t="str">
        <f t="shared" si="21"/>
        <v/>
      </c>
      <c r="L207" s="4" t="str">
        <f t="shared" si="22"/>
        <v/>
      </c>
      <c r="M207" s="4" t="b" cm="1">
        <f t="array" ref="M207">IF(H207="",FALSE,SUMPRODUCT(--(H$1:H206=H207))&gt;0)</f>
        <v>0</v>
      </c>
      <c r="N207" s="36"/>
      <c r="P207" s="1" t="str">
        <f t="shared" si="23"/>
        <v/>
      </c>
    </row>
    <row r="208" spans="1:16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"&amp;L208,IF(AND(MAX(K$1:K207)&gt;0,N(K208)-MAX(K$1:K207)&gt;180),"⚠ Gap &gt; 3h",IF(_xlfn.LET(_xlpm.q,E208,_xlpm.tk,P208,_xlpm.ld,Log!$P$18,_xlpm.fx,IF(OR(_xlpm.ld="",_xlpm.ld="Full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"&amp;_xlpm.q,""))))&lt;&gt;"",IF(N208&lt;&gt;"","Load OK ✓ (checked)","⚠ "&amp;_xlfn.LET(_xlpm.q,E208,_xlpm.tk,P208,_xlpm.ld,Log!$P$18,_xlpm.fx,IF(OR(_xlpm.ld="",_xlpm.ld="Full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"&amp;_xlpm.q,""))))),IF(C208-I208&gt;=0.99,"next day",IF(C208-I208&gt;0.4,"12h → 24h","")))))))))))</f>
        <v/>
      </c>
      <c r="H208" s="4" t="str">
        <f t="shared" si="18"/>
        <v/>
      </c>
      <c r="I208" s="5" t="str">
        <f t="shared" si="19"/>
        <v/>
      </c>
      <c r="J208" s="6">
        <f t="shared" si="20"/>
        <v>0</v>
      </c>
      <c r="K208" s="4" t="str">
        <f t="shared" si="21"/>
        <v/>
      </c>
      <c r="L208" s="4" t="str">
        <f t="shared" si="22"/>
        <v/>
      </c>
      <c r="M208" s="4" t="b" cm="1">
        <f t="array" ref="M208">IF(H208="",FALSE,SUMPRODUCT(--(H$1:H207=H208))&gt;0)</f>
        <v>0</v>
      </c>
      <c r="N208" s="36"/>
      <c r="P208" s="1" t="str">
        <f t="shared" si="23"/>
        <v/>
      </c>
    </row>
    <row r="209" spans="1:16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"&amp;L209,IF(AND(MAX(K$1:K208)&gt;0,N(K209)-MAX(K$1:K208)&gt;180),"⚠ Gap &gt; 3h",IF(_xlfn.LET(_xlpm.q,E209,_xlpm.tk,P209,_xlpm.ld,Log!$P$18,_xlpm.fx,IF(OR(_xlpm.ld="",_xlpm.ld="Full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"&amp;_xlpm.q,""))))&lt;&gt;"",IF(N209&lt;&gt;"","Load OK ✓ (checked)","⚠ "&amp;_xlfn.LET(_xlpm.q,E209,_xlpm.tk,P209,_xlpm.ld,Log!$P$18,_xlpm.fx,IF(OR(_xlpm.ld="",_xlpm.ld="Full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"&amp;_xlpm.q,""))))),IF(C209-I209&gt;=0.99,"next day",IF(C209-I209&gt;0.4,"12h → 24h","")))))))))))</f>
        <v/>
      </c>
      <c r="H209" s="4" t="str">
        <f t="shared" si="18"/>
        <v/>
      </c>
      <c r="I209" s="5" t="str">
        <f t="shared" si="19"/>
        <v/>
      </c>
      <c r="J209" s="6">
        <f t="shared" si="20"/>
        <v>0</v>
      </c>
      <c r="K209" s="4" t="str">
        <f t="shared" si="21"/>
        <v/>
      </c>
      <c r="L209" s="4" t="str">
        <f t="shared" si="22"/>
        <v/>
      </c>
      <c r="M209" s="4" t="b" cm="1">
        <f t="array" ref="M209">IF(H209="",FALSE,SUMPRODUCT(--(H$1:H208=H209))&gt;0)</f>
        <v>0</v>
      </c>
      <c r="N209" s="36"/>
      <c r="P209" s="1" t="str">
        <f t="shared" si="23"/>
        <v/>
      </c>
    </row>
    <row r="210" spans="1:16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"&amp;L210,IF(AND(MAX(K$1:K209)&gt;0,N(K210)-MAX(K$1:K209)&gt;180),"⚠ Gap &gt; 3h",IF(_xlfn.LET(_xlpm.q,E210,_xlpm.tk,P210,_xlpm.ld,Log!$P$18,_xlpm.fx,IF(OR(_xlpm.ld="",_xlpm.ld="Full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"&amp;_xlpm.q,""))))&lt;&gt;"",IF(N210&lt;&gt;"","Load OK ✓ (checked)","⚠ "&amp;_xlfn.LET(_xlpm.q,E210,_xlpm.tk,P210,_xlpm.ld,Log!$P$18,_xlpm.fx,IF(OR(_xlpm.ld="",_xlpm.ld="Full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"&amp;_xlpm.q,""))))),IF(C210-I210&gt;=0.99,"next day",IF(C210-I210&gt;0.4,"12h → 24h","")))))))))))</f>
        <v/>
      </c>
      <c r="H210" s="4" t="str">
        <f t="shared" si="18"/>
        <v/>
      </c>
      <c r="I210" s="5" t="str">
        <f t="shared" si="19"/>
        <v/>
      </c>
      <c r="J210" s="6">
        <f t="shared" si="20"/>
        <v>0</v>
      </c>
      <c r="K210" s="4" t="str">
        <f t="shared" si="21"/>
        <v/>
      </c>
      <c r="L210" s="4" t="str">
        <f t="shared" si="22"/>
        <v/>
      </c>
      <c r="M210" s="4" t="b" cm="1">
        <f t="array" ref="M210">IF(H210="",FALSE,SUMPRODUCT(--(H$1:H209=H210))&gt;0)</f>
        <v>0</v>
      </c>
      <c r="N210" s="36"/>
      <c r="P210" s="1" t="str">
        <f t="shared" si="23"/>
        <v/>
      </c>
    </row>
    <row r="211" spans="1:16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"&amp;L211,IF(AND(MAX(K$1:K210)&gt;0,N(K211)-MAX(K$1:K210)&gt;180),"⚠ Gap &gt; 3h",IF(_xlfn.LET(_xlpm.q,E211,_xlpm.tk,P211,_xlpm.ld,Log!$P$18,_xlpm.fx,IF(OR(_xlpm.ld="",_xlpm.ld="Full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"&amp;_xlpm.q,""))))&lt;&gt;"",IF(N211&lt;&gt;"","Load OK ✓ (checked)","⚠ "&amp;_xlfn.LET(_xlpm.q,E211,_xlpm.tk,P211,_xlpm.ld,Log!$P$18,_xlpm.fx,IF(OR(_xlpm.ld="",_xlpm.ld="Full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"&amp;_xlpm.q,""))))),IF(C211-I211&gt;=0.99,"next day",IF(C211-I211&gt;0.4,"12h → 24h","")))))))))))</f>
        <v/>
      </c>
      <c r="H211" s="4" t="str">
        <f t="shared" si="18"/>
        <v/>
      </c>
      <c r="I211" s="5" t="str">
        <f t="shared" si="19"/>
        <v/>
      </c>
      <c r="J211" s="6">
        <f t="shared" si="20"/>
        <v>0</v>
      </c>
      <c r="K211" s="4" t="str">
        <f t="shared" si="21"/>
        <v/>
      </c>
      <c r="L211" s="4" t="str">
        <f t="shared" si="22"/>
        <v/>
      </c>
      <c r="M211" s="4" t="b" cm="1">
        <f t="array" ref="M211">IF(H211="",FALSE,SUMPRODUCT(--(H$1:H210=H211))&gt;0)</f>
        <v>0</v>
      </c>
      <c r="N211" s="36"/>
      <c r="P211" s="1" t="str">
        <f t="shared" si="23"/>
        <v/>
      </c>
    </row>
    <row r="212" spans="1:16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"&amp;L212,IF(AND(MAX(K$1:K211)&gt;0,N(K212)-MAX(K$1:K211)&gt;180),"⚠ Gap &gt; 3h",IF(_xlfn.LET(_xlpm.q,E212,_xlpm.tk,P212,_xlpm.ld,Log!$P$18,_xlpm.fx,IF(OR(_xlpm.ld="",_xlpm.ld="Full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"&amp;_xlpm.q,""))))&lt;&gt;"",IF(N212&lt;&gt;"","Load OK ✓ (checked)","⚠ "&amp;_xlfn.LET(_xlpm.q,E212,_xlpm.tk,P212,_xlpm.ld,Log!$P$18,_xlpm.fx,IF(OR(_xlpm.ld="",_xlpm.ld="Full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"&amp;_xlpm.q,""))))),IF(C212-I212&gt;=0.99,"next day",IF(C212-I212&gt;0.4,"12h → 24h","")))))))))))</f>
        <v/>
      </c>
      <c r="H212" s="4" t="str">
        <f t="shared" si="18"/>
        <v/>
      </c>
      <c r="I212" s="5" t="str">
        <f t="shared" si="19"/>
        <v/>
      </c>
      <c r="J212" s="6">
        <f t="shared" si="20"/>
        <v>0</v>
      </c>
      <c r="K212" s="4" t="str">
        <f t="shared" si="21"/>
        <v/>
      </c>
      <c r="L212" s="4" t="str">
        <f t="shared" si="22"/>
        <v/>
      </c>
      <c r="M212" s="4" t="b" cm="1">
        <f t="array" ref="M212">IF(H212="",FALSE,SUMPRODUCT(--(H$1:H211=H212))&gt;0)</f>
        <v>0</v>
      </c>
      <c r="N212" s="36"/>
      <c r="P212" s="1" t="str">
        <f t="shared" si="23"/>
        <v/>
      </c>
    </row>
    <row r="213" spans="1:16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"&amp;L213,IF(AND(MAX(K$1:K212)&gt;0,N(K213)-MAX(K$1:K212)&gt;180),"⚠ Gap &gt; 3h",IF(_xlfn.LET(_xlpm.q,E213,_xlpm.tk,P213,_xlpm.ld,Log!$P$18,_xlpm.fx,IF(OR(_xlpm.ld="",_xlpm.ld="Full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"&amp;_xlpm.q,""))))&lt;&gt;"",IF(N213&lt;&gt;"","Load OK ✓ (checked)","⚠ "&amp;_xlfn.LET(_xlpm.q,E213,_xlpm.tk,P213,_xlpm.ld,Log!$P$18,_xlpm.fx,IF(OR(_xlpm.ld="",_xlpm.ld="Full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"&amp;_xlpm.q,""))))),IF(C213-I213&gt;=0.99,"next day",IF(C213-I213&gt;0.4,"12h → 24h","")))))))))))</f>
        <v/>
      </c>
      <c r="H213" s="4" t="str">
        <f t="shared" si="18"/>
        <v/>
      </c>
      <c r="I213" s="5" t="str">
        <f t="shared" si="19"/>
        <v/>
      </c>
      <c r="J213" s="6">
        <f t="shared" si="20"/>
        <v>0</v>
      </c>
      <c r="K213" s="4" t="str">
        <f t="shared" si="21"/>
        <v/>
      </c>
      <c r="L213" s="4" t="str">
        <f t="shared" si="22"/>
        <v/>
      </c>
      <c r="M213" s="4" t="b" cm="1">
        <f t="array" ref="M213">IF(H213="",FALSE,SUMPRODUCT(--(H$1:H212=H213))&gt;0)</f>
        <v>0</v>
      </c>
      <c r="N213" s="36"/>
      <c r="P213" s="1" t="str">
        <f t="shared" si="23"/>
        <v/>
      </c>
    </row>
    <row r="214" spans="1:16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"&amp;L214,IF(AND(MAX(K$1:K213)&gt;0,N(K214)-MAX(K$1:K213)&gt;180),"⚠ Gap &gt; 3h",IF(_xlfn.LET(_xlpm.q,E214,_xlpm.tk,P214,_xlpm.ld,Log!$P$18,_xlpm.fx,IF(OR(_xlpm.ld="",_xlpm.ld="Full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"&amp;_xlpm.q,""))))&lt;&gt;"",IF(N214&lt;&gt;"","Load OK ✓ (checked)","⚠ "&amp;_xlfn.LET(_xlpm.q,E214,_xlpm.tk,P214,_xlpm.ld,Log!$P$18,_xlpm.fx,IF(OR(_xlpm.ld="",_xlpm.ld="Full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"&amp;_xlpm.q,""))))),IF(C214-I214&gt;=0.99,"next day",IF(C214-I214&gt;0.4,"12h → 24h","")))))))))))</f>
        <v/>
      </c>
      <c r="H214" s="4" t="str">
        <f t="shared" si="18"/>
        <v/>
      </c>
      <c r="I214" s="5" t="str">
        <f t="shared" si="19"/>
        <v/>
      </c>
      <c r="J214" s="6">
        <f t="shared" si="20"/>
        <v>0</v>
      </c>
      <c r="K214" s="4" t="str">
        <f t="shared" si="21"/>
        <v/>
      </c>
      <c r="L214" s="4" t="str">
        <f t="shared" si="22"/>
        <v/>
      </c>
      <c r="M214" s="4" t="b" cm="1">
        <f t="array" ref="M214">IF(H214="",FALSE,SUMPRODUCT(--(H$1:H213=H214))&gt;0)</f>
        <v>0</v>
      </c>
      <c r="N214" s="36"/>
      <c r="P214" s="1" t="str">
        <f t="shared" si="23"/>
        <v/>
      </c>
    </row>
    <row r="215" spans="1:16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"&amp;L215,IF(AND(MAX(K$1:K214)&gt;0,N(K215)-MAX(K$1:K214)&gt;180),"⚠ Gap &gt; 3h",IF(_xlfn.LET(_xlpm.q,E215,_xlpm.tk,P215,_xlpm.ld,Log!$P$18,_xlpm.fx,IF(OR(_xlpm.ld="",_xlpm.ld="Full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"&amp;_xlpm.q,""))))&lt;&gt;"",IF(N215&lt;&gt;"","Load OK ✓ (checked)","⚠ "&amp;_xlfn.LET(_xlpm.q,E215,_xlpm.tk,P215,_xlpm.ld,Log!$P$18,_xlpm.fx,IF(OR(_xlpm.ld="",_xlpm.ld="Full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"&amp;_xlpm.q,""))))),IF(C215-I215&gt;=0.99,"next day",IF(C215-I215&gt;0.4,"12h → 24h","")))))))))))</f>
        <v/>
      </c>
      <c r="H215" s="4" t="str">
        <f t="shared" si="18"/>
        <v/>
      </c>
      <c r="I215" s="5" t="str">
        <f t="shared" si="19"/>
        <v/>
      </c>
      <c r="J215" s="6">
        <f t="shared" si="20"/>
        <v>0</v>
      </c>
      <c r="K215" s="4" t="str">
        <f t="shared" si="21"/>
        <v/>
      </c>
      <c r="L215" s="4" t="str">
        <f t="shared" si="22"/>
        <v/>
      </c>
      <c r="M215" s="4" t="b" cm="1">
        <f t="array" ref="M215">IF(H215="",FALSE,SUMPRODUCT(--(H$1:H214=H215))&gt;0)</f>
        <v>0</v>
      </c>
      <c r="N215" s="36"/>
      <c r="P215" s="1" t="str">
        <f t="shared" si="23"/>
        <v/>
      </c>
    </row>
    <row r="216" spans="1:16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"&amp;L216,IF(AND(MAX(K$1:K215)&gt;0,N(K216)-MAX(K$1:K215)&gt;180),"⚠ Gap &gt; 3h",IF(_xlfn.LET(_xlpm.q,E216,_xlpm.tk,P216,_xlpm.ld,Log!$P$18,_xlpm.fx,IF(OR(_xlpm.ld="",_xlpm.ld="Full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"&amp;_xlpm.q,""))))&lt;&gt;"",IF(N216&lt;&gt;"","Load OK ✓ (checked)","⚠ "&amp;_xlfn.LET(_xlpm.q,E216,_xlpm.tk,P216,_xlpm.ld,Log!$P$18,_xlpm.fx,IF(OR(_xlpm.ld="",_xlpm.ld="Full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"&amp;_xlpm.q,""))))),IF(C216-I216&gt;=0.99,"next day",IF(C216-I216&gt;0.4,"12h → 24h","")))))))))))</f>
        <v/>
      </c>
      <c r="H216" s="4" t="str">
        <f t="shared" si="18"/>
        <v/>
      </c>
      <c r="I216" s="5" t="str">
        <f t="shared" si="19"/>
        <v/>
      </c>
      <c r="J216" s="6">
        <f t="shared" si="20"/>
        <v>0</v>
      </c>
      <c r="K216" s="4" t="str">
        <f t="shared" si="21"/>
        <v/>
      </c>
      <c r="L216" s="4" t="str">
        <f t="shared" si="22"/>
        <v/>
      </c>
      <c r="M216" s="4" t="b" cm="1">
        <f t="array" ref="M216">IF(H216="",FALSE,SUMPRODUCT(--(H$1:H215=H216))&gt;0)</f>
        <v>0</v>
      </c>
      <c r="N216" s="36"/>
      <c r="P216" s="1" t="str">
        <f t="shared" si="23"/>
        <v/>
      </c>
    </row>
    <row r="217" spans="1:16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"&amp;L217,IF(AND(MAX(K$1:K216)&gt;0,N(K217)-MAX(K$1:K216)&gt;180),"⚠ Gap &gt; 3h",IF(_xlfn.LET(_xlpm.q,E217,_xlpm.tk,P217,_xlpm.ld,Log!$P$18,_xlpm.fx,IF(OR(_xlpm.ld="",_xlpm.ld="Full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"&amp;_xlpm.q,""))))&lt;&gt;"",IF(N217&lt;&gt;"","Load OK ✓ (checked)","⚠ "&amp;_xlfn.LET(_xlpm.q,E217,_xlpm.tk,P217,_xlpm.ld,Log!$P$18,_xlpm.fx,IF(OR(_xlpm.ld="",_xlpm.ld="Full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"&amp;_xlpm.q,""))))),IF(C217-I217&gt;=0.99,"next day",IF(C217-I217&gt;0.4,"12h → 24h","")))))))))))</f>
        <v/>
      </c>
      <c r="H217" s="4" t="str">
        <f t="shared" si="18"/>
        <v/>
      </c>
      <c r="I217" s="5" t="str">
        <f t="shared" si="19"/>
        <v/>
      </c>
      <c r="J217" s="6">
        <f t="shared" si="20"/>
        <v>0</v>
      </c>
      <c r="K217" s="4" t="str">
        <f t="shared" si="21"/>
        <v/>
      </c>
      <c r="L217" s="4" t="str">
        <f t="shared" si="22"/>
        <v/>
      </c>
      <c r="M217" s="4" t="b" cm="1">
        <f t="array" ref="M217">IF(H217="",FALSE,SUMPRODUCT(--(H$1:H216=H217))&gt;0)</f>
        <v>0</v>
      </c>
      <c r="N217" s="36"/>
      <c r="P217" s="1" t="str">
        <f t="shared" si="23"/>
        <v/>
      </c>
    </row>
    <row r="218" spans="1:16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"&amp;L218,IF(AND(MAX(K$1:K217)&gt;0,N(K218)-MAX(K$1:K217)&gt;180),"⚠ Gap &gt; 3h",IF(_xlfn.LET(_xlpm.q,E218,_xlpm.tk,P218,_xlpm.ld,Log!$P$18,_xlpm.fx,IF(OR(_xlpm.ld="",_xlpm.ld="Full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"&amp;_xlpm.q,""))))&lt;&gt;"",IF(N218&lt;&gt;"","Load OK ✓ (checked)","⚠ "&amp;_xlfn.LET(_xlpm.q,E218,_xlpm.tk,P218,_xlpm.ld,Log!$P$18,_xlpm.fx,IF(OR(_xlpm.ld="",_xlpm.ld="Full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"&amp;_xlpm.q,""))))),IF(C218-I218&gt;=0.99,"next day",IF(C218-I218&gt;0.4,"12h → 24h","")))))))))))</f>
        <v/>
      </c>
      <c r="H218" s="4" t="str">
        <f t="shared" si="18"/>
        <v/>
      </c>
      <c r="I218" s="5" t="str">
        <f t="shared" si="19"/>
        <v/>
      </c>
      <c r="J218" s="6">
        <f t="shared" si="20"/>
        <v>0</v>
      </c>
      <c r="K218" s="4" t="str">
        <f t="shared" si="21"/>
        <v/>
      </c>
      <c r="L218" s="4" t="str">
        <f t="shared" si="22"/>
        <v/>
      </c>
      <c r="M218" s="4" t="b" cm="1">
        <f t="array" ref="M218">IF(H218="",FALSE,SUMPRODUCT(--(H$1:H217=H218))&gt;0)</f>
        <v>0</v>
      </c>
      <c r="N218" s="36"/>
      <c r="P218" s="1" t="str">
        <f t="shared" si="23"/>
        <v/>
      </c>
    </row>
    <row r="219" spans="1:16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"&amp;L219,IF(AND(MAX(K$1:K218)&gt;0,N(K219)-MAX(K$1:K218)&gt;180),"⚠ Gap &gt; 3h",IF(_xlfn.LET(_xlpm.q,E219,_xlpm.tk,P219,_xlpm.ld,Log!$P$18,_xlpm.fx,IF(OR(_xlpm.ld="",_xlpm.ld="Full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"&amp;_xlpm.q,""))))&lt;&gt;"",IF(N219&lt;&gt;"","Load OK ✓ (checked)","⚠ "&amp;_xlfn.LET(_xlpm.q,E219,_xlpm.tk,P219,_xlpm.ld,Log!$P$18,_xlpm.fx,IF(OR(_xlpm.ld="",_xlpm.ld="Full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"&amp;_xlpm.q,""))))),IF(C219-I219&gt;=0.99,"next day",IF(C219-I219&gt;0.4,"12h → 24h","")))))))))))</f>
        <v/>
      </c>
      <c r="H219" s="4" t="str">
        <f t="shared" si="18"/>
        <v/>
      </c>
      <c r="I219" s="5" t="str">
        <f t="shared" si="19"/>
        <v/>
      </c>
      <c r="J219" s="6">
        <f t="shared" si="20"/>
        <v>0</v>
      </c>
      <c r="K219" s="4" t="str">
        <f t="shared" si="21"/>
        <v/>
      </c>
      <c r="L219" s="4" t="str">
        <f t="shared" si="22"/>
        <v/>
      </c>
      <c r="M219" s="4" t="b" cm="1">
        <f t="array" ref="M219">IF(H219="",FALSE,SUMPRODUCT(--(H$1:H218=H219))&gt;0)</f>
        <v>0</v>
      </c>
      <c r="N219" s="36"/>
      <c r="P219" s="1" t="str">
        <f t="shared" si="23"/>
        <v/>
      </c>
    </row>
    <row r="220" spans="1:16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"&amp;L220,IF(AND(MAX(K$1:K219)&gt;0,N(K220)-MAX(K$1:K219)&gt;180),"⚠ Gap &gt; 3h",IF(_xlfn.LET(_xlpm.q,E220,_xlpm.tk,P220,_xlpm.ld,Log!$P$18,_xlpm.fx,IF(OR(_xlpm.ld="",_xlpm.ld="Full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"&amp;_xlpm.q,""))))&lt;&gt;"",IF(N220&lt;&gt;"","Load OK ✓ (checked)","⚠ "&amp;_xlfn.LET(_xlpm.q,E220,_xlpm.tk,P220,_xlpm.ld,Log!$P$18,_xlpm.fx,IF(OR(_xlpm.ld="",_xlpm.ld="Full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"&amp;_xlpm.q,""))))),IF(C220-I220&gt;=0.99,"next day",IF(C220-I220&gt;0.4,"12h → 24h","")))))))))))</f>
        <v/>
      </c>
      <c r="H220" s="4" t="str">
        <f t="shared" si="18"/>
        <v/>
      </c>
      <c r="I220" s="5" t="str">
        <f t="shared" si="19"/>
        <v/>
      </c>
      <c r="J220" s="6">
        <f t="shared" si="20"/>
        <v>0</v>
      </c>
      <c r="K220" s="4" t="str">
        <f t="shared" si="21"/>
        <v/>
      </c>
      <c r="L220" s="4" t="str">
        <f t="shared" si="22"/>
        <v/>
      </c>
      <c r="M220" s="4" t="b" cm="1">
        <f t="array" ref="M220">IF(H220="",FALSE,SUMPRODUCT(--(H$1:H219=H220))&gt;0)</f>
        <v>0</v>
      </c>
      <c r="N220" s="36"/>
      <c r="P220" s="1" t="str">
        <f t="shared" si="23"/>
        <v/>
      </c>
    </row>
    <row r="221" spans="1:16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"&amp;L221,IF(AND(MAX(K$1:K220)&gt;0,N(K221)-MAX(K$1:K220)&gt;180),"⚠ Gap &gt; 3h",IF(_xlfn.LET(_xlpm.q,E221,_xlpm.tk,P221,_xlpm.ld,Log!$P$18,_xlpm.fx,IF(OR(_xlpm.ld="",_xlpm.ld="Full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"&amp;_xlpm.q,""))))&lt;&gt;"",IF(N221&lt;&gt;"","Load OK ✓ (checked)","⚠ "&amp;_xlfn.LET(_xlpm.q,E221,_xlpm.tk,P221,_xlpm.ld,Log!$P$18,_xlpm.fx,IF(OR(_xlpm.ld="",_xlpm.ld="Full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"&amp;_xlpm.q,""))))),IF(C221-I221&gt;=0.99,"next day",IF(C221-I221&gt;0.4,"12h → 24h","")))))))))))</f>
        <v/>
      </c>
      <c r="H221" s="4" t="str">
        <f t="shared" si="18"/>
        <v/>
      </c>
      <c r="I221" s="5" t="str">
        <f t="shared" si="19"/>
        <v/>
      </c>
      <c r="J221" s="6">
        <f t="shared" si="20"/>
        <v>0</v>
      </c>
      <c r="K221" s="4" t="str">
        <f t="shared" si="21"/>
        <v/>
      </c>
      <c r="L221" s="4" t="str">
        <f t="shared" si="22"/>
        <v/>
      </c>
      <c r="M221" s="4" t="b" cm="1">
        <f t="array" ref="M221">IF(H221="",FALSE,SUMPRODUCT(--(H$1:H220=H221))&gt;0)</f>
        <v>0</v>
      </c>
      <c r="N221" s="36"/>
      <c r="P221" s="1" t="str">
        <f t="shared" si="23"/>
        <v/>
      </c>
    </row>
    <row r="222" spans="1:16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"&amp;L222,IF(AND(MAX(K$1:K221)&gt;0,N(K222)-MAX(K$1:K221)&gt;180),"⚠ Gap &gt; 3h",IF(_xlfn.LET(_xlpm.q,E222,_xlpm.tk,P222,_xlpm.ld,Log!$P$18,_xlpm.fx,IF(OR(_xlpm.ld="",_xlpm.ld="Full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"&amp;_xlpm.q,""))))&lt;&gt;"",IF(N222&lt;&gt;"","Load OK ✓ (checked)","⚠ "&amp;_xlfn.LET(_xlpm.q,E222,_xlpm.tk,P222,_xlpm.ld,Log!$P$18,_xlpm.fx,IF(OR(_xlpm.ld="",_xlpm.ld="Full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"&amp;_xlpm.q,""))))),IF(C222-I222&gt;=0.99,"next day",IF(C222-I222&gt;0.4,"12h → 24h","")))))))))))</f>
        <v/>
      </c>
      <c r="H222" s="4" t="str">
        <f t="shared" si="18"/>
        <v/>
      </c>
      <c r="I222" s="5" t="str">
        <f t="shared" si="19"/>
        <v/>
      </c>
      <c r="J222" s="6">
        <f t="shared" si="20"/>
        <v>0</v>
      </c>
      <c r="K222" s="4" t="str">
        <f t="shared" si="21"/>
        <v/>
      </c>
      <c r="L222" s="4" t="str">
        <f t="shared" si="22"/>
        <v/>
      </c>
      <c r="M222" s="4" t="b" cm="1">
        <f t="array" ref="M222">IF(H222="",FALSE,SUMPRODUCT(--(H$1:H221=H222))&gt;0)</f>
        <v>0</v>
      </c>
      <c r="N222" s="36"/>
      <c r="P222" s="1" t="str">
        <f t="shared" si="23"/>
        <v/>
      </c>
    </row>
    <row r="223" spans="1:16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"&amp;L223,IF(AND(MAX(K$1:K222)&gt;0,N(K223)-MAX(K$1:K222)&gt;180),"⚠ Gap &gt; 3h",IF(_xlfn.LET(_xlpm.q,E223,_xlpm.tk,P223,_xlpm.ld,Log!$P$18,_xlpm.fx,IF(OR(_xlpm.ld="",_xlpm.ld="Full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"&amp;_xlpm.q,""))))&lt;&gt;"",IF(N223&lt;&gt;"","Load OK ✓ (checked)","⚠ "&amp;_xlfn.LET(_xlpm.q,E223,_xlpm.tk,P223,_xlpm.ld,Log!$P$18,_xlpm.fx,IF(OR(_xlpm.ld="",_xlpm.ld="Full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"&amp;_xlpm.q,""))))),IF(C223-I223&gt;=0.99,"next day",IF(C223-I223&gt;0.4,"12h → 24h","")))))))))))</f>
        <v/>
      </c>
      <c r="H223" s="4" t="str">
        <f t="shared" si="18"/>
        <v/>
      </c>
      <c r="I223" s="5" t="str">
        <f t="shared" si="19"/>
        <v/>
      </c>
      <c r="J223" s="6">
        <f t="shared" si="20"/>
        <v>0</v>
      </c>
      <c r="K223" s="4" t="str">
        <f t="shared" si="21"/>
        <v/>
      </c>
      <c r="L223" s="4" t="str">
        <f t="shared" si="22"/>
        <v/>
      </c>
      <c r="M223" s="4" t="b" cm="1">
        <f t="array" ref="M223">IF(H223="",FALSE,SUMPRODUCT(--(H$1:H222=H223))&gt;0)</f>
        <v>0</v>
      </c>
      <c r="N223" s="36"/>
      <c r="P223" s="1" t="str">
        <f t="shared" si="23"/>
        <v/>
      </c>
    </row>
    <row r="224" spans="1:16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"&amp;L224,IF(AND(MAX(K$1:K223)&gt;0,N(K224)-MAX(K$1:K223)&gt;180),"⚠ Gap &gt; 3h",IF(_xlfn.LET(_xlpm.q,E224,_xlpm.tk,P224,_xlpm.ld,Log!$P$18,_xlpm.fx,IF(OR(_xlpm.ld="",_xlpm.ld="Full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"&amp;_xlpm.q,""))))&lt;&gt;"",IF(N224&lt;&gt;"","Load OK ✓ (checked)","⚠ "&amp;_xlfn.LET(_xlpm.q,E224,_xlpm.tk,P224,_xlpm.ld,Log!$P$18,_xlpm.fx,IF(OR(_xlpm.ld="",_xlpm.ld="Full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"&amp;_xlpm.q,""))))),IF(C224-I224&gt;=0.99,"next day",IF(C224-I224&gt;0.4,"12h → 24h","")))))))))))</f>
        <v/>
      </c>
      <c r="H224" s="4" t="str">
        <f t="shared" si="18"/>
        <v/>
      </c>
      <c r="I224" s="5" t="str">
        <f t="shared" si="19"/>
        <v/>
      </c>
      <c r="J224" s="6">
        <f t="shared" si="20"/>
        <v>0</v>
      </c>
      <c r="K224" s="4" t="str">
        <f t="shared" si="21"/>
        <v/>
      </c>
      <c r="L224" s="4" t="str">
        <f t="shared" si="22"/>
        <v/>
      </c>
      <c r="M224" s="4" t="b" cm="1">
        <f t="array" ref="M224">IF(H224="",FALSE,SUMPRODUCT(--(H$1:H223=H224))&gt;0)</f>
        <v>0</v>
      </c>
      <c r="N224" s="36"/>
      <c r="P224" s="1" t="str">
        <f t="shared" si="23"/>
        <v/>
      </c>
    </row>
    <row r="225" spans="1:16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"&amp;L225,IF(AND(MAX(K$1:K224)&gt;0,N(K225)-MAX(K$1:K224)&gt;180),"⚠ Gap &gt; 3h",IF(_xlfn.LET(_xlpm.q,E225,_xlpm.tk,P225,_xlpm.ld,Log!$P$18,_xlpm.fx,IF(OR(_xlpm.ld="",_xlpm.ld="Full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"&amp;_xlpm.q,""))))&lt;&gt;"",IF(N225&lt;&gt;"","Load OK ✓ (checked)","⚠ "&amp;_xlfn.LET(_xlpm.q,E225,_xlpm.tk,P225,_xlpm.ld,Log!$P$18,_xlpm.fx,IF(OR(_xlpm.ld="",_xlpm.ld="Full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"&amp;_xlpm.q,""))))),IF(C225-I225&gt;=0.99,"next day",IF(C225-I225&gt;0.4,"12h → 24h","")))))))))))</f>
        <v/>
      </c>
      <c r="H225" s="4" t="str">
        <f t="shared" si="18"/>
        <v/>
      </c>
      <c r="I225" s="5" t="str">
        <f t="shared" si="19"/>
        <v/>
      </c>
      <c r="J225" s="6">
        <f t="shared" si="20"/>
        <v>0</v>
      </c>
      <c r="K225" s="4" t="str">
        <f t="shared" si="21"/>
        <v/>
      </c>
      <c r="L225" s="4" t="str">
        <f t="shared" si="22"/>
        <v/>
      </c>
      <c r="M225" s="4" t="b" cm="1">
        <f t="array" ref="M225">IF(H225="",FALSE,SUMPRODUCT(--(H$1:H224=H225))&gt;0)</f>
        <v>0</v>
      </c>
      <c r="N225" s="36"/>
      <c r="P225" s="1" t="str">
        <f t="shared" si="23"/>
        <v/>
      </c>
    </row>
    <row r="226" spans="1:16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"&amp;L226,IF(AND(MAX(K$1:K225)&gt;0,N(K226)-MAX(K$1:K225)&gt;180),"⚠ Gap &gt; 3h",IF(_xlfn.LET(_xlpm.q,E226,_xlpm.tk,P226,_xlpm.ld,Log!$P$18,_xlpm.fx,IF(OR(_xlpm.ld="",_xlpm.ld="Full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"&amp;_xlpm.q,""))))&lt;&gt;"",IF(N226&lt;&gt;"","Load OK ✓ (checked)","⚠ "&amp;_xlfn.LET(_xlpm.q,E226,_xlpm.tk,P226,_xlpm.ld,Log!$P$18,_xlpm.fx,IF(OR(_xlpm.ld="",_xlpm.ld="Full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"&amp;_xlpm.q,""))))),IF(C226-I226&gt;=0.99,"next day",IF(C226-I226&gt;0.4,"12h → 24h","")))))))))))</f>
        <v/>
      </c>
      <c r="H226" s="4" t="str">
        <f t="shared" si="18"/>
        <v/>
      </c>
      <c r="I226" s="5" t="str">
        <f t="shared" si="19"/>
        <v/>
      </c>
      <c r="J226" s="6">
        <f t="shared" si="20"/>
        <v>0</v>
      </c>
      <c r="K226" s="4" t="str">
        <f t="shared" si="21"/>
        <v/>
      </c>
      <c r="L226" s="4" t="str">
        <f t="shared" si="22"/>
        <v/>
      </c>
      <c r="M226" s="4" t="b" cm="1">
        <f t="array" ref="M226">IF(H226="",FALSE,SUMPRODUCT(--(H$1:H225=H226))&gt;0)</f>
        <v>0</v>
      </c>
      <c r="N226" s="36"/>
      <c r="P226" s="1" t="str">
        <f t="shared" si="23"/>
        <v/>
      </c>
    </row>
    <row r="227" spans="1:16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"&amp;L227,IF(AND(MAX(K$1:K226)&gt;0,N(K227)-MAX(K$1:K226)&gt;180),"⚠ Gap &gt; 3h",IF(_xlfn.LET(_xlpm.q,E227,_xlpm.tk,P227,_xlpm.ld,Log!$P$18,_xlpm.fx,IF(OR(_xlpm.ld="",_xlpm.ld="Full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"&amp;_xlpm.q,""))))&lt;&gt;"",IF(N227&lt;&gt;"","Load OK ✓ (checked)","⚠ "&amp;_xlfn.LET(_xlpm.q,E227,_xlpm.tk,P227,_xlpm.ld,Log!$P$18,_xlpm.fx,IF(OR(_xlpm.ld="",_xlpm.ld="Full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"&amp;_xlpm.q,""))))),IF(C227-I227&gt;=0.99,"next day",IF(C227-I227&gt;0.4,"12h → 24h","")))))))))))</f>
        <v/>
      </c>
      <c r="H227" s="4" t="str">
        <f t="shared" si="18"/>
        <v/>
      </c>
      <c r="I227" s="5" t="str">
        <f t="shared" si="19"/>
        <v/>
      </c>
      <c r="J227" s="6">
        <f t="shared" si="20"/>
        <v>0</v>
      </c>
      <c r="K227" s="4" t="str">
        <f t="shared" si="21"/>
        <v/>
      </c>
      <c r="L227" s="4" t="str">
        <f t="shared" si="22"/>
        <v/>
      </c>
      <c r="M227" s="4" t="b" cm="1">
        <f t="array" ref="M227">IF(H227="",FALSE,SUMPRODUCT(--(H$1:H226=H227))&gt;0)</f>
        <v>0</v>
      </c>
      <c r="N227" s="36"/>
      <c r="P227" s="1" t="str">
        <f t="shared" si="23"/>
        <v/>
      </c>
    </row>
    <row r="228" spans="1:16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"&amp;L228,IF(AND(MAX(K$1:K227)&gt;0,N(K228)-MAX(K$1:K227)&gt;180),"⚠ Gap &gt; 3h",IF(_xlfn.LET(_xlpm.q,E228,_xlpm.tk,P228,_xlpm.ld,Log!$P$18,_xlpm.fx,IF(OR(_xlpm.ld="",_xlpm.ld="Full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"&amp;_xlpm.q,""))))&lt;&gt;"",IF(N228&lt;&gt;"","Load OK ✓ (checked)","⚠ "&amp;_xlfn.LET(_xlpm.q,E228,_xlpm.tk,P228,_xlpm.ld,Log!$P$18,_xlpm.fx,IF(OR(_xlpm.ld="",_xlpm.ld="Full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"&amp;_xlpm.q,""))))),IF(C228-I228&gt;=0.99,"next day",IF(C228-I228&gt;0.4,"12h → 24h","")))))))))))</f>
        <v/>
      </c>
      <c r="H228" s="4" t="str">
        <f t="shared" si="18"/>
        <v/>
      </c>
      <c r="I228" s="5" t="str">
        <f t="shared" si="19"/>
        <v/>
      </c>
      <c r="J228" s="6">
        <f t="shared" si="20"/>
        <v>0</v>
      </c>
      <c r="K228" s="4" t="str">
        <f t="shared" si="21"/>
        <v/>
      </c>
      <c r="L228" s="4" t="str">
        <f t="shared" si="22"/>
        <v/>
      </c>
      <c r="M228" s="4" t="b" cm="1">
        <f t="array" ref="M228">IF(H228="",FALSE,SUMPRODUCT(--(H$1:H227=H228))&gt;0)</f>
        <v>0</v>
      </c>
      <c r="N228" s="36"/>
      <c r="P228" s="1" t="str">
        <f t="shared" si="23"/>
        <v/>
      </c>
    </row>
    <row r="229" spans="1:16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"&amp;L229,IF(AND(MAX(K$1:K228)&gt;0,N(K229)-MAX(K$1:K228)&gt;180),"⚠ Gap &gt; 3h",IF(_xlfn.LET(_xlpm.q,E229,_xlpm.tk,P229,_xlpm.ld,Log!$P$18,_xlpm.fx,IF(OR(_xlpm.ld="",_xlpm.ld="Full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"&amp;_xlpm.q,""))))&lt;&gt;"",IF(N229&lt;&gt;"","Load OK ✓ (checked)","⚠ "&amp;_xlfn.LET(_xlpm.q,E229,_xlpm.tk,P229,_xlpm.ld,Log!$P$18,_xlpm.fx,IF(OR(_xlpm.ld="",_xlpm.ld="Full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"&amp;_xlpm.q,""))))),IF(C229-I229&gt;=0.99,"next day",IF(C229-I229&gt;0.4,"12h → 24h","")))))))))))</f>
        <v/>
      </c>
      <c r="H229" s="4" t="str">
        <f t="shared" si="18"/>
        <v/>
      </c>
      <c r="I229" s="5" t="str">
        <f t="shared" si="19"/>
        <v/>
      </c>
      <c r="J229" s="6">
        <f t="shared" si="20"/>
        <v>0</v>
      </c>
      <c r="K229" s="4" t="str">
        <f t="shared" si="21"/>
        <v/>
      </c>
      <c r="L229" s="4" t="str">
        <f t="shared" si="22"/>
        <v/>
      </c>
      <c r="M229" s="4" t="b" cm="1">
        <f t="array" ref="M229">IF(H229="",FALSE,SUMPRODUCT(--(H$1:H228=H229))&gt;0)</f>
        <v>0</v>
      </c>
      <c r="N229" s="36"/>
      <c r="P229" s="1" t="str">
        <f t="shared" si="23"/>
        <v/>
      </c>
    </row>
    <row r="230" spans="1:16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"&amp;L230,IF(AND(MAX(K$1:K229)&gt;0,N(K230)-MAX(K$1:K229)&gt;180),"⚠ Gap &gt; 3h",IF(_xlfn.LET(_xlpm.q,E230,_xlpm.tk,P230,_xlpm.ld,Log!$P$18,_xlpm.fx,IF(OR(_xlpm.ld="",_xlpm.ld="Full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"&amp;_xlpm.q,""))))&lt;&gt;"",IF(N230&lt;&gt;"","Load OK ✓ (checked)","⚠ "&amp;_xlfn.LET(_xlpm.q,E230,_xlpm.tk,P230,_xlpm.ld,Log!$P$18,_xlpm.fx,IF(OR(_xlpm.ld="",_xlpm.ld="Full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"&amp;_xlpm.q,""))))),IF(C230-I230&gt;=0.99,"next day",IF(C230-I230&gt;0.4,"12h → 24h","")))))))))))</f>
        <v/>
      </c>
      <c r="H230" s="4" t="str">
        <f t="shared" si="18"/>
        <v/>
      </c>
      <c r="I230" s="5" t="str">
        <f t="shared" si="19"/>
        <v/>
      </c>
      <c r="J230" s="6">
        <f t="shared" si="20"/>
        <v>0</v>
      </c>
      <c r="K230" s="4" t="str">
        <f t="shared" si="21"/>
        <v/>
      </c>
      <c r="L230" s="4" t="str">
        <f t="shared" si="22"/>
        <v/>
      </c>
      <c r="M230" s="4" t="b" cm="1">
        <f t="array" ref="M230">IF(H230="",FALSE,SUMPRODUCT(--(H$1:H229=H230))&gt;0)</f>
        <v>0</v>
      </c>
      <c r="N230" s="36"/>
      <c r="P230" s="1" t="str">
        <f t="shared" si="23"/>
        <v/>
      </c>
    </row>
    <row r="231" spans="1:16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"&amp;L231,IF(AND(MAX(K$1:K230)&gt;0,N(K231)-MAX(K$1:K230)&gt;180),"⚠ Gap &gt; 3h",IF(_xlfn.LET(_xlpm.q,E231,_xlpm.tk,P231,_xlpm.ld,Log!$P$18,_xlpm.fx,IF(OR(_xlpm.ld="",_xlpm.ld="Full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"&amp;_xlpm.q,""))))&lt;&gt;"",IF(N231&lt;&gt;"","Load OK ✓ (checked)","⚠ "&amp;_xlfn.LET(_xlpm.q,E231,_xlpm.tk,P231,_xlpm.ld,Log!$P$18,_xlpm.fx,IF(OR(_xlpm.ld="",_xlpm.ld="Full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"&amp;_xlpm.q,""))))),IF(C231-I231&gt;=0.99,"next day",IF(C231-I231&gt;0.4,"12h → 24h","")))))))))))</f>
        <v/>
      </c>
      <c r="H231" s="4" t="str">
        <f t="shared" si="18"/>
        <v/>
      </c>
      <c r="I231" s="5" t="str">
        <f t="shared" si="19"/>
        <v/>
      </c>
      <c r="J231" s="6">
        <f t="shared" si="20"/>
        <v>0</v>
      </c>
      <c r="K231" s="4" t="str">
        <f t="shared" si="21"/>
        <v/>
      </c>
      <c r="L231" s="4" t="str">
        <f t="shared" si="22"/>
        <v/>
      </c>
      <c r="M231" s="4" t="b" cm="1">
        <f t="array" ref="M231">IF(H231="",FALSE,SUMPRODUCT(--(H$1:H230=H231))&gt;0)</f>
        <v>0</v>
      </c>
      <c r="N231" s="36"/>
      <c r="P231" s="1" t="str">
        <f t="shared" si="23"/>
        <v/>
      </c>
    </row>
    <row r="232" spans="1:16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"&amp;L232,IF(AND(MAX(K$1:K231)&gt;0,N(K232)-MAX(K$1:K231)&gt;180),"⚠ Gap &gt; 3h",IF(_xlfn.LET(_xlpm.q,E232,_xlpm.tk,P232,_xlpm.ld,Log!$P$18,_xlpm.fx,IF(OR(_xlpm.ld="",_xlpm.ld="Full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"&amp;_xlpm.q,""))))&lt;&gt;"",IF(N232&lt;&gt;"","Load OK ✓ (checked)","⚠ "&amp;_xlfn.LET(_xlpm.q,E232,_xlpm.tk,P232,_xlpm.ld,Log!$P$18,_xlpm.fx,IF(OR(_xlpm.ld="",_xlpm.ld="Full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"&amp;_xlpm.q,""))))),IF(C232-I232&gt;=0.99,"next day",IF(C232-I232&gt;0.4,"12h → 24h","")))))))))))</f>
        <v/>
      </c>
      <c r="H232" s="4" t="str">
        <f t="shared" si="18"/>
        <v/>
      </c>
      <c r="I232" s="5" t="str">
        <f t="shared" si="19"/>
        <v/>
      </c>
      <c r="J232" s="6">
        <f t="shared" si="20"/>
        <v>0</v>
      </c>
      <c r="K232" s="4" t="str">
        <f t="shared" si="21"/>
        <v/>
      </c>
      <c r="L232" s="4" t="str">
        <f t="shared" si="22"/>
        <v/>
      </c>
      <c r="M232" s="4" t="b" cm="1">
        <f t="array" ref="M232">IF(H232="",FALSE,SUMPRODUCT(--(H$1:H231=H232))&gt;0)</f>
        <v>0</v>
      </c>
      <c r="N232" s="36"/>
      <c r="P232" s="1" t="str">
        <f t="shared" si="23"/>
        <v/>
      </c>
    </row>
    <row r="233" spans="1:16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"&amp;L233,IF(AND(MAX(K$1:K232)&gt;0,N(K233)-MAX(K$1:K232)&gt;180),"⚠ Gap &gt; 3h",IF(_xlfn.LET(_xlpm.q,E233,_xlpm.tk,P233,_xlpm.ld,Log!$P$18,_xlpm.fx,IF(OR(_xlpm.ld="",_xlpm.ld="Full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"&amp;_xlpm.q,""))))&lt;&gt;"",IF(N233&lt;&gt;"","Load OK ✓ (checked)","⚠ "&amp;_xlfn.LET(_xlpm.q,E233,_xlpm.tk,P233,_xlpm.ld,Log!$P$18,_xlpm.fx,IF(OR(_xlpm.ld="",_xlpm.ld="Full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"&amp;_xlpm.q,""))))),IF(C233-I233&gt;=0.99,"next day",IF(C233-I233&gt;0.4,"12h → 24h","")))))))))))</f>
        <v/>
      </c>
      <c r="H233" s="4" t="str">
        <f t="shared" si="18"/>
        <v/>
      </c>
      <c r="I233" s="5" t="str">
        <f t="shared" si="19"/>
        <v/>
      </c>
      <c r="J233" s="6">
        <f t="shared" si="20"/>
        <v>0</v>
      </c>
      <c r="K233" s="4" t="str">
        <f t="shared" si="21"/>
        <v/>
      </c>
      <c r="L233" s="4" t="str">
        <f t="shared" si="22"/>
        <v/>
      </c>
      <c r="M233" s="4" t="b" cm="1">
        <f t="array" ref="M233">IF(H233="",FALSE,SUMPRODUCT(--(H$1:H232=H233))&gt;0)</f>
        <v>0</v>
      </c>
      <c r="N233" s="36"/>
      <c r="P233" s="1" t="str">
        <f t="shared" si="23"/>
        <v/>
      </c>
    </row>
    <row r="234" spans="1:16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"&amp;L234,IF(AND(MAX(K$1:K233)&gt;0,N(K234)-MAX(K$1:K233)&gt;180),"⚠ Gap &gt; 3h",IF(_xlfn.LET(_xlpm.q,E234,_xlpm.tk,P234,_xlpm.ld,Log!$P$18,_xlpm.fx,IF(OR(_xlpm.ld="",_xlpm.ld="Full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"&amp;_xlpm.q,""))))&lt;&gt;"",IF(N234&lt;&gt;"","Load OK ✓ (checked)","⚠ "&amp;_xlfn.LET(_xlpm.q,E234,_xlpm.tk,P234,_xlpm.ld,Log!$P$18,_xlpm.fx,IF(OR(_xlpm.ld="",_xlpm.ld="Full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"&amp;_xlpm.q,""))))),IF(C234-I234&gt;=0.99,"next day",IF(C234-I234&gt;0.4,"12h → 24h","")))))))))))</f>
        <v/>
      </c>
      <c r="H234" s="4" t="str">
        <f t="shared" si="18"/>
        <v/>
      </c>
      <c r="I234" s="5" t="str">
        <f t="shared" si="19"/>
        <v/>
      </c>
      <c r="J234" s="6">
        <f t="shared" si="20"/>
        <v>0</v>
      </c>
      <c r="K234" s="4" t="str">
        <f t="shared" si="21"/>
        <v/>
      </c>
      <c r="L234" s="4" t="str">
        <f t="shared" si="22"/>
        <v/>
      </c>
      <c r="M234" s="4" t="b" cm="1">
        <f t="array" ref="M234">IF(H234="",FALSE,SUMPRODUCT(--(H$1:H233=H234))&gt;0)</f>
        <v>0</v>
      </c>
      <c r="N234" s="36"/>
      <c r="P234" s="1" t="str">
        <f t="shared" si="23"/>
        <v/>
      </c>
    </row>
    <row r="235" spans="1:16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"&amp;L235,IF(AND(MAX(K$1:K234)&gt;0,N(K235)-MAX(K$1:K234)&gt;180),"⚠ Gap &gt; 3h",IF(_xlfn.LET(_xlpm.q,E235,_xlpm.tk,P235,_xlpm.ld,Log!$P$18,_xlpm.fx,IF(OR(_xlpm.ld="",_xlpm.ld="Full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"&amp;_xlpm.q,""))))&lt;&gt;"",IF(N235&lt;&gt;"","Load OK ✓ (checked)","⚠ "&amp;_xlfn.LET(_xlpm.q,E235,_xlpm.tk,P235,_xlpm.ld,Log!$P$18,_xlpm.fx,IF(OR(_xlpm.ld="",_xlpm.ld="Full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"&amp;_xlpm.q,""))))),IF(C235-I235&gt;=0.99,"next day",IF(C235-I235&gt;0.4,"12h → 24h","")))))))))))</f>
        <v/>
      </c>
      <c r="H235" s="4" t="str">
        <f t="shared" si="18"/>
        <v/>
      </c>
      <c r="I235" s="5" t="str">
        <f t="shared" si="19"/>
        <v/>
      </c>
      <c r="J235" s="6">
        <f t="shared" si="20"/>
        <v>0</v>
      </c>
      <c r="K235" s="4" t="str">
        <f t="shared" si="21"/>
        <v/>
      </c>
      <c r="L235" s="4" t="str">
        <f t="shared" si="22"/>
        <v/>
      </c>
      <c r="M235" s="4" t="b" cm="1">
        <f t="array" ref="M235">IF(H235="",FALSE,SUMPRODUCT(--(H$1:H234=H235))&gt;0)</f>
        <v>0</v>
      </c>
      <c r="N235" s="36"/>
      <c r="P235" s="1" t="str">
        <f t="shared" si="23"/>
        <v/>
      </c>
    </row>
    <row r="236" spans="1:16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"&amp;L236,IF(AND(MAX(K$1:K235)&gt;0,N(K236)-MAX(K$1:K235)&gt;180),"⚠ Gap &gt; 3h",IF(_xlfn.LET(_xlpm.q,E236,_xlpm.tk,P236,_xlpm.ld,Log!$P$18,_xlpm.fx,IF(OR(_xlpm.ld="",_xlpm.ld="Full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"&amp;_xlpm.q,""))))&lt;&gt;"",IF(N236&lt;&gt;"","Load OK ✓ (checked)","⚠ "&amp;_xlfn.LET(_xlpm.q,E236,_xlpm.tk,P236,_xlpm.ld,Log!$P$18,_xlpm.fx,IF(OR(_xlpm.ld="",_xlpm.ld="Full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"&amp;_xlpm.q,""))))),IF(C236-I236&gt;=0.99,"next day",IF(C236-I236&gt;0.4,"12h → 24h","")))))))))))</f>
        <v/>
      </c>
      <c r="H236" s="4" t="str">
        <f t="shared" si="18"/>
        <v/>
      </c>
      <c r="I236" s="5" t="str">
        <f t="shared" si="19"/>
        <v/>
      </c>
      <c r="J236" s="6">
        <f t="shared" si="20"/>
        <v>0</v>
      </c>
      <c r="K236" s="4" t="str">
        <f t="shared" si="21"/>
        <v/>
      </c>
      <c r="L236" s="4" t="str">
        <f t="shared" si="22"/>
        <v/>
      </c>
      <c r="M236" s="4" t="b" cm="1">
        <f t="array" ref="M236">IF(H236="",FALSE,SUMPRODUCT(--(H$1:H235=H236))&gt;0)</f>
        <v>0</v>
      </c>
      <c r="N236" s="36"/>
      <c r="P236" s="1" t="str">
        <f t="shared" si="23"/>
        <v/>
      </c>
    </row>
    <row r="237" spans="1:16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"&amp;L237,IF(AND(MAX(K$1:K236)&gt;0,N(K237)-MAX(K$1:K236)&gt;180),"⚠ Gap &gt; 3h",IF(_xlfn.LET(_xlpm.q,E237,_xlpm.tk,P237,_xlpm.ld,Log!$P$18,_xlpm.fx,IF(OR(_xlpm.ld="",_xlpm.ld="Full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"&amp;_xlpm.q,""))))&lt;&gt;"",IF(N237&lt;&gt;"","Load OK ✓ (checked)","⚠ "&amp;_xlfn.LET(_xlpm.q,E237,_xlpm.tk,P237,_xlpm.ld,Log!$P$18,_xlpm.fx,IF(OR(_xlpm.ld="",_xlpm.ld="Full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"&amp;_xlpm.q,""))))),IF(C237-I237&gt;=0.99,"next day",IF(C237-I237&gt;0.4,"12h → 24h","")))))))))))</f>
        <v/>
      </c>
      <c r="H237" s="4" t="str">
        <f t="shared" si="18"/>
        <v/>
      </c>
      <c r="I237" s="5" t="str">
        <f t="shared" si="19"/>
        <v/>
      </c>
      <c r="J237" s="6">
        <f t="shared" si="20"/>
        <v>0</v>
      </c>
      <c r="K237" s="4" t="str">
        <f t="shared" si="21"/>
        <v/>
      </c>
      <c r="L237" s="4" t="str">
        <f t="shared" si="22"/>
        <v/>
      </c>
      <c r="M237" s="4" t="b" cm="1">
        <f t="array" ref="M237">IF(H237="",FALSE,SUMPRODUCT(--(H$1:H236=H237))&gt;0)</f>
        <v>0</v>
      </c>
      <c r="N237" s="36"/>
      <c r="P237" s="1" t="str">
        <f t="shared" si="23"/>
        <v/>
      </c>
    </row>
    <row r="238" spans="1:16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"&amp;L238,IF(AND(MAX(K$1:K237)&gt;0,N(K238)-MAX(K$1:K237)&gt;180),"⚠ Gap &gt; 3h",IF(_xlfn.LET(_xlpm.q,E238,_xlpm.tk,P238,_xlpm.ld,Log!$P$18,_xlpm.fx,IF(OR(_xlpm.ld="",_xlpm.ld="Full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"&amp;_xlpm.q,""))))&lt;&gt;"",IF(N238&lt;&gt;"","Load OK ✓ (checked)","⚠ "&amp;_xlfn.LET(_xlpm.q,E238,_xlpm.tk,P238,_xlpm.ld,Log!$P$18,_xlpm.fx,IF(OR(_xlpm.ld="",_xlpm.ld="Full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"&amp;_xlpm.q,""))))),IF(C238-I238&gt;=0.99,"next day",IF(C238-I238&gt;0.4,"12h → 24h","")))))))))))</f>
        <v/>
      </c>
      <c r="H238" s="4" t="str">
        <f t="shared" si="18"/>
        <v/>
      </c>
      <c r="I238" s="5" t="str">
        <f t="shared" si="19"/>
        <v/>
      </c>
      <c r="J238" s="6">
        <f t="shared" si="20"/>
        <v>0</v>
      </c>
      <c r="K238" s="4" t="str">
        <f t="shared" si="21"/>
        <v/>
      </c>
      <c r="L238" s="4" t="str">
        <f t="shared" si="22"/>
        <v/>
      </c>
      <c r="M238" s="4" t="b" cm="1">
        <f t="array" ref="M238">IF(H238="",FALSE,SUMPRODUCT(--(H$1:H237=H238))&gt;0)</f>
        <v>0</v>
      </c>
      <c r="N238" s="36"/>
      <c r="P238" s="1" t="str">
        <f t="shared" si="23"/>
        <v/>
      </c>
    </row>
    <row r="239" spans="1:16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"&amp;L239,IF(AND(MAX(K$1:K238)&gt;0,N(K239)-MAX(K$1:K238)&gt;180),"⚠ Gap &gt; 3h",IF(_xlfn.LET(_xlpm.q,E239,_xlpm.tk,P239,_xlpm.ld,Log!$P$18,_xlpm.fx,IF(OR(_xlpm.ld="",_xlpm.ld="Full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"&amp;_xlpm.q,""))))&lt;&gt;"",IF(N239&lt;&gt;"","Load OK ✓ (checked)","⚠ "&amp;_xlfn.LET(_xlpm.q,E239,_xlpm.tk,P239,_xlpm.ld,Log!$P$18,_xlpm.fx,IF(OR(_xlpm.ld="",_xlpm.ld="Full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"&amp;_xlpm.q,""))))),IF(C239-I239&gt;=0.99,"next day",IF(C239-I239&gt;0.4,"12h → 24h","")))))))))))</f>
        <v/>
      </c>
      <c r="H239" s="4" t="str">
        <f t="shared" si="18"/>
        <v/>
      </c>
      <c r="I239" s="5" t="str">
        <f t="shared" si="19"/>
        <v/>
      </c>
      <c r="J239" s="6">
        <f t="shared" si="20"/>
        <v>0</v>
      </c>
      <c r="K239" s="4" t="str">
        <f t="shared" si="21"/>
        <v/>
      </c>
      <c r="L239" s="4" t="str">
        <f t="shared" si="22"/>
        <v/>
      </c>
      <c r="M239" s="4" t="b" cm="1">
        <f t="array" ref="M239">IF(H239="",FALSE,SUMPRODUCT(--(H$1:H238=H239))&gt;0)</f>
        <v>0</v>
      </c>
      <c r="N239" s="36"/>
      <c r="P239" s="1" t="str">
        <f t="shared" si="23"/>
        <v/>
      </c>
    </row>
    <row r="240" spans="1:16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"&amp;L240,IF(AND(MAX(K$1:K239)&gt;0,N(K240)-MAX(K$1:K239)&gt;180),"⚠ Gap &gt; 3h",IF(_xlfn.LET(_xlpm.q,E240,_xlpm.tk,P240,_xlpm.ld,Log!$P$18,_xlpm.fx,IF(OR(_xlpm.ld="",_xlpm.ld="Full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"&amp;_xlpm.q,""))))&lt;&gt;"",IF(N240&lt;&gt;"","Load OK ✓ (checked)","⚠ "&amp;_xlfn.LET(_xlpm.q,E240,_xlpm.tk,P240,_xlpm.ld,Log!$P$18,_xlpm.fx,IF(OR(_xlpm.ld="",_xlpm.ld="Full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"&amp;_xlpm.q,""))))),IF(C240-I240&gt;=0.99,"next day",IF(C240-I240&gt;0.4,"12h → 24h","")))))))))))</f>
        <v/>
      </c>
      <c r="H240" s="4" t="str">
        <f t="shared" si="18"/>
        <v/>
      </c>
      <c r="I240" s="5" t="str">
        <f t="shared" si="19"/>
        <v/>
      </c>
      <c r="J240" s="6">
        <f t="shared" si="20"/>
        <v>0</v>
      </c>
      <c r="K240" s="4" t="str">
        <f t="shared" si="21"/>
        <v/>
      </c>
      <c r="L240" s="4" t="str">
        <f t="shared" si="22"/>
        <v/>
      </c>
      <c r="M240" s="4" t="b" cm="1">
        <f t="array" ref="M240">IF(H240="",FALSE,SUMPRODUCT(--(H$1:H239=H240))&gt;0)</f>
        <v>0</v>
      </c>
      <c r="N240" s="36"/>
      <c r="P240" s="1" t="str">
        <f t="shared" si="23"/>
        <v/>
      </c>
    </row>
    <row r="241" spans="1:16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"&amp;L241,IF(AND(MAX(K$1:K240)&gt;0,N(K241)-MAX(K$1:K240)&gt;180),"⚠ Gap &gt; 3h",IF(_xlfn.LET(_xlpm.q,E241,_xlpm.tk,P241,_xlpm.ld,Log!$P$18,_xlpm.fx,IF(OR(_xlpm.ld="",_xlpm.ld="Full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"&amp;_xlpm.q,""))))&lt;&gt;"",IF(N241&lt;&gt;"","Load OK ✓ (checked)","⚠ "&amp;_xlfn.LET(_xlpm.q,E241,_xlpm.tk,P241,_xlpm.ld,Log!$P$18,_xlpm.fx,IF(OR(_xlpm.ld="",_xlpm.ld="Full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"&amp;_xlpm.q,""))))),IF(C241-I241&gt;=0.99,"next day",IF(C241-I241&gt;0.4,"12h → 24h","")))))))))))</f>
        <v/>
      </c>
      <c r="H241" s="4" t="str">
        <f t="shared" si="18"/>
        <v/>
      </c>
      <c r="I241" s="5" t="str">
        <f t="shared" si="19"/>
        <v/>
      </c>
      <c r="J241" s="6">
        <f t="shared" si="20"/>
        <v>0</v>
      </c>
      <c r="K241" s="4" t="str">
        <f t="shared" si="21"/>
        <v/>
      </c>
      <c r="L241" s="4" t="str">
        <f t="shared" si="22"/>
        <v/>
      </c>
      <c r="M241" s="4" t="b" cm="1">
        <f t="array" ref="M241">IF(H241="",FALSE,SUMPRODUCT(--(H$1:H240=H241))&gt;0)</f>
        <v>0</v>
      </c>
      <c r="N241" s="36"/>
      <c r="P241" s="1" t="str">
        <f t="shared" si="23"/>
        <v/>
      </c>
    </row>
    <row r="242" spans="1:16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"&amp;L242,IF(AND(MAX(K$1:K241)&gt;0,N(K242)-MAX(K$1:K241)&gt;180),"⚠ Gap &gt; 3h",IF(_xlfn.LET(_xlpm.q,E242,_xlpm.tk,P242,_xlpm.ld,Log!$P$18,_xlpm.fx,IF(OR(_xlpm.ld="",_xlpm.ld="Full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"&amp;_xlpm.q,""))))&lt;&gt;"",IF(N242&lt;&gt;"","Load OK ✓ (checked)","⚠ "&amp;_xlfn.LET(_xlpm.q,E242,_xlpm.tk,P242,_xlpm.ld,Log!$P$18,_xlpm.fx,IF(OR(_xlpm.ld="",_xlpm.ld="Full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"&amp;_xlpm.q,""))))),IF(C242-I242&gt;=0.99,"next day",IF(C242-I242&gt;0.4,"12h → 24h","")))))))))))</f>
        <v/>
      </c>
      <c r="H242" s="4" t="str">
        <f t="shared" si="18"/>
        <v/>
      </c>
      <c r="I242" s="5" t="str">
        <f t="shared" si="19"/>
        <v/>
      </c>
      <c r="J242" s="6">
        <f t="shared" si="20"/>
        <v>0</v>
      </c>
      <c r="K242" s="4" t="str">
        <f t="shared" si="21"/>
        <v/>
      </c>
      <c r="L242" s="4" t="str">
        <f t="shared" si="22"/>
        <v/>
      </c>
      <c r="M242" s="4" t="b" cm="1">
        <f t="array" ref="M242">IF(H242="",FALSE,SUMPRODUCT(--(H$1:H241=H242))&gt;0)</f>
        <v>0</v>
      </c>
      <c r="N242" s="36"/>
      <c r="P242" s="1" t="str">
        <f t="shared" si="23"/>
        <v/>
      </c>
    </row>
    <row r="243" spans="1:16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"&amp;L243,IF(AND(MAX(K$1:K242)&gt;0,N(K243)-MAX(K$1:K242)&gt;180),"⚠ Gap &gt; 3h",IF(_xlfn.LET(_xlpm.q,E243,_xlpm.tk,P243,_xlpm.ld,Log!$P$18,_xlpm.fx,IF(OR(_xlpm.ld="",_xlpm.ld="Full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"&amp;_xlpm.q,""))))&lt;&gt;"",IF(N243&lt;&gt;"","Load OK ✓ (checked)","⚠ "&amp;_xlfn.LET(_xlpm.q,E243,_xlpm.tk,P243,_xlpm.ld,Log!$P$18,_xlpm.fx,IF(OR(_xlpm.ld="",_xlpm.ld="Full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"&amp;_xlpm.q,""))))),IF(C243-I243&gt;=0.99,"next day",IF(C243-I243&gt;0.4,"12h → 24h","")))))))))))</f>
        <v/>
      </c>
      <c r="H243" s="4" t="str">
        <f t="shared" si="18"/>
        <v/>
      </c>
      <c r="I243" s="5" t="str">
        <f t="shared" si="19"/>
        <v/>
      </c>
      <c r="J243" s="6">
        <f t="shared" si="20"/>
        <v>0</v>
      </c>
      <c r="K243" s="4" t="str">
        <f t="shared" si="21"/>
        <v/>
      </c>
      <c r="L243" s="4" t="str">
        <f t="shared" si="22"/>
        <v/>
      </c>
      <c r="M243" s="4" t="b" cm="1">
        <f t="array" ref="M243">IF(H243="",FALSE,SUMPRODUCT(--(H$1:H242=H243))&gt;0)</f>
        <v>0</v>
      </c>
      <c r="N243" s="36"/>
      <c r="P243" s="1" t="str">
        <f t="shared" si="23"/>
        <v/>
      </c>
    </row>
    <row r="244" spans="1:16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"&amp;L244,IF(AND(MAX(K$1:K243)&gt;0,N(K244)-MAX(K$1:K243)&gt;180),"⚠ Gap &gt; 3h",IF(_xlfn.LET(_xlpm.q,E244,_xlpm.tk,P244,_xlpm.ld,Log!$P$18,_xlpm.fx,IF(OR(_xlpm.ld="",_xlpm.ld="Full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"&amp;_xlpm.q,""))))&lt;&gt;"",IF(N244&lt;&gt;"","Load OK ✓ (checked)","⚠ "&amp;_xlfn.LET(_xlpm.q,E244,_xlpm.tk,P244,_xlpm.ld,Log!$P$18,_xlpm.fx,IF(OR(_xlpm.ld="",_xlpm.ld="Full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"&amp;_xlpm.q,""))))),IF(C244-I244&gt;=0.99,"next day",IF(C244-I244&gt;0.4,"12h → 24h","")))))))))))</f>
        <v/>
      </c>
      <c r="H244" s="4" t="str">
        <f t="shared" si="18"/>
        <v/>
      </c>
      <c r="I244" s="5" t="str">
        <f t="shared" si="19"/>
        <v/>
      </c>
      <c r="J244" s="6">
        <f t="shared" si="20"/>
        <v>0</v>
      </c>
      <c r="K244" s="4" t="str">
        <f t="shared" si="21"/>
        <v/>
      </c>
      <c r="L244" s="4" t="str">
        <f t="shared" si="22"/>
        <v/>
      </c>
      <c r="M244" s="4" t="b" cm="1">
        <f t="array" ref="M244">IF(H244="",FALSE,SUMPRODUCT(--(H$1:H243=H244))&gt;0)</f>
        <v>0</v>
      </c>
      <c r="N244" s="36"/>
      <c r="P244" s="1" t="str">
        <f t="shared" si="23"/>
        <v/>
      </c>
    </row>
    <row r="245" spans="1:16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"&amp;L245,IF(AND(MAX(K$1:K244)&gt;0,N(K245)-MAX(K$1:K244)&gt;180),"⚠ Gap &gt; 3h",IF(_xlfn.LET(_xlpm.q,E245,_xlpm.tk,P245,_xlpm.ld,Log!$P$18,_xlpm.fx,IF(OR(_xlpm.ld="",_xlpm.ld="Full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"&amp;_xlpm.q,""))))&lt;&gt;"",IF(N245&lt;&gt;"","Load OK ✓ (checked)","⚠ "&amp;_xlfn.LET(_xlpm.q,E245,_xlpm.tk,P245,_xlpm.ld,Log!$P$18,_xlpm.fx,IF(OR(_xlpm.ld="",_xlpm.ld="Full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"&amp;_xlpm.q,""))))),IF(C245-I245&gt;=0.99,"next day",IF(C245-I245&gt;0.4,"12h → 24h","")))))))))))</f>
        <v/>
      </c>
      <c r="H245" s="4" t="str">
        <f t="shared" si="18"/>
        <v/>
      </c>
      <c r="I245" s="5" t="str">
        <f t="shared" si="19"/>
        <v/>
      </c>
      <c r="J245" s="6">
        <f t="shared" si="20"/>
        <v>0</v>
      </c>
      <c r="K245" s="4" t="str">
        <f t="shared" si="21"/>
        <v/>
      </c>
      <c r="L245" s="4" t="str">
        <f t="shared" si="22"/>
        <v/>
      </c>
      <c r="M245" s="4" t="b" cm="1">
        <f t="array" ref="M245">IF(H245="",FALSE,SUMPRODUCT(--(H$1:H244=H245))&gt;0)</f>
        <v>0</v>
      </c>
      <c r="N245" s="36"/>
      <c r="P245" s="1" t="str">
        <f t="shared" si="23"/>
        <v/>
      </c>
    </row>
    <row r="246" spans="1:16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"&amp;L246,IF(AND(MAX(K$1:K245)&gt;0,N(K246)-MAX(K$1:K245)&gt;180),"⚠ Gap &gt; 3h",IF(_xlfn.LET(_xlpm.q,E246,_xlpm.tk,P246,_xlpm.ld,Log!$P$18,_xlpm.fx,IF(OR(_xlpm.ld="",_xlpm.ld="Full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"&amp;_xlpm.q,""))))&lt;&gt;"",IF(N246&lt;&gt;"","Load OK ✓ (checked)","⚠ "&amp;_xlfn.LET(_xlpm.q,E246,_xlpm.tk,P246,_xlpm.ld,Log!$P$18,_xlpm.fx,IF(OR(_xlpm.ld="",_xlpm.ld="Full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"&amp;_xlpm.q,""))))),IF(C246-I246&gt;=0.99,"next day",IF(C246-I246&gt;0.4,"12h → 24h","")))))))))))</f>
        <v/>
      </c>
      <c r="H246" s="4" t="str">
        <f t="shared" si="18"/>
        <v/>
      </c>
      <c r="I246" s="5" t="str">
        <f t="shared" si="19"/>
        <v/>
      </c>
      <c r="J246" s="6">
        <f t="shared" si="20"/>
        <v>0</v>
      </c>
      <c r="K246" s="4" t="str">
        <f t="shared" si="21"/>
        <v/>
      </c>
      <c r="L246" s="4" t="str">
        <f t="shared" si="22"/>
        <v/>
      </c>
      <c r="M246" s="4" t="b" cm="1">
        <f t="array" ref="M246">IF(H246="",FALSE,SUMPRODUCT(--(H$1:H245=H246))&gt;0)</f>
        <v>0</v>
      </c>
      <c r="N246" s="36"/>
      <c r="P246" s="1" t="str">
        <f t="shared" si="23"/>
        <v/>
      </c>
    </row>
    <row r="247" spans="1:16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"&amp;L247,IF(AND(MAX(K$1:K246)&gt;0,N(K247)-MAX(K$1:K246)&gt;180),"⚠ Gap &gt; 3h",IF(_xlfn.LET(_xlpm.q,E247,_xlpm.tk,P247,_xlpm.ld,Log!$P$18,_xlpm.fx,IF(OR(_xlpm.ld="",_xlpm.ld="Full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"&amp;_xlpm.q,""))))&lt;&gt;"",IF(N247&lt;&gt;"","Load OK ✓ (checked)","⚠ "&amp;_xlfn.LET(_xlpm.q,E247,_xlpm.tk,P247,_xlpm.ld,Log!$P$18,_xlpm.fx,IF(OR(_xlpm.ld="",_xlpm.ld="Full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"&amp;_xlpm.q,""))))),IF(C247-I247&gt;=0.99,"next day",IF(C247-I247&gt;0.4,"12h → 24h","")))))))))))</f>
        <v/>
      </c>
      <c r="H247" s="4" t="str">
        <f t="shared" si="18"/>
        <v/>
      </c>
      <c r="I247" s="5" t="str">
        <f t="shared" si="19"/>
        <v/>
      </c>
      <c r="J247" s="6">
        <f t="shared" si="20"/>
        <v>0</v>
      </c>
      <c r="K247" s="4" t="str">
        <f t="shared" si="21"/>
        <v/>
      </c>
      <c r="L247" s="4" t="str">
        <f t="shared" si="22"/>
        <v/>
      </c>
      <c r="M247" s="4" t="b" cm="1">
        <f t="array" ref="M247">IF(H247="",FALSE,SUMPRODUCT(--(H$1:H246=H247))&gt;0)</f>
        <v>0</v>
      </c>
      <c r="N247" s="36"/>
      <c r="P247" s="1" t="str">
        <f t="shared" si="23"/>
        <v/>
      </c>
    </row>
    <row r="248" spans="1:16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"&amp;L248,IF(AND(MAX(K$1:K247)&gt;0,N(K248)-MAX(K$1:K247)&gt;180),"⚠ Gap &gt; 3h",IF(_xlfn.LET(_xlpm.q,E248,_xlpm.tk,P248,_xlpm.ld,Log!$P$18,_xlpm.fx,IF(OR(_xlpm.ld="",_xlpm.ld="Full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"&amp;_xlpm.q,""))))&lt;&gt;"",IF(N248&lt;&gt;"","Load OK ✓ (checked)","⚠ "&amp;_xlfn.LET(_xlpm.q,E248,_xlpm.tk,P248,_xlpm.ld,Log!$P$18,_xlpm.fx,IF(OR(_xlpm.ld="",_xlpm.ld="Full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"&amp;_xlpm.q,""))))),IF(C248-I248&gt;=0.99,"next day",IF(C248-I248&gt;0.4,"12h → 24h","")))))))))))</f>
        <v/>
      </c>
      <c r="H248" s="4" t="str">
        <f t="shared" si="18"/>
        <v/>
      </c>
      <c r="I248" s="5" t="str">
        <f t="shared" si="19"/>
        <v/>
      </c>
      <c r="J248" s="6">
        <f t="shared" si="20"/>
        <v>0</v>
      </c>
      <c r="K248" s="4" t="str">
        <f t="shared" si="21"/>
        <v/>
      </c>
      <c r="L248" s="4" t="str">
        <f t="shared" si="22"/>
        <v/>
      </c>
      <c r="M248" s="4" t="b" cm="1">
        <f t="array" ref="M248">IF(H248="",FALSE,SUMPRODUCT(--(H$1:H247=H248))&gt;0)</f>
        <v>0</v>
      </c>
      <c r="N248" s="36"/>
      <c r="P248" s="1" t="str">
        <f t="shared" si="23"/>
        <v/>
      </c>
    </row>
    <row r="249" spans="1:16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"&amp;L249,IF(AND(MAX(K$1:K248)&gt;0,N(K249)-MAX(K$1:K248)&gt;180),"⚠ Gap &gt; 3h",IF(_xlfn.LET(_xlpm.q,E249,_xlpm.tk,P249,_xlpm.ld,Log!$P$18,_xlpm.fx,IF(OR(_xlpm.ld="",_xlpm.ld="Full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"&amp;_xlpm.q,""))))&lt;&gt;"",IF(N249&lt;&gt;"","Load OK ✓ (checked)","⚠ "&amp;_xlfn.LET(_xlpm.q,E249,_xlpm.tk,P249,_xlpm.ld,Log!$P$18,_xlpm.fx,IF(OR(_xlpm.ld="",_xlpm.ld="Full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"&amp;_xlpm.q,""))))),IF(C249-I249&gt;=0.99,"next day",IF(C249-I249&gt;0.4,"12h → 24h","")))))))))))</f>
        <v/>
      </c>
      <c r="H249" s="4" t="str">
        <f t="shared" si="18"/>
        <v/>
      </c>
      <c r="I249" s="5" t="str">
        <f t="shared" si="19"/>
        <v/>
      </c>
      <c r="J249" s="6">
        <f t="shared" si="20"/>
        <v>0</v>
      </c>
      <c r="K249" s="4" t="str">
        <f t="shared" si="21"/>
        <v/>
      </c>
      <c r="L249" s="4" t="str">
        <f t="shared" si="22"/>
        <v/>
      </c>
      <c r="M249" s="4" t="b" cm="1">
        <f t="array" ref="M249">IF(H249="",FALSE,SUMPRODUCT(--(H$1:H248=H249))&gt;0)</f>
        <v>0</v>
      </c>
      <c r="N249" s="36"/>
      <c r="P249" s="1" t="str">
        <f t="shared" si="23"/>
        <v/>
      </c>
    </row>
    <row r="250" spans="1:16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"&amp;L250,IF(AND(MAX(K$1:K249)&gt;0,N(K250)-MAX(K$1:K249)&gt;180),"⚠ Gap &gt; 3h",IF(_xlfn.LET(_xlpm.q,E250,_xlpm.tk,P250,_xlpm.ld,Log!$P$18,_xlpm.fx,IF(OR(_xlpm.ld="",_xlpm.ld="Full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"&amp;_xlpm.q,""))))&lt;&gt;"",IF(N250&lt;&gt;"","Load OK ✓ (checked)","⚠ "&amp;_xlfn.LET(_xlpm.q,E250,_xlpm.tk,P250,_xlpm.ld,Log!$P$18,_xlpm.fx,IF(OR(_xlpm.ld="",_xlpm.ld="Full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"&amp;_xlpm.q,""))))),IF(C250-I250&gt;=0.99,"next day",IF(C250-I250&gt;0.4,"12h → 24h","")))))))))))</f>
        <v/>
      </c>
      <c r="H250" s="4" t="str">
        <f t="shared" si="18"/>
        <v/>
      </c>
      <c r="I250" s="5" t="str">
        <f t="shared" si="19"/>
        <v/>
      </c>
      <c r="J250" s="6">
        <f t="shared" si="20"/>
        <v>0</v>
      </c>
      <c r="K250" s="4" t="str">
        <f t="shared" si="21"/>
        <v/>
      </c>
      <c r="L250" s="4" t="str">
        <f t="shared" si="22"/>
        <v/>
      </c>
      <c r="M250" s="4" t="b" cm="1">
        <f t="array" ref="M250">IF(H250="",FALSE,SUMPRODUCT(--(H$1:H249=H250))&gt;0)</f>
        <v>0</v>
      </c>
      <c r="N250" s="36"/>
      <c r="P250" s="1" t="str">
        <f t="shared" si="23"/>
        <v/>
      </c>
    </row>
    <row r="251" spans="1:16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"&amp;L251,IF(AND(MAX(K$1:K250)&gt;0,N(K251)-MAX(K$1:K250)&gt;180),"⚠ Gap &gt; 3h",IF(_xlfn.LET(_xlpm.q,E251,_xlpm.tk,P251,_xlpm.ld,Log!$P$18,_xlpm.fx,IF(OR(_xlpm.ld="",_xlpm.ld="Full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"&amp;_xlpm.q,""))))&lt;&gt;"",IF(N251&lt;&gt;"","Load OK ✓ (checked)","⚠ "&amp;_xlfn.LET(_xlpm.q,E251,_xlpm.tk,P251,_xlpm.ld,Log!$P$18,_xlpm.fx,IF(OR(_xlpm.ld="",_xlpm.ld="Full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"&amp;_xlpm.q,""))))),IF(C251-I251&gt;=0.99,"next day",IF(C251-I251&gt;0.4,"12h → 24h","")))))))))))</f>
        <v/>
      </c>
      <c r="H251" s="4" t="str">
        <f t="shared" si="18"/>
        <v/>
      </c>
      <c r="I251" s="5" t="str">
        <f t="shared" si="19"/>
        <v/>
      </c>
      <c r="J251" s="6">
        <f t="shared" si="20"/>
        <v>0</v>
      </c>
      <c r="K251" s="4" t="str">
        <f t="shared" si="21"/>
        <v/>
      </c>
      <c r="L251" s="4" t="str">
        <f t="shared" si="22"/>
        <v/>
      </c>
      <c r="M251" s="4" t="b" cm="1">
        <f t="array" ref="M251">IF(H251="",FALSE,SUMPRODUCT(--(H$1:H250=H251))&gt;0)</f>
        <v>0</v>
      </c>
      <c r="N251" s="36"/>
      <c r="P251" s="1" t="str">
        <f t="shared" si="23"/>
        <v/>
      </c>
    </row>
    <row r="252" spans="1:16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"&amp;L252,IF(AND(MAX(K$1:K251)&gt;0,N(K252)-MAX(K$1:K251)&gt;180),"⚠ Gap &gt; 3h",IF(_xlfn.LET(_xlpm.q,E252,_xlpm.tk,P252,_xlpm.ld,Log!$P$18,_xlpm.fx,IF(OR(_xlpm.ld="",_xlpm.ld="Full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"&amp;_xlpm.q,""))))&lt;&gt;"",IF(N252&lt;&gt;"","Load OK ✓ (checked)","⚠ "&amp;_xlfn.LET(_xlpm.q,E252,_xlpm.tk,P252,_xlpm.ld,Log!$P$18,_xlpm.fx,IF(OR(_xlpm.ld="",_xlpm.ld="Full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"&amp;_xlpm.q,""))))),IF(C252-I252&gt;=0.99,"next day",IF(C252-I252&gt;0.4,"12h → 24h","")))))))))))</f>
        <v/>
      </c>
      <c r="H252" s="4" t="str">
        <f t="shared" si="18"/>
        <v/>
      </c>
      <c r="I252" s="5" t="str">
        <f t="shared" si="19"/>
        <v/>
      </c>
      <c r="J252" s="6">
        <f t="shared" si="20"/>
        <v>0</v>
      </c>
      <c r="K252" s="4" t="str">
        <f t="shared" si="21"/>
        <v/>
      </c>
      <c r="L252" s="4" t="str">
        <f t="shared" si="22"/>
        <v/>
      </c>
      <c r="M252" s="4" t="b" cm="1">
        <f t="array" ref="M252">IF(H252="",FALSE,SUMPRODUCT(--(H$1:H251=H252))&gt;0)</f>
        <v>0</v>
      </c>
      <c r="N252" s="36"/>
      <c r="P252" s="1" t="str">
        <f t="shared" si="23"/>
        <v/>
      </c>
    </row>
    <row r="253" spans="1:16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"&amp;L253,IF(AND(MAX(K$1:K252)&gt;0,N(K253)-MAX(K$1:K252)&gt;180),"⚠ Gap &gt; 3h",IF(_xlfn.LET(_xlpm.q,E253,_xlpm.tk,P253,_xlpm.ld,Log!$P$18,_xlpm.fx,IF(OR(_xlpm.ld="",_xlpm.ld="Full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"&amp;_xlpm.q,""))))&lt;&gt;"",IF(N253&lt;&gt;"","Load OK ✓ (checked)","⚠ "&amp;_xlfn.LET(_xlpm.q,E253,_xlpm.tk,P253,_xlpm.ld,Log!$P$18,_xlpm.fx,IF(OR(_xlpm.ld="",_xlpm.ld="Full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"&amp;_xlpm.q,""))))),IF(C253-I253&gt;=0.99,"next day",IF(C253-I253&gt;0.4,"12h → 24h","")))))))))))</f>
        <v/>
      </c>
      <c r="H253" s="4" t="str">
        <f t="shared" si="18"/>
        <v/>
      </c>
      <c r="I253" s="5" t="str">
        <f t="shared" si="19"/>
        <v/>
      </c>
      <c r="J253" s="6">
        <f t="shared" si="20"/>
        <v>0</v>
      </c>
      <c r="K253" s="4" t="str">
        <f t="shared" si="21"/>
        <v/>
      </c>
      <c r="L253" s="4" t="str">
        <f t="shared" si="22"/>
        <v/>
      </c>
      <c r="M253" s="4" t="b" cm="1">
        <f t="array" ref="M253">IF(H253="",FALSE,SUMPRODUCT(--(H$1:H252=H253))&gt;0)</f>
        <v>0</v>
      </c>
      <c r="N253" s="36"/>
      <c r="P253" s="1" t="str">
        <f t="shared" si="23"/>
        <v/>
      </c>
    </row>
    <row r="254" spans="1:16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"&amp;L254,IF(AND(MAX(K$1:K253)&gt;0,N(K254)-MAX(K$1:K253)&gt;180),"⚠ Gap &gt; 3h",IF(_xlfn.LET(_xlpm.q,E254,_xlpm.tk,P254,_xlpm.ld,Log!$P$18,_xlpm.fx,IF(OR(_xlpm.ld="",_xlpm.ld="Full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"&amp;_xlpm.q,""))))&lt;&gt;"",IF(N254&lt;&gt;"","Load OK ✓ (checked)","⚠ "&amp;_xlfn.LET(_xlpm.q,E254,_xlpm.tk,P254,_xlpm.ld,Log!$P$18,_xlpm.fx,IF(OR(_xlpm.ld="",_xlpm.ld="Full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"&amp;_xlpm.q,""))))),IF(C254-I254&gt;=0.99,"next day",IF(C254-I254&gt;0.4,"12h → 24h","")))))))))))</f>
        <v/>
      </c>
      <c r="H254" s="4" t="str">
        <f t="shared" si="18"/>
        <v/>
      </c>
      <c r="I254" s="5" t="str">
        <f t="shared" si="19"/>
        <v/>
      </c>
      <c r="J254" s="6">
        <f t="shared" si="20"/>
        <v>0</v>
      </c>
      <c r="K254" s="4" t="str">
        <f t="shared" si="21"/>
        <v/>
      </c>
      <c r="L254" s="4" t="str">
        <f t="shared" si="22"/>
        <v/>
      </c>
      <c r="M254" s="4" t="b" cm="1">
        <f t="array" ref="M254">IF(H254="",FALSE,SUMPRODUCT(--(H$1:H253=H254))&gt;0)</f>
        <v>0</v>
      </c>
      <c r="N254" s="36"/>
      <c r="P254" s="1" t="str">
        <f t="shared" si="23"/>
        <v/>
      </c>
    </row>
    <row r="255" spans="1:16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"&amp;L255,IF(AND(MAX(K$1:K254)&gt;0,N(K255)-MAX(K$1:K254)&gt;180),"⚠ Gap &gt; 3h",IF(_xlfn.LET(_xlpm.q,E255,_xlpm.tk,P255,_xlpm.ld,Log!$P$18,_xlpm.fx,IF(OR(_xlpm.ld="",_xlpm.ld="Full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"&amp;_xlpm.q,""))))&lt;&gt;"",IF(N255&lt;&gt;"","Load OK ✓ (checked)","⚠ "&amp;_xlfn.LET(_xlpm.q,E255,_xlpm.tk,P255,_xlpm.ld,Log!$P$18,_xlpm.fx,IF(OR(_xlpm.ld="",_xlpm.ld="Full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"&amp;_xlpm.q,""))))),IF(C255-I255&gt;=0.99,"next day",IF(C255-I255&gt;0.4,"12h → 24h","")))))))))))</f>
        <v/>
      </c>
      <c r="H255" s="4" t="str">
        <f t="shared" si="18"/>
        <v/>
      </c>
      <c r="I255" s="5" t="str">
        <f t="shared" si="19"/>
        <v/>
      </c>
      <c r="J255" s="6">
        <f t="shared" si="20"/>
        <v>0</v>
      </c>
      <c r="K255" s="4" t="str">
        <f t="shared" si="21"/>
        <v/>
      </c>
      <c r="L255" s="4" t="str">
        <f t="shared" si="22"/>
        <v/>
      </c>
      <c r="M255" s="4" t="b" cm="1">
        <f t="array" ref="M255">IF(H255="",FALSE,SUMPRODUCT(--(H$1:H254=H255))&gt;0)</f>
        <v>0</v>
      </c>
      <c r="N255" s="36"/>
      <c r="P255" s="1" t="str">
        <f t="shared" si="23"/>
        <v/>
      </c>
    </row>
    <row r="256" spans="1:16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"&amp;L256,IF(AND(MAX(K$1:K255)&gt;0,N(K256)-MAX(K$1:K255)&gt;180),"⚠ Gap &gt; 3h",IF(_xlfn.LET(_xlpm.q,E256,_xlpm.tk,P256,_xlpm.ld,Log!$P$18,_xlpm.fx,IF(OR(_xlpm.ld="",_xlpm.ld="Full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"&amp;_xlpm.q,""))))&lt;&gt;"",IF(N256&lt;&gt;"","Load OK ✓ (checked)","⚠ "&amp;_xlfn.LET(_xlpm.q,E256,_xlpm.tk,P256,_xlpm.ld,Log!$P$18,_xlpm.fx,IF(OR(_xlpm.ld="",_xlpm.ld="Full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"&amp;_xlpm.q,""))))),IF(C256-I256&gt;=0.99,"next day",IF(C256-I256&gt;0.4,"12h → 24h","")))))))))))</f>
        <v/>
      </c>
      <c r="H256" s="4" t="str">
        <f t="shared" si="18"/>
        <v/>
      </c>
      <c r="I256" s="5" t="str">
        <f t="shared" si="19"/>
        <v/>
      </c>
      <c r="J256" s="6">
        <f t="shared" si="20"/>
        <v>0</v>
      </c>
      <c r="K256" s="4" t="str">
        <f t="shared" si="21"/>
        <v/>
      </c>
      <c r="L256" s="4" t="str">
        <f t="shared" si="22"/>
        <v/>
      </c>
      <c r="M256" s="4" t="b" cm="1">
        <f t="array" ref="M256">IF(H256="",FALSE,SUMPRODUCT(--(H$1:H255=H256))&gt;0)</f>
        <v>0</v>
      </c>
      <c r="N256" s="36"/>
      <c r="P256" s="1" t="str">
        <f t="shared" si="23"/>
        <v/>
      </c>
    </row>
    <row r="257" spans="1:16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"&amp;L257,IF(AND(MAX(K$1:K256)&gt;0,N(K257)-MAX(K$1:K256)&gt;180),"⚠ Gap &gt; 3h",IF(_xlfn.LET(_xlpm.q,E257,_xlpm.tk,P257,_xlpm.ld,Log!$P$18,_xlpm.fx,IF(OR(_xlpm.ld="",_xlpm.ld="Full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"&amp;_xlpm.q,""))))&lt;&gt;"",IF(N257&lt;&gt;"","Load OK ✓ (checked)","⚠ "&amp;_xlfn.LET(_xlpm.q,E257,_xlpm.tk,P257,_xlpm.ld,Log!$P$18,_xlpm.fx,IF(OR(_xlpm.ld="",_xlpm.ld="Full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"&amp;_xlpm.q,""))))),IF(C257-I257&gt;=0.99,"next day",IF(C257-I257&gt;0.4,"12h → 24h","")))))))))))</f>
        <v/>
      </c>
      <c r="H257" s="4" t="str">
        <f t="shared" si="18"/>
        <v/>
      </c>
      <c r="I257" s="5" t="str">
        <f t="shared" si="19"/>
        <v/>
      </c>
      <c r="J257" s="6">
        <f t="shared" si="20"/>
        <v>0</v>
      </c>
      <c r="K257" s="4" t="str">
        <f t="shared" si="21"/>
        <v/>
      </c>
      <c r="L257" s="4" t="str">
        <f t="shared" si="22"/>
        <v/>
      </c>
      <c r="M257" s="4" t="b" cm="1">
        <f t="array" ref="M257">IF(H257="",FALSE,SUMPRODUCT(--(H$1:H256=H257))&gt;0)</f>
        <v>0</v>
      </c>
      <c r="N257" s="36"/>
      <c r="P257" s="1" t="str">
        <f t="shared" si="23"/>
        <v/>
      </c>
    </row>
    <row r="258" spans="1:16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"&amp;L258,IF(AND(MAX(K$1:K257)&gt;0,N(K258)-MAX(K$1:K257)&gt;180),"⚠ Gap &gt; 3h",IF(_xlfn.LET(_xlpm.q,E258,_xlpm.tk,P258,_xlpm.ld,Log!$P$18,_xlpm.fx,IF(OR(_xlpm.ld="",_xlpm.ld="Full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"&amp;_xlpm.q,""))))&lt;&gt;"",IF(N258&lt;&gt;"","Load OK ✓ (checked)","⚠ "&amp;_xlfn.LET(_xlpm.q,E258,_xlpm.tk,P258,_xlpm.ld,Log!$P$18,_xlpm.fx,IF(OR(_xlpm.ld="",_xlpm.ld="Full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"&amp;_xlpm.q,""))))),IF(C258-I258&gt;=0.99,"next day",IF(C258-I258&gt;0.4,"12h → 24h","")))))))))))</f>
        <v/>
      </c>
      <c r="H258" s="4" t="str">
        <f t="shared" ref="H258:H321" si="24">IF(B258="","",_xlfn.LET(_xlpm.t,TRIM(B258),IF(LEFT(_xlpm.t,1)="[",IFERROR(TRIM(MID(_xlpm.t,FIND(": ",_xlpm.t,FIND("]",_xlpm.t))+2,500)),_xlpm.t),_xlpm.t)))</f>
        <v/>
      </c>
      <c r="I258" s="5" t="str">
        <f t="shared" ref="I258:I321" si="25">IF(H258="","",IFERROR(TIMEVALUE(TRIM(SUBSTITUTE(SUBSTITUTE(MID(H258,SEARCH(":",H258)-2,5),".",""),"*",""))),""))</f>
        <v/>
      </c>
      <c r="J258" s="6">
        <f t="shared" ref="J258:J321" si="26">IF(OR(B258="",F258="",M258),0,IF(ISNUMBER(F258),F258,N(E258)))</f>
        <v>0</v>
      </c>
      <c r="K258" s="4" t="str">
        <f t="shared" ref="K258:K321" si="27">IF(OR(C258="",M258),"",ROUND(C258*1440,0))</f>
        <v/>
      </c>
      <c r="L258" s="4" t="str">
        <f t="shared" ref="L258:L321" si="28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  <c r="N258" s="36"/>
      <c r="P258" s="1" t="str">
        <f t="shared" ref="P258:P321" si="29">IF(OR(H258="",NOT(ISNUMBER(L258))),"",IFERROR(_xlfn.LET(_xlpm.t,TRIM(SUBSTITUTE(SUBSTITUTE(SUBSTITUTE(H258,"*",""),"_",""),"."," ")),_xlpm.s,TRIM(MID(SUBSTITUTE(_xlpm.t," ",REPT(" ",100)),101,100)),IF(AND(LEN(_xlpm.s)=3,ISNUMBER(--_xlpm.s)),--_xlpm.s,"")),""))</f>
        <v/>
      </c>
    </row>
    <row r="259" spans="1:16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"&amp;L259,IF(AND(MAX(K$1:K258)&gt;0,N(K259)-MAX(K$1:K258)&gt;180),"⚠ Gap &gt; 3h",IF(_xlfn.LET(_xlpm.q,E259,_xlpm.tk,P259,_xlpm.ld,Log!$P$18,_xlpm.fx,IF(OR(_xlpm.ld="",_xlpm.ld="Full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"&amp;_xlpm.q,""))))&lt;&gt;"",IF(N259&lt;&gt;"","Load OK ✓ (checked)","⚠ "&amp;_xlfn.LET(_xlpm.q,E259,_xlpm.tk,P259,_xlpm.ld,Log!$P$18,_xlpm.fx,IF(OR(_xlpm.ld="",_xlpm.ld="Full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"&amp;_xlpm.q,""))))),IF(C259-I259&gt;=0.99,"next day",IF(C259-I259&gt;0.4,"12h → 24h","")))))))))))</f>
        <v/>
      </c>
      <c r="H259" s="4" t="str">
        <f t="shared" si="24"/>
        <v/>
      </c>
      <c r="I259" s="5" t="str">
        <f t="shared" si="25"/>
        <v/>
      </c>
      <c r="J259" s="6">
        <f t="shared" si="26"/>
        <v>0</v>
      </c>
      <c r="K259" s="4" t="str">
        <f t="shared" si="27"/>
        <v/>
      </c>
      <c r="L259" s="4" t="str">
        <f t="shared" si="28"/>
        <v/>
      </c>
      <c r="M259" s="4" t="b" cm="1">
        <f t="array" ref="M259">IF(H259="",FALSE,SUMPRODUCT(--(H$1:H258=H259))&gt;0)</f>
        <v>0</v>
      </c>
      <c r="N259" s="36"/>
      <c r="P259" s="1" t="str">
        <f t="shared" si="29"/>
        <v/>
      </c>
    </row>
    <row r="260" spans="1:16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"&amp;L260,IF(AND(MAX(K$1:K259)&gt;0,N(K260)-MAX(K$1:K259)&gt;180),"⚠ Gap &gt; 3h",IF(_xlfn.LET(_xlpm.q,E260,_xlpm.tk,P260,_xlpm.ld,Log!$P$18,_xlpm.fx,IF(OR(_xlpm.ld="",_xlpm.ld="Full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"&amp;_xlpm.q,""))))&lt;&gt;"",IF(N260&lt;&gt;"","Load OK ✓ (checked)","⚠ "&amp;_xlfn.LET(_xlpm.q,E260,_xlpm.tk,P260,_xlpm.ld,Log!$P$18,_xlpm.fx,IF(OR(_xlpm.ld="",_xlpm.ld="Full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"&amp;_xlpm.q,""))))),IF(C260-I260&gt;=0.99,"next day",IF(C260-I260&gt;0.4,"12h → 24h","")))))))))))</f>
        <v/>
      </c>
      <c r="H260" s="4" t="str">
        <f t="shared" si="24"/>
        <v/>
      </c>
      <c r="I260" s="5" t="str">
        <f t="shared" si="25"/>
        <v/>
      </c>
      <c r="J260" s="6">
        <f t="shared" si="26"/>
        <v>0</v>
      </c>
      <c r="K260" s="4" t="str">
        <f t="shared" si="27"/>
        <v/>
      </c>
      <c r="L260" s="4" t="str">
        <f t="shared" si="28"/>
        <v/>
      </c>
      <c r="M260" s="4" t="b" cm="1">
        <f t="array" ref="M260">IF(H260="",FALSE,SUMPRODUCT(--(H$1:H259=H260))&gt;0)</f>
        <v>0</v>
      </c>
      <c r="N260" s="36"/>
      <c r="P260" s="1" t="str">
        <f t="shared" si="29"/>
        <v/>
      </c>
    </row>
    <row r="261" spans="1:16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"&amp;L261,IF(AND(MAX(K$1:K260)&gt;0,N(K261)-MAX(K$1:K260)&gt;180),"⚠ Gap &gt; 3h",IF(_xlfn.LET(_xlpm.q,E261,_xlpm.tk,P261,_xlpm.ld,Log!$P$18,_xlpm.fx,IF(OR(_xlpm.ld="",_xlpm.ld="Full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"&amp;_xlpm.q,""))))&lt;&gt;"",IF(N261&lt;&gt;"","Load OK ✓ (checked)","⚠ "&amp;_xlfn.LET(_xlpm.q,E261,_xlpm.tk,P261,_xlpm.ld,Log!$P$18,_xlpm.fx,IF(OR(_xlpm.ld="",_xlpm.ld="Full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"&amp;_xlpm.q,""))))),IF(C261-I261&gt;=0.99,"next day",IF(C261-I261&gt;0.4,"12h → 24h","")))))))))))</f>
        <v/>
      </c>
      <c r="H261" s="4" t="str">
        <f t="shared" si="24"/>
        <v/>
      </c>
      <c r="I261" s="5" t="str">
        <f t="shared" si="25"/>
        <v/>
      </c>
      <c r="J261" s="6">
        <f t="shared" si="26"/>
        <v>0</v>
      </c>
      <c r="K261" s="4" t="str">
        <f t="shared" si="27"/>
        <v/>
      </c>
      <c r="L261" s="4" t="str">
        <f t="shared" si="28"/>
        <v/>
      </c>
      <c r="M261" s="4" t="b" cm="1">
        <f t="array" ref="M261">IF(H261="",FALSE,SUMPRODUCT(--(H$1:H260=H261))&gt;0)</f>
        <v>0</v>
      </c>
      <c r="N261" s="36"/>
      <c r="P261" s="1" t="str">
        <f t="shared" si="29"/>
        <v/>
      </c>
    </row>
    <row r="262" spans="1:16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"&amp;L262,IF(AND(MAX(K$1:K261)&gt;0,N(K262)-MAX(K$1:K261)&gt;180),"⚠ Gap &gt; 3h",IF(_xlfn.LET(_xlpm.q,E262,_xlpm.tk,P262,_xlpm.ld,Log!$P$18,_xlpm.fx,IF(OR(_xlpm.ld="",_xlpm.ld="Full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"&amp;_xlpm.q,""))))&lt;&gt;"",IF(N262&lt;&gt;"","Load OK ✓ (checked)","⚠ "&amp;_xlfn.LET(_xlpm.q,E262,_xlpm.tk,P262,_xlpm.ld,Log!$P$18,_xlpm.fx,IF(OR(_xlpm.ld="",_xlpm.ld="Full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"&amp;_xlpm.q,""))))),IF(C262-I262&gt;=0.99,"next day",IF(C262-I262&gt;0.4,"12h → 24h","")))))))))))</f>
        <v/>
      </c>
      <c r="H262" s="4" t="str">
        <f t="shared" si="24"/>
        <v/>
      </c>
      <c r="I262" s="5" t="str">
        <f t="shared" si="25"/>
        <v/>
      </c>
      <c r="J262" s="6">
        <f t="shared" si="26"/>
        <v>0</v>
      </c>
      <c r="K262" s="4" t="str">
        <f t="shared" si="27"/>
        <v/>
      </c>
      <c r="L262" s="4" t="str">
        <f t="shared" si="28"/>
        <v/>
      </c>
      <c r="M262" s="4" t="b" cm="1">
        <f t="array" ref="M262">IF(H262="",FALSE,SUMPRODUCT(--(H$1:H261=H262))&gt;0)</f>
        <v>0</v>
      </c>
      <c r="N262" s="36"/>
      <c r="P262" s="1" t="str">
        <f t="shared" si="29"/>
        <v/>
      </c>
    </row>
    <row r="263" spans="1:16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"&amp;L263,IF(AND(MAX(K$1:K262)&gt;0,N(K263)-MAX(K$1:K262)&gt;180),"⚠ Gap &gt; 3h",IF(_xlfn.LET(_xlpm.q,E263,_xlpm.tk,P263,_xlpm.ld,Log!$P$18,_xlpm.fx,IF(OR(_xlpm.ld="",_xlpm.ld="Full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"&amp;_xlpm.q,""))))&lt;&gt;"",IF(N263&lt;&gt;"","Load OK ✓ (checked)","⚠ "&amp;_xlfn.LET(_xlpm.q,E263,_xlpm.tk,P263,_xlpm.ld,Log!$P$18,_xlpm.fx,IF(OR(_xlpm.ld="",_xlpm.ld="Full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"&amp;_xlpm.q,""))))),IF(C263-I263&gt;=0.99,"next day",IF(C263-I263&gt;0.4,"12h → 24h","")))))))))))</f>
        <v/>
      </c>
      <c r="H263" s="4" t="str">
        <f t="shared" si="24"/>
        <v/>
      </c>
      <c r="I263" s="5" t="str">
        <f t="shared" si="25"/>
        <v/>
      </c>
      <c r="J263" s="6">
        <f t="shared" si="26"/>
        <v>0</v>
      </c>
      <c r="K263" s="4" t="str">
        <f t="shared" si="27"/>
        <v/>
      </c>
      <c r="L263" s="4" t="str">
        <f t="shared" si="28"/>
        <v/>
      </c>
      <c r="M263" s="4" t="b" cm="1">
        <f t="array" ref="M263">IF(H263="",FALSE,SUMPRODUCT(--(H$1:H262=H263))&gt;0)</f>
        <v>0</v>
      </c>
      <c r="N263" s="36"/>
      <c r="P263" s="1" t="str">
        <f t="shared" si="29"/>
        <v/>
      </c>
    </row>
    <row r="264" spans="1:16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"&amp;L264,IF(AND(MAX(K$1:K263)&gt;0,N(K264)-MAX(K$1:K263)&gt;180),"⚠ Gap &gt; 3h",IF(_xlfn.LET(_xlpm.q,E264,_xlpm.tk,P264,_xlpm.ld,Log!$P$18,_xlpm.fx,IF(OR(_xlpm.ld="",_xlpm.ld="Full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"&amp;_xlpm.q,""))))&lt;&gt;"",IF(N264&lt;&gt;"","Load OK ✓ (checked)","⚠ "&amp;_xlfn.LET(_xlpm.q,E264,_xlpm.tk,P264,_xlpm.ld,Log!$P$18,_xlpm.fx,IF(OR(_xlpm.ld="",_xlpm.ld="Full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"&amp;_xlpm.q,""))))),IF(C264-I264&gt;=0.99,"next day",IF(C264-I264&gt;0.4,"12h → 24h","")))))))))))</f>
        <v/>
      </c>
      <c r="H264" s="4" t="str">
        <f t="shared" si="24"/>
        <v/>
      </c>
      <c r="I264" s="5" t="str">
        <f t="shared" si="25"/>
        <v/>
      </c>
      <c r="J264" s="6">
        <f t="shared" si="26"/>
        <v>0</v>
      </c>
      <c r="K264" s="4" t="str">
        <f t="shared" si="27"/>
        <v/>
      </c>
      <c r="L264" s="4" t="str">
        <f t="shared" si="28"/>
        <v/>
      </c>
      <c r="M264" s="4" t="b" cm="1">
        <f t="array" ref="M264">IF(H264="",FALSE,SUMPRODUCT(--(H$1:H263=H264))&gt;0)</f>
        <v>0</v>
      </c>
      <c r="N264" s="36"/>
      <c r="P264" s="1" t="str">
        <f t="shared" si="29"/>
        <v/>
      </c>
    </row>
    <row r="265" spans="1:16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"&amp;L265,IF(AND(MAX(K$1:K264)&gt;0,N(K265)-MAX(K$1:K264)&gt;180),"⚠ Gap &gt; 3h",IF(_xlfn.LET(_xlpm.q,E265,_xlpm.tk,P265,_xlpm.ld,Log!$P$18,_xlpm.fx,IF(OR(_xlpm.ld="",_xlpm.ld="Full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"&amp;_xlpm.q,""))))&lt;&gt;"",IF(N265&lt;&gt;"","Load OK ✓ (checked)","⚠ "&amp;_xlfn.LET(_xlpm.q,E265,_xlpm.tk,P265,_xlpm.ld,Log!$P$18,_xlpm.fx,IF(OR(_xlpm.ld="",_xlpm.ld="Full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"&amp;_xlpm.q,""))))),IF(C265-I265&gt;=0.99,"next day",IF(C265-I265&gt;0.4,"12h → 24h","")))))))))))</f>
        <v/>
      </c>
      <c r="H265" s="4" t="str">
        <f t="shared" si="24"/>
        <v/>
      </c>
      <c r="I265" s="5" t="str">
        <f t="shared" si="25"/>
        <v/>
      </c>
      <c r="J265" s="6">
        <f t="shared" si="26"/>
        <v>0</v>
      </c>
      <c r="K265" s="4" t="str">
        <f t="shared" si="27"/>
        <v/>
      </c>
      <c r="L265" s="4" t="str">
        <f t="shared" si="28"/>
        <v/>
      </c>
      <c r="M265" s="4" t="b" cm="1">
        <f t="array" ref="M265">IF(H265="",FALSE,SUMPRODUCT(--(H$1:H264=H265))&gt;0)</f>
        <v>0</v>
      </c>
      <c r="N265" s="36"/>
      <c r="P265" s="1" t="str">
        <f t="shared" si="29"/>
        <v/>
      </c>
    </row>
    <row r="266" spans="1:16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"&amp;L266,IF(AND(MAX(K$1:K265)&gt;0,N(K266)-MAX(K$1:K265)&gt;180),"⚠ Gap &gt; 3h",IF(_xlfn.LET(_xlpm.q,E266,_xlpm.tk,P266,_xlpm.ld,Log!$P$18,_xlpm.fx,IF(OR(_xlpm.ld="",_xlpm.ld="Full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"&amp;_xlpm.q,""))))&lt;&gt;"",IF(N266&lt;&gt;"","Load OK ✓ (checked)","⚠ "&amp;_xlfn.LET(_xlpm.q,E266,_xlpm.tk,P266,_xlpm.ld,Log!$P$18,_xlpm.fx,IF(OR(_xlpm.ld="",_xlpm.ld="Full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"&amp;_xlpm.q,""))))),IF(C266-I266&gt;=0.99,"next day",IF(C266-I266&gt;0.4,"12h → 24h","")))))))))))</f>
        <v/>
      </c>
      <c r="H266" s="4" t="str">
        <f t="shared" si="24"/>
        <v/>
      </c>
      <c r="I266" s="5" t="str">
        <f t="shared" si="25"/>
        <v/>
      </c>
      <c r="J266" s="6">
        <f t="shared" si="26"/>
        <v>0</v>
      </c>
      <c r="K266" s="4" t="str">
        <f t="shared" si="27"/>
        <v/>
      </c>
      <c r="L266" s="4" t="str">
        <f t="shared" si="28"/>
        <v/>
      </c>
      <c r="M266" s="4" t="b" cm="1">
        <f t="array" ref="M266">IF(H266="",FALSE,SUMPRODUCT(--(H$1:H265=H266))&gt;0)</f>
        <v>0</v>
      </c>
      <c r="N266" s="36"/>
      <c r="P266" s="1" t="str">
        <f t="shared" si="29"/>
        <v/>
      </c>
    </row>
    <row r="267" spans="1:16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"&amp;L267,IF(AND(MAX(K$1:K266)&gt;0,N(K267)-MAX(K$1:K266)&gt;180),"⚠ Gap &gt; 3h",IF(_xlfn.LET(_xlpm.q,E267,_xlpm.tk,P267,_xlpm.ld,Log!$P$18,_xlpm.fx,IF(OR(_xlpm.ld="",_xlpm.ld="Full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"&amp;_xlpm.q,""))))&lt;&gt;"",IF(N267&lt;&gt;"","Load OK ✓ (checked)","⚠ "&amp;_xlfn.LET(_xlpm.q,E267,_xlpm.tk,P267,_xlpm.ld,Log!$P$18,_xlpm.fx,IF(OR(_xlpm.ld="",_xlpm.ld="Full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"&amp;_xlpm.q,""))))),IF(C267-I267&gt;=0.99,"next day",IF(C267-I267&gt;0.4,"12h → 24h","")))))))))))</f>
        <v/>
      </c>
      <c r="H267" s="4" t="str">
        <f t="shared" si="24"/>
        <v/>
      </c>
      <c r="I267" s="5" t="str">
        <f t="shared" si="25"/>
        <v/>
      </c>
      <c r="J267" s="6">
        <f t="shared" si="26"/>
        <v>0</v>
      </c>
      <c r="K267" s="4" t="str">
        <f t="shared" si="27"/>
        <v/>
      </c>
      <c r="L267" s="4" t="str">
        <f t="shared" si="28"/>
        <v/>
      </c>
      <c r="M267" s="4" t="b" cm="1">
        <f t="array" ref="M267">IF(H267="",FALSE,SUMPRODUCT(--(H$1:H266=H267))&gt;0)</f>
        <v>0</v>
      </c>
      <c r="N267" s="36"/>
      <c r="P267" s="1" t="str">
        <f t="shared" si="29"/>
        <v/>
      </c>
    </row>
    <row r="268" spans="1:16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"&amp;L268,IF(AND(MAX(K$1:K267)&gt;0,N(K268)-MAX(K$1:K267)&gt;180),"⚠ Gap &gt; 3h",IF(_xlfn.LET(_xlpm.q,E268,_xlpm.tk,P268,_xlpm.ld,Log!$P$18,_xlpm.fx,IF(OR(_xlpm.ld="",_xlpm.ld="Full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"&amp;_xlpm.q,""))))&lt;&gt;"",IF(N268&lt;&gt;"","Load OK ✓ (checked)","⚠ "&amp;_xlfn.LET(_xlpm.q,E268,_xlpm.tk,P268,_xlpm.ld,Log!$P$18,_xlpm.fx,IF(OR(_xlpm.ld="",_xlpm.ld="Full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"&amp;_xlpm.q,""))))),IF(C268-I268&gt;=0.99,"next day",IF(C268-I268&gt;0.4,"12h → 24h","")))))))))))</f>
        <v/>
      </c>
      <c r="H268" s="4" t="str">
        <f t="shared" si="24"/>
        <v/>
      </c>
      <c r="I268" s="5" t="str">
        <f t="shared" si="25"/>
        <v/>
      </c>
      <c r="J268" s="6">
        <f t="shared" si="26"/>
        <v>0</v>
      </c>
      <c r="K268" s="4" t="str">
        <f t="shared" si="27"/>
        <v/>
      </c>
      <c r="L268" s="4" t="str">
        <f t="shared" si="28"/>
        <v/>
      </c>
      <c r="M268" s="4" t="b" cm="1">
        <f t="array" ref="M268">IF(H268="",FALSE,SUMPRODUCT(--(H$1:H267=H268))&gt;0)</f>
        <v>0</v>
      </c>
      <c r="N268" s="36"/>
      <c r="P268" s="1" t="str">
        <f t="shared" si="29"/>
        <v/>
      </c>
    </row>
    <row r="269" spans="1:16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"&amp;L269,IF(AND(MAX(K$1:K268)&gt;0,N(K269)-MAX(K$1:K268)&gt;180),"⚠ Gap &gt; 3h",IF(_xlfn.LET(_xlpm.q,E269,_xlpm.tk,P269,_xlpm.ld,Log!$P$18,_xlpm.fx,IF(OR(_xlpm.ld="",_xlpm.ld="Full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"&amp;_xlpm.q,""))))&lt;&gt;"",IF(N269&lt;&gt;"","Load OK ✓ (checked)","⚠ "&amp;_xlfn.LET(_xlpm.q,E269,_xlpm.tk,P269,_xlpm.ld,Log!$P$18,_xlpm.fx,IF(OR(_xlpm.ld="",_xlpm.ld="Full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"&amp;_xlpm.q,""))))),IF(C269-I269&gt;=0.99,"next day",IF(C269-I269&gt;0.4,"12h → 24h","")))))))))))</f>
        <v/>
      </c>
      <c r="H269" s="4" t="str">
        <f t="shared" si="24"/>
        <v/>
      </c>
      <c r="I269" s="5" t="str">
        <f t="shared" si="25"/>
        <v/>
      </c>
      <c r="J269" s="6">
        <f t="shared" si="26"/>
        <v>0</v>
      </c>
      <c r="K269" s="4" t="str">
        <f t="shared" si="27"/>
        <v/>
      </c>
      <c r="L269" s="4" t="str">
        <f t="shared" si="28"/>
        <v/>
      </c>
      <c r="M269" s="4" t="b" cm="1">
        <f t="array" ref="M269">IF(H269="",FALSE,SUMPRODUCT(--(H$1:H268=H269))&gt;0)</f>
        <v>0</v>
      </c>
      <c r="N269" s="36"/>
      <c r="P269" s="1" t="str">
        <f t="shared" si="29"/>
        <v/>
      </c>
    </row>
    <row r="270" spans="1:16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"&amp;L270,IF(AND(MAX(K$1:K269)&gt;0,N(K270)-MAX(K$1:K269)&gt;180),"⚠ Gap &gt; 3h",IF(_xlfn.LET(_xlpm.q,E270,_xlpm.tk,P270,_xlpm.ld,Log!$P$18,_xlpm.fx,IF(OR(_xlpm.ld="",_xlpm.ld="Full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"&amp;_xlpm.q,""))))&lt;&gt;"",IF(N270&lt;&gt;"","Load OK ✓ (checked)","⚠ "&amp;_xlfn.LET(_xlpm.q,E270,_xlpm.tk,P270,_xlpm.ld,Log!$P$18,_xlpm.fx,IF(OR(_xlpm.ld="",_xlpm.ld="Full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"&amp;_xlpm.q,""))))),IF(C270-I270&gt;=0.99,"next day",IF(C270-I270&gt;0.4,"12h → 24h","")))))))))))</f>
        <v/>
      </c>
      <c r="H270" s="4" t="str">
        <f t="shared" si="24"/>
        <v/>
      </c>
      <c r="I270" s="5" t="str">
        <f t="shared" si="25"/>
        <v/>
      </c>
      <c r="J270" s="6">
        <f t="shared" si="26"/>
        <v>0</v>
      </c>
      <c r="K270" s="4" t="str">
        <f t="shared" si="27"/>
        <v/>
      </c>
      <c r="L270" s="4" t="str">
        <f t="shared" si="28"/>
        <v/>
      </c>
      <c r="M270" s="4" t="b" cm="1">
        <f t="array" ref="M270">IF(H270="",FALSE,SUMPRODUCT(--(H$1:H269=H270))&gt;0)</f>
        <v>0</v>
      </c>
      <c r="N270" s="36"/>
      <c r="P270" s="1" t="str">
        <f t="shared" si="29"/>
        <v/>
      </c>
    </row>
    <row r="271" spans="1:16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"&amp;L271,IF(AND(MAX(K$1:K270)&gt;0,N(K271)-MAX(K$1:K270)&gt;180),"⚠ Gap &gt; 3h",IF(_xlfn.LET(_xlpm.q,E271,_xlpm.tk,P271,_xlpm.ld,Log!$P$18,_xlpm.fx,IF(OR(_xlpm.ld="",_xlpm.ld="Full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"&amp;_xlpm.q,""))))&lt;&gt;"",IF(N271&lt;&gt;"","Load OK ✓ (checked)","⚠ "&amp;_xlfn.LET(_xlpm.q,E271,_xlpm.tk,P271,_xlpm.ld,Log!$P$18,_xlpm.fx,IF(OR(_xlpm.ld="",_xlpm.ld="Full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"&amp;_xlpm.q,""))))),IF(C271-I271&gt;=0.99,"next day",IF(C271-I271&gt;0.4,"12h → 24h","")))))))))))</f>
        <v/>
      </c>
      <c r="H271" s="4" t="str">
        <f t="shared" si="24"/>
        <v/>
      </c>
      <c r="I271" s="5" t="str">
        <f t="shared" si="25"/>
        <v/>
      </c>
      <c r="J271" s="6">
        <f t="shared" si="26"/>
        <v>0</v>
      </c>
      <c r="K271" s="4" t="str">
        <f t="shared" si="27"/>
        <v/>
      </c>
      <c r="L271" s="4" t="str">
        <f t="shared" si="28"/>
        <v/>
      </c>
      <c r="M271" s="4" t="b" cm="1">
        <f t="array" ref="M271">IF(H271="",FALSE,SUMPRODUCT(--(H$1:H270=H271))&gt;0)</f>
        <v>0</v>
      </c>
      <c r="N271" s="36"/>
      <c r="P271" s="1" t="str">
        <f t="shared" si="29"/>
        <v/>
      </c>
    </row>
    <row r="272" spans="1:16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"&amp;L272,IF(AND(MAX(K$1:K271)&gt;0,N(K272)-MAX(K$1:K271)&gt;180),"⚠ Gap &gt; 3h",IF(_xlfn.LET(_xlpm.q,E272,_xlpm.tk,P272,_xlpm.ld,Log!$P$18,_xlpm.fx,IF(OR(_xlpm.ld="",_xlpm.ld="Full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"&amp;_xlpm.q,""))))&lt;&gt;"",IF(N272&lt;&gt;"","Load OK ✓ (checked)","⚠ "&amp;_xlfn.LET(_xlpm.q,E272,_xlpm.tk,P272,_xlpm.ld,Log!$P$18,_xlpm.fx,IF(OR(_xlpm.ld="",_xlpm.ld="Full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"&amp;_xlpm.q,""))))),IF(C272-I272&gt;=0.99,"next day",IF(C272-I272&gt;0.4,"12h → 24h","")))))))))))</f>
        <v/>
      </c>
      <c r="H272" s="4" t="str">
        <f t="shared" si="24"/>
        <v/>
      </c>
      <c r="I272" s="5" t="str">
        <f t="shared" si="25"/>
        <v/>
      </c>
      <c r="J272" s="6">
        <f t="shared" si="26"/>
        <v>0</v>
      </c>
      <c r="K272" s="4" t="str">
        <f t="shared" si="27"/>
        <v/>
      </c>
      <c r="L272" s="4" t="str">
        <f t="shared" si="28"/>
        <v/>
      </c>
      <c r="M272" s="4" t="b" cm="1">
        <f t="array" ref="M272">IF(H272="",FALSE,SUMPRODUCT(--(H$1:H271=H272))&gt;0)</f>
        <v>0</v>
      </c>
      <c r="N272" s="36"/>
      <c r="P272" s="1" t="str">
        <f t="shared" si="29"/>
        <v/>
      </c>
    </row>
    <row r="273" spans="1:16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"&amp;L273,IF(AND(MAX(K$1:K272)&gt;0,N(K273)-MAX(K$1:K272)&gt;180),"⚠ Gap &gt; 3h",IF(_xlfn.LET(_xlpm.q,E273,_xlpm.tk,P273,_xlpm.ld,Log!$P$18,_xlpm.fx,IF(OR(_xlpm.ld="",_xlpm.ld="Full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"&amp;_xlpm.q,""))))&lt;&gt;"",IF(N273&lt;&gt;"","Load OK ✓ (checked)","⚠ "&amp;_xlfn.LET(_xlpm.q,E273,_xlpm.tk,P273,_xlpm.ld,Log!$P$18,_xlpm.fx,IF(OR(_xlpm.ld="",_xlpm.ld="Full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"&amp;_xlpm.q,""))))),IF(C273-I273&gt;=0.99,"next day",IF(C273-I273&gt;0.4,"12h → 24h","")))))))))))</f>
        <v/>
      </c>
      <c r="H273" s="4" t="str">
        <f t="shared" si="24"/>
        <v/>
      </c>
      <c r="I273" s="5" t="str">
        <f t="shared" si="25"/>
        <v/>
      </c>
      <c r="J273" s="6">
        <f t="shared" si="26"/>
        <v>0</v>
      </c>
      <c r="K273" s="4" t="str">
        <f t="shared" si="27"/>
        <v/>
      </c>
      <c r="L273" s="4" t="str">
        <f t="shared" si="28"/>
        <v/>
      </c>
      <c r="M273" s="4" t="b" cm="1">
        <f t="array" ref="M273">IF(H273="",FALSE,SUMPRODUCT(--(H$1:H272=H273))&gt;0)</f>
        <v>0</v>
      </c>
      <c r="N273" s="36"/>
      <c r="P273" s="1" t="str">
        <f t="shared" si="29"/>
        <v/>
      </c>
    </row>
    <row r="274" spans="1:16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"&amp;L274,IF(AND(MAX(K$1:K273)&gt;0,N(K274)-MAX(K$1:K273)&gt;180),"⚠ Gap &gt; 3h",IF(_xlfn.LET(_xlpm.q,E274,_xlpm.tk,P274,_xlpm.ld,Log!$P$18,_xlpm.fx,IF(OR(_xlpm.ld="",_xlpm.ld="Full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"&amp;_xlpm.q,""))))&lt;&gt;"",IF(N274&lt;&gt;"","Load OK ✓ (checked)","⚠ "&amp;_xlfn.LET(_xlpm.q,E274,_xlpm.tk,P274,_xlpm.ld,Log!$P$18,_xlpm.fx,IF(OR(_xlpm.ld="",_xlpm.ld="Full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"&amp;_xlpm.q,""))))),IF(C274-I274&gt;=0.99,"next day",IF(C274-I274&gt;0.4,"12h → 24h","")))))))))))</f>
        <v/>
      </c>
      <c r="H274" s="4" t="str">
        <f t="shared" si="24"/>
        <v/>
      </c>
      <c r="I274" s="5" t="str">
        <f t="shared" si="25"/>
        <v/>
      </c>
      <c r="J274" s="6">
        <f t="shared" si="26"/>
        <v>0</v>
      </c>
      <c r="K274" s="4" t="str">
        <f t="shared" si="27"/>
        <v/>
      </c>
      <c r="L274" s="4" t="str">
        <f t="shared" si="28"/>
        <v/>
      </c>
      <c r="M274" s="4" t="b" cm="1">
        <f t="array" ref="M274">IF(H274="",FALSE,SUMPRODUCT(--(H$1:H273=H274))&gt;0)</f>
        <v>0</v>
      </c>
      <c r="N274" s="36"/>
      <c r="P274" s="1" t="str">
        <f t="shared" si="29"/>
        <v/>
      </c>
    </row>
    <row r="275" spans="1:16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"&amp;L275,IF(AND(MAX(K$1:K274)&gt;0,N(K275)-MAX(K$1:K274)&gt;180),"⚠ Gap &gt; 3h",IF(_xlfn.LET(_xlpm.q,E275,_xlpm.tk,P275,_xlpm.ld,Log!$P$18,_xlpm.fx,IF(OR(_xlpm.ld="",_xlpm.ld="Full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"&amp;_xlpm.q,""))))&lt;&gt;"",IF(N275&lt;&gt;"","Load OK ✓ (checked)","⚠ "&amp;_xlfn.LET(_xlpm.q,E275,_xlpm.tk,P275,_xlpm.ld,Log!$P$18,_xlpm.fx,IF(OR(_xlpm.ld="",_xlpm.ld="Full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"&amp;_xlpm.q,""))))),IF(C275-I275&gt;=0.99,"next day",IF(C275-I275&gt;0.4,"12h → 24h","")))))))))))</f>
        <v/>
      </c>
      <c r="H275" s="4" t="str">
        <f t="shared" si="24"/>
        <v/>
      </c>
      <c r="I275" s="5" t="str">
        <f t="shared" si="25"/>
        <v/>
      </c>
      <c r="J275" s="6">
        <f t="shared" si="26"/>
        <v>0</v>
      </c>
      <c r="K275" s="4" t="str">
        <f t="shared" si="27"/>
        <v/>
      </c>
      <c r="L275" s="4" t="str">
        <f t="shared" si="28"/>
        <v/>
      </c>
      <c r="M275" s="4" t="b" cm="1">
        <f t="array" ref="M275">IF(H275="",FALSE,SUMPRODUCT(--(H$1:H274=H275))&gt;0)</f>
        <v>0</v>
      </c>
      <c r="N275" s="36"/>
      <c r="P275" s="1" t="str">
        <f t="shared" si="29"/>
        <v/>
      </c>
    </row>
    <row r="276" spans="1:16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"&amp;L276,IF(AND(MAX(K$1:K275)&gt;0,N(K276)-MAX(K$1:K275)&gt;180),"⚠ Gap &gt; 3h",IF(_xlfn.LET(_xlpm.q,E276,_xlpm.tk,P276,_xlpm.ld,Log!$P$18,_xlpm.fx,IF(OR(_xlpm.ld="",_xlpm.ld="Full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"&amp;_xlpm.q,""))))&lt;&gt;"",IF(N276&lt;&gt;"","Load OK ✓ (checked)","⚠ "&amp;_xlfn.LET(_xlpm.q,E276,_xlpm.tk,P276,_xlpm.ld,Log!$P$18,_xlpm.fx,IF(OR(_xlpm.ld="",_xlpm.ld="Full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"&amp;_xlpm.q,""))))),IF(C276-I276&gt;=0.99,"next day",IF(C276-I276&gt;0.4,"12h → 24h","")))))))))))</f>
        <v/>
      </c>
      <c r="H276" s="4" t="str">
        <f t="shared" si="24"/>
        <v/>
      </c>
      <c r="I276" s="5" t="str">
        <f t="shared" si="25"/>
        <v/>
      </c>
      <c r="J276" s="6">
        <f t="shared" si="26"/>
        <v>0</v>
      </c>
      <c r="K276" s="4" t="str">
        <f t="shared" si="27"/>
        <v/>
      </c>
      <c r="L276" s="4" t="str">
        <f t="shared" si="28"/>
        <v/>
      </c>
      <c r="M276" s="4" t="b" cm="1">
        <f t="array" ref="M276">IF(H276="",FALSE,SUMPRODUCT(--(H$1:H275=H276))&gt;0)</f>
        <v>0</v>
      </c>
      <c r="N276" s="36"/>
      <c r="P276" s="1" t="str">
        <f t="shared" si="29"/>
        <v/>
      </c>
    </row>
    <row r="277" spans="1:16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"&amp;L277,IF(AND(MAX(K$1:K276)&gt;0,N(K277)-MAX(K$1:K276)&gt;180),"⚠ Gap &gt; 3h",IF(_xlfn.LET(_xlpm.q,E277,_xlpm.tk,P277,_xlpm.ld,Log!$P$18,_xlpm.fx,IF(OR(_xlpm.ld="",_xlpm.ld="Full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"&amp;_xlpm.q,""))))&lt;&gt;"",IF(N277&lt;&gt;"","Load OK ✓ (checked)","⚠ "&amp;_xlfn.LET(_xlpm.q,E277,_xlpm.tk,P277,_xlpm.ld,Log!$P$18,_xlpm.fx,IF(OR(_xlpm.ld="",_xlpm.ld="Full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"&amp;_xlpm.q,""))))),IF(C277-I277&gt;=0.99,"next day",IF(C277-I277&gt;0.4,"12h → 24h","")))))))))))</f>
        <v/>
      </c>
      <c r="H277" s="4" t="str">
        <f t="shared" si="24"/>
        <v/>
      </c>
      <c r="I277" s="5" t="str">
        <f t="shared" si="25"/>
        <v/>
      </c>
      <c r="J277" s="6">
        <f t="shared" si="26"/>
        <v>0</v>
      </c>
      <c r="K277" s="4" t="str">
        <f t="shared" si="27"/>
        <v/>
      </c>
      <c r="L277" s="4" t="str">
        <f t="shared" si="28"/>
        <v/>
      </c>
      <c r="M277" s="4" t="b" cm="1">
        <f t="array" ref="M277">IF(H277="",FALSE,SUMPRODUCT(--(H$1:H276=H277))&gt;0)</f>
        <v>0</v>
      </c>
      <c r="N277" s="36"/>
      <c r="P277" s="1" t="str">
        <f t="shared" si="29"/>
        <v/>
      </c>
    </row>
    <row r="278" spans="1:16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"&amp;L278,IF(AND(MAX(K$1:K277)&gt;0,N(K278)-MAX(K$1:K277)&gt;180),"⚠ Gap &gt; 3h",IF(_xlfn.LET(_xlpm.q,E278,_xlpm.tk,P278,_xlpm.ld,Log!$P$18,_xlpm.fx,IF(OR(_xlpm.ld="",_xlpm.ld="Full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"&amp;_xlpm.q,""))))&lt;&gt;"",IF(N278&lt;&gt;"","Load OK ✓ (checked)","⚠ "&amp;_xlfn.LET(_xlpm.q,E278,_xlpm.tk,P278,_xlpm.ld,Log!$P$18,_xlpm.fx,IF(OR(_xlpm.ld="",_xlpm.ld="Full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"&amp;_xlpm.q,""))))),IF(C278-I278&gt;=0.99,"next day",IF(C278-I278&gt;0.4,"12h → 24h","")))))))))))</f>
        <v/>
      </c>
      <c r="H278" s="4" t="str">
        <f t="shared" si="24"/>
        <v/>
      </c>
      <c r="I278" s="5" t="str">
        <f t="shared" si="25"/>
        <v/>
      </c>
      <c r="J278" s="6">
        <f t="shared" si="26"/>
        <v>0</v>
      </c>
      <c r="K278" s="4" t="str">
        <f t="shared" si="27"/>
        <v/>
      </c>
      <c r="L278" s="4" t="str">
        <f t="shared" si="28"/>
        <v/>
      </c>
      <c r="M278" s="4" t="b" cm="1">
        <f t="array" ref="M278">IF(H278="",FALSE,SUMPRODUCT(--(H$1:H277=H278))&gt;0)</f>
        <v>0</v>
      </c>
      <c r="N278" s="36"/>
      <c r="P278" s="1" t="str">
        <f t="shared" si="29"/>
        <v/>
      </c>
    </row>
    <row r="279" spans="1:16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"&amp;L279,IF(AND(MAX(K$1:K278)&gt;0,N(K279)-MAX(K$1:K278)&gt;180),"⚠ Gap &gt; 3h",IF(_xlfn.LET(_xlpm.q,E279,_xlpm.tk,P279,_xlpm.ld,Log!$P$18,_xlpm.fx,IF(OR(_xlpm.ld="",_xlpm.ld="Full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"&amp;_xlpm.q,""))))&lt;&gt;"",IF(N279&lt;&gt;"","Load OK ✓ (checked)","⚠ "&amp;_xlfn.LET(_xlpm.q,E279,_xlpm.tk,P279,_xlpm.ld,Log!$P$18,_xlpm.fx,IF(OR(_xlpm.ld="",_xlpm.ld="Full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"&amp;_xlpm.q,""))))),IF(C279-I279&gt;=0.99,"next day",IF(C279-I279&gt;0.4,"12h → 24h","")))))))))))</f>
        <v/>
      </c>
      <c r="H279" s="4" t="str">
        <f t="shared" si="24"/>
        <v/>
      </c>
      <c r="I279" s="5" t="str">
        <f t="shared" si="25"/>
        <v/>
      </c>
      <c r="J279" s="6">
        <f t="shared" si="26"/>
        <v>0</v>
      </c>
      <c r="K279" s="4" t="str">
        <f t="shared" si="27"/>
        <v/>
      </c>
      <c r="L279" s="4" t="str">
        <f t="shared" si="28"/>
        <v/>
      </c>
      <c r="M279" s="4" t="b" cm="1">
        <f t="array" ref="M279">IF(H279="",FALSE,SUMPRODUCT(--(H$1:H278=H279))&gt;0)</f>
        <v>0</v>
      </c>
      <c r="N279" s="36"/>
      <c r="P279" s="1" t="str">
        <f t="shared" si="29"/>
        <v/>
      </c>
    </row>
    <row r="280" spans="1:16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"&amp;L280,IF(AND(MAX(K$1:K279)&gt;0,N(K280)-MAX(K$1:K279)&gt;180),"⚠ Gap &gt; 3h",IF(_xlfn.LET(_xlpm.q,E280,_xlpm.tk,P280,_xlpm.ld,Log!$P$18,_xlpm.fx,IF(OR(_xlpm.ld="",_xlpm.ld="Full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"&amp;_xlpm.q,""))))&lt;&gt;"",IF(N280&lt;&gt;"","Load OK ✓ (checked)","⚠ "&amp;_xlfn.LET(_xlpm.q,E280,_xlpm.tk,P280,_xlpm.ld,Log!$P$18,_xlpm.fx,IF(OR(_xlpm.ld="",_xlpm.ld="Full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"&amp;_xlpm.q,""))))),IF(C280-I280&gt;=0.99,"next day",IF(C280-I280&gt;0.4,"12h → 24h","")))))))))))</f>
        <v/>
      </c>
      <c r="H280" s="4" t="str">
        <f t="shared" si="24"/>
        <v/>
      </c>
      <c r="I280" s="5" t="str">
        <f t="shared" si="25"/>
        <v/>
      </c>
      <c r="J280" s="6">
        <f t="shared" si="26"/>
        <v>0</v>
      </c>
      <c r="K280" s="4" t="str">
        <f t="shared" si="27"/>
        <v/>
      </c>
      <c r="L280" s="4" t="str">
        <f t="shared" si="28"/>
        <v/>
      </c>
      <c r="M280" s="4" t="b" cm="1">
        <f t="array" ref="M280">IF(H280="",FALSE,SUMPRODUCT(--(H$1:H279=H280))&gt;0)</f>
        <v>0</v>
      </c>
      <c r="N280" s="36"/>
      <c r="P280" s="1" t="str">
        <f t="shared" si="29"/>
        <v/>
      </c>
    </row>
    <row r="281" spans="1:16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"&amp;L281,IF(AND(MAX(K$1:K280)&gt;0,N(K281)-MAX(K$1:K280)&gt;180),"⚠ Gap &gt; 3h",IF(_xlfn.LET(_xlpm.q,E281,_xlpm.tk,P281,_xlpm.ld,Log!$P$18,_xlpm.fx,IF(OR(_xlpm.ld="",_xlpm.ld="Full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"&amp;_xlpm.q,""))))&lt;&gt;"",IF(N281&lt;&gt;"","Load OK ✓ (checked)","⚠ "&amp;_xlfn.LET(_xlpm.q,E281,_xlpm.tk,P281,_xlpm.ld,Log!$P$18,_xlpm.fx,IF(OR(_xlpm.ld="",_xlpm.ld="Full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"&amp;_xlpm.q,""))))),IF(C281-I281&gt;=0.99,"next day",IF(C281-I281&gt;0.4,"12h → 24h","")))))))))))</f>
        <v/>
      </c>
      <c r="H281" s="4" t="str">
        <f t="shared" si="24"/>
        <v/>
      </c>
      <c r="I281" s="5" t="str">
        <f t="shared" si="25"/>
        <v/>
      </c>
      <c r="J281" s="6">
        <f t="shared" si="26"/>
        <v>0</v>
      </c>
      <c r="K281" s="4" t="str">
        <f t="shared" si="27"/>
        <v/>
      </c>
      <c r="L281" s="4" t="str">
        <f t="shared" si="28"/>
        <v/>
      </c>
      <c r="M281" s="4" t="b" cm="1">
        <f t="array" ref="M281">IF(H281="",FALSE,SUMPRODUCT(--(H$1:H280=H281))&gt;0)</f>
        <v>0</v>
      </c>
      <c r="N281" s="36"/>
      <c r="P281" s="1" t="str">
        <f t="shared" si="29"/>
        <v/>
      </c>
    </row>
    <row r="282" spans="1:16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"&amp;L282,IF(AND(MAX(K$1:K281)&gt;0,N(K282)-MAX(K$1:K281)&gt;180),"⚠ Gap &gt; 3h",IF(_xlfn.LET(_xlpm.q,E282,_xlpm.tk,P282,_xlpm.ld,Log!$P$18,_xlpm.fx,IF(OR(_xlpm.ld="",_xlpm.ld="Full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"&amp;_xlpm.q,""))))&lt;&gt;"",IF(N282&lt;&gt;"","Load OK ✓ (checked)","⚠ "&amp;_xlfn.LET(_xlpm.q,E282,_xlpm.tk,P282,_xlpm.ld,Log!$P$18,_xlpm.fx,IF(OR(_xlpm.ld="",_xlpm.ld="Full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"&amp;_xlpm.q,""))))),IF(C282-I282&gt;=0.99,"next day",IF(C282-I282&gt;0.4,"12h → 24h","")))))))))))</f>
        <v/>
      </c>
      <c r="H282" s="4" t="str">
        <f t="shared" si="24"/>
        <v/>
      </c>
      <c r="I282" s="5" t="str">
        <f t="shared" si="25"/>
        <v/>
      </c>
      <c r="J282" s="6">
        <f t="shared" si="26"/>
        <v>0</v>
      </c>
      <c r="K282" s="4" t="str">
        <f t="shared" si="27"/>
        <v/>
      </c>
      <c r="L282" s="4" t="str">
        <f t="shared" si="28"/>
        <v/>
      </c>
      <c r="M282" s="4" t="b" cm="1">
        <f t="array" ref="M282">IF(H282="",FALSE,SUMPRODUCT(--(H$1:H281=H282))&gt;0)</f>
        <v>0</v>
      </c>
      <c r="N282" s="36"/>
      <c r="P282" s="1" t="str">
        <f t="shared" si="29"/>
        <v/>
      </c>
    </row>
    <row r="283" spans="1:16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"&amp;L283,IF(AND(MAX(K$1:K282)&gt;0,N(K283)-MAX(K$1:K282)&gt;180),"⚠ Gap &gt; 3h",IF(_xlfn.LET(_xlpm.q,E283,_xlpm.tk,P283,_xlpm.ld,Log!$P$18,_xlpm.fx,IF(OR(_xlpm.ld="",_xlpm.ld="Full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"&amp;_xlpm.q,""))))&lt;&gt;"",IF(N283&lt;&gt;"","Load OK ✓ (checked)","⚠ "&amp;_xlfn.LET(_xlpm.q,E283,_xlpm.tk,P283,_xlpm.ld,Log!$P$18,_xlpm.fx,IF(OR(_xlpm.ld="",_xlpm.ld="Full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"&amp;_xlpm.q,""))))),IF(C283-I283&gt;=0.99,"next day",IF(C283-I283&gt;0.4,"12h → 24h","")))))))))))</f>
        <v/>
      </c>
      <c r="H283" s="4" t="str">
        <f t="shared" si="24"/>
        <v/>
      </c>
      <c r="I283" s="5" t="str">
        <f t="shared" si="25"/>
        <v/>
      </c>
      <c r="J283" s="6">
        <f t="shared" si="26"/>
        <v>0</v>
      </c>
      <c r="K283" s="4" t="str">
        <f t="shared" si="27"/>
        <v/>
      </c>
      <c r="L283" s="4" t="str">
        <f t="shared" si="28"/>
        <v/>
      </c>
      <c r="M283" s="4" t="b" cm="1">
        <f t="array" ref="M283">IF(H283="",FALSE,SUMPRODUCT(--(H$1:H282=H283))&gt;0)</f>
        <v>0</v>
      </c>
      <c r="N283" s="36"/>
      <c r="P283" s="1" t="str">
        <f t="shared" si="29"/>
        <v/>
      </c>
    </row>
    <row r="284" spans="1:16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"&amp;L284,IF(AND(MAX(K$1:K283)&gt;0,N(K284)-MAX(K$1:K283)&gt;180),"⚠ Gap &gt; 3h",IF(_xlfn.LET(_xlpm.q,E284,_xlpm.tk,P284,_xlpm.ld,Log!$P$18,_xlpm.fx,IF(OR(_xlpm.ld="",_xlpm.ld="Full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"&amp;_xlpm.q,""))))&lt;&gt;"",IF(N284&lt;&gt;"","Load OK ✓ (checked)","⚠ "&amp;_xlfn.LET(_xlpm.q,E284,_xlpm.tk,P284,_xlpm.ld,Log!$P$18,_xlpm.fx,IF(OR(_xlpm.ld="",_xlpm.ld="Full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"&amp;_xlpm.q,""))))),IF(C284-I284&gt;=0.99,"next day",IF(C284-I284&gt;0.4,"12h → 24h","")))))))))))</f>
        <v/>
      </c>
      <c r="H284" s="4" t="str">
        <f t="shared" si="24"/>
        <v/>
      </c>
      <c r="I284" s="5" t="str">
        <f t="shared" si="25"/>
        <v/>
      </c>
      <c r="J284" s="6">
        <f t="shared" si="26"/>
        <v>0</v>
      </c>
      <c r="K284" s="4" t="str">
        <f t="shared" si="27"/>
        <v/>
      </c>
      <c r="L284" s="4" t="str">
        <f t="shared" si="28"/>
        <v/>
      </c>
      <c r="M284" s="4" t="b" cm="1">
        <f t="array" ref="M284">IF(H284="",FALSE,SUMPRODUCT(--(H$1:H283=H284))&gt;0)</f>
        <v>0</v>
      </c>
      <c r="N284" s="36"/>
      <c r="P284" s="1" t="str">
        <f t="shared" si="29"/>
        <v/>
      </c>
    </row>
    <row r="285" spans="1:16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"&amp;L285,IF(AND(MAX(K$1:K284)&gt;0,N(K285)-MAX(K$1:K284)&gt;180),"⚠ Gap &gt; 3h",IF(_xlfn.LET(_xlpm.q,E285,_xlpm.tk,P285,_xlpm.ld,Log!$P$18,_xlpm.fx,IF(OR(_xlpm.ld="",_xlpm.ld="Full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"&amp;_xlpm.q,""))))&lt;&gt;"",IF(N285&lt;&gt;"","Load OK ✓ (checked)","⚠ "&amp;_xlfn.LET(_xlpm.q,E285,_xlpm.tk,P285,_xlpm.ld,Log!$P$18,_xlpm.fx,IF(OR(_xlpm.ld="",_xlpm.ld="Full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"&amp;_xlpm.q,""))))),IF(C285-I285&gt;=0.99,"next day",IF(C285-I285&gt;0.4,"12h → 24h","")))))))))))</f>
        <v/>
      </c>
      <c r="H285" s="4" t="str">
        <f t="shared" si="24"/>
        <v/>
      </c>
      <c r="I285" s="5" t="str">
        <f t="shared" si="25"/>
        <v/>
      </c>
      <c r="J285" s="6">
        <f t="shared" si="26"/>
        <v>0</v>
      </c>
      <c r="K285" s="4" t="str">
        <f t="shared" si="27"/>
        <v/>
      </c>
      <c r="L285" s="4" t="str">
        <f t="shared" si="28"/>
        <v/>
      </c>
      <c r="M285" s="4" t="b" cm="1">
        <f t="array" ref="M285">IF(H285="",FALSE,SUMPRODUCT(--(H$1:H284=H285))&gt;0)</f>
        <v>0</v>
      </c>
      <c r="N285" s="36"/>
      <c r="P285" s="1" t="str">
        <f t="shared" si="29"/>
        <v/>
      </c>
    </row>
    <row r="286" spans="1:16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"&amp;L286,IF(AND(MAX(K$1:K285)&gt;0,N(K286)-MAX(K$1:K285)&gt;180),"⚠ Gap &gt; 3h",IF(_xlfn.LET(_xlpm.q,E286,_xlpm.tk,P286,_xlpm.ld,Log!$P$18,_xlpm.fx,IF(OR(_xlpm.ld="",_xlpm.ld="Full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"&amp;_xlpm.q,""))))&lt;&gt;"",IF(N286&lt;&gt;"","Load OK ✓ (checked)","⚠ "&amp;_xlfn.LET(_xlpm.q,E286,_xlpm.tk,P286,_xlpm.ld,Log!$P$18,_xlpm.fx,IF(OR(_xlpm.ld="",_xlpm.ld="Full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"&amp;_xlpm.q,""))))),IF(C286-I286&gt;=0.99,"next day",IF(C286-I286&gt;0.4,"12h → 24h","")))))))))))</f>
        <v/>
      </c>
      <c r="H286" s="4" t="str">
        <f t="shared" si="24"/>
        <v/>
      </c>
      <c r="I286" s="5" t="str">
        <f t="shared" si="25"/>
        <v/>
      </c>
      <c r="J286" s="6">
        <f t="shared" si="26"/>
        <v>0</v>
      </c>
      <c r="K286" s="4" t="str">
        <f t="shared" si="27"/>
        <v/>
      </c>
      <c r="L286" s="4" t="str">
        <f t="shared" si="28"/>
        <v/>
      </c>
      <c r="M286" s="4" t="b" cm="1">
        <f t="array" ref="M286">IF(H286="",FALSE,SUMPRODUCT(--(H$1:H285=H286))&gt;0)</f>
        <v>0</v>
      </c>
      <c r="N286" s="36"/>
      <c r="P286" s="1" t="str">
        <f t="shared" si="29"/>
        <v/>
      </c>
    </row>
    <row r="287" spans="1:16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"&amp;L287,IF(AND(MAX(K$1:K286)&gt;0,N(K287)-MAX(K$1:K286)&gt;180),"⚠ Gap &gt; 3h",IF(_xlfn.LET(_xlpm.q,E287,_xlpm.tk,P287,_xlpm.ld,Log!$P$18,_xlpm.fx,IF(OR(_xlpm.ld="",_xlpm.ld="Full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"&amp;_xlpm.q,""))))&lt;&gt;"",IF(N287&lt;&gt;"","Load OK ✓ (checked)","⚠ "&amp;_xlfn.LET(_xlpm.q,E287,_xlpm.tk,P287,_xlpm.ld,Log!$P$18,_xlpm.fx,IF(OR(_xlpm.ld="",_xlpm.ld="Full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"&amp;_xlpm.q,""))))),IF(C287-I287&gt;=0.99,"next day",IF(C287-I287&gt;0.4,"12h → 24h","")))))))))))</f>
        <v/>
      </c>
      <c r="H287" s="4" t="str">
        <f t="shared" si="24"/>
        <v/>
      </c>
      <c r="I287" s="5" t="str">
        <f t="shared" si="25"/>
        <v/>
      </c>
      <c r="J287" s="6">
        <f t="shared" si="26"/>
        <v>0</v>
      </c>
      <c r="K287" s="4" t="str">
        <f t="shared" si="27"/>
        <v/>
      </c>
      <c r="L287" s="4" t="str">
        <f t="shared" si="28"/>
        <v/>
      </c>
      <c r="M287" s="4" t="b" cm="1">
        <f t="array" ref="M287">IF(H287="",FALSE,SUMPRODUCT(--(H$1:H286=H287))&gt;0)</f>
        <v>0</v>
      </c>
      <c r="N287" s="36"/>
      <c r="P287" s="1" t="str">
        <f t="shared" si="29"/>
        <v/>
      </c>
    </row>
    <row r="288" spans="1:16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"&amp;L288,IF(AND(MAX(K$1:K287)&gt;0,N(K288)-MAX(K$1:K287)&gt;180),"⚠ Gap &gt; 3h",IF(_xlfn.LET(_xlpm.q,E288,_xlpm.tk,P288,_xlpm.ld,Log!$P$18,_xlpm.fx,IF(OR(_xlpm.ld="",_xlpm.ld="Full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"&amp;_xlpm.q,""))))&lt;&gt;"",IF(N288&lt;&gt;"","Load OK ✓ (checked)","⚠ "&amp;_xlfn.LET(_xlpm.q,E288,_xlpm.tk,P288,_xlpm.ld,Log!$P$18,_xlpm.fx,IF(OR(_xlpm.ld="",_xlpm.ld="Full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"&amp;_xlpm.q,""))))),IF(C288-I288&gt;=0.99,"next day",IF(C288-I288&gt;0.4,"12h → 24h","")))))))))))</f>
        <v/>
      </c>
      <c r="H288" s="4" t="str">
        <f t="shared" si="24"/>
        <v/>
      </c>
      <c r="I288" s="5" t="str">
        <f t="shared" si="25"/>
        <v/>
      </c>
      <c r="J288" s="6">
        <f t="shared" si="26"/>
        <v>0</v>
      </c>
      <c r="K288" s="4" t="str">
        <f t="shared" si="27"/>
        <v/>
      </c>
      <c r="L288" s="4" t="str">
        <f t="shared" si="28"/>
        <v/>
      </c>
      <c r="M288" s="4" t="b" cm="1">
        <f t="array" ref="M288">IF(H288="",FALSE,SUMPRODUCT(--(H$1:H287=H288))&gt;0)</f>
        <v>0</v>
      </c>
      <c r="N288" s="36"/>
      <c r="P288" s="1" t="str">
        <f t="shared" si="29"/>
        <v/>
      </c>
    </row>
    <row r="289" spans="1:16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"&amp;L289,IF(AND(MAX(K$1:K288)&gt;0,N(K289)-MAX(K$1:K288)&gt;180),"⚠ Gap &gt; 3h",IF(_xlfn.LET(_xlpm.q,E289,_xlpm.tk,P289,_xlpm.ld,Log!$P$18,_xlpm.fx,IF(OR(_xlpm.ld="",_xlpm.ld="Full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"&amp;_xlpm.q,""))))&lt;&gt;"",IF(N289&lt;&gt;"","Load OK ✓ (checked)","⚠ "&amp;_xlfn.LET(_xlpm.q,E289,_xlpm.tk,P289,_xlpm.ld,Log!$P$18,_xlpm.fx,IF(OR(_xlpm.ld="",_xlpm.ld="Full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"&amp;_xlpm.q,""))))),IF(C289-I289&gt;=0.99,"next day",IF(C289-I289&gt;0.4,"12h → 24h","")))))))))))</f>
        <v/>
      </c>
      <c r="H289" s="4" t="str">
        <f t="shared" si="24"/>
        <v/>
      </c>
      <c r="I289" s="5" t="str">
        <f t="shared" si="25"/>
        <v/>
      </c>
      <c r="J289" s="6">
        <f t="shared" si="26"/>
        <v>0</v>
      </c>
      <c r="K289" s="4" t="str">
        <f t="shared" si="27"/>
        <v/>
      </c>
      <c r="L289" s="4" t="str">
        <f t="shared" si="28"/>
        <v/>
      </c>
      <c r="M289" s="4" t="b" cm="1">
        <f t="array" ref="M289">IF(H289="",FALSE,SUMPRODUCT(--(H$1:H288=H289))&gt;0)</f>
        <v>0</v>
      </c>
      <c r="N289" s="36"/>
      <c r="P289" s="1" t="str">
        <f t="shared" si="29"/>
        <v/>
      </c>
    </row>
    <row r="290" spans="1:16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"&amp;L290,IF(AND(MAX(K$1:K289)&gt;0,N(K290)-MAX(K$1:K289)&gt;180),"⚠ Gap &gt; 3h",IF(_xlfn.LET(_xlpm.q,E290,_xlpm.tk,P290,_xlpm.ld,Log!$P$18,_xlpm.fx,IF(OR(_xlpm.ld="",_xlpm.ld="Full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"&amp;_xlpm.q,""))))&lt;&gt;"",IF(N290&lt;&gt;"","Load OK ✓ (checked)","⚠ "&amp;_xlfn.LET(_xlpm.q,E290,_xlpm.tk,P290,_xlpm.ld,Log!$P$18,_xlpm.fx,IF(OR(_xlpm.ld="",_xlpm.ld="Full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"&amp;_xlpm.q,""))))),IF(C290-I290&gt;=0.99,"next day",IF(C290-I290&gt;0.4,"12h → 24h","")))))))))))</f>
        <v/>
      </c>
      <c r="H290" s="4" t="str">
        <f t="shared" si="24"/>
        <v/>
      </c>
      <c r="I290" s="5" t="str">
        <f t="shared" si="25"/>
        <v/>
      </c>
      <c r="J290" s="6">
        <f t="shared" si="26"/>
        <v>0</v>
      </c>
      <c r="K290" s="4" t="str">
        <f t="shared" si="27"/>
        <v/>
      </c>
      <c r="L290" s="4" t="str">
        <f t="shared" si="28"/>
        <v/>
      </c>
      <c r="M290" s="4" t="b" cm="1">
        <f t="array" ref="M290">IF(H290="",FALSE,SUMPRODUCT(--(H$1:H289=H290))&gt;0)</f>
        <v>0</v>
      </c>
      <c r="N290" s="36"/>
      <c r="P290" s="1" t="str">
        <f t="shared" si="29"/>
        <v/>
      </c>
    </row>
    <row r="291" spans="1:16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"&amp;L291,IF(AND(MAX(K$1:K290)&gt;0,N(K291)-MAX(K$1:K290)&gt;180),"⚠ Gap &gt; 3h",IF(_xlfn.LET(_xlpm.q,E291,_xlpm.tk,P291,_xlpm.ld,Log!$P$18,_xlpm.fx,IF(OR(_xlpm.ld="",_xlpm.ld="Full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"&amp;_xlpm.q,""))))&lt;&gt;"",IF(N291&lt;&gt;"","Load OK ✓ (checked)","⚠ "&amp;_xlfn.LET(_xlpm.q,E291,_xlpm.tk,P291,_xlpm.ld,Log!$P$18,_xlpm.fx,IF(OR(_xlpm.ld="",_xlpm.ld="Full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"&amp;_xlpm.q,""))))),IF(C291-I291&gt;=0.99,"next day",IF(C291-I291&gt;0.4,"12h → 24h","")))))))))))</f>
        <v/>
      </c>
      <c r="H291" s="4" t="str">
        <f t="shared" si="24"/>
        <v/>
      </c>
      <c r="I291" s="5" t="str">
        <f t="shared" si="25"/>
        <v/>
      </c>
      <c r="J291" s="6">
        <f t="shared" si="26"/>
        <v>0</v>
      </c>
      <c r="K291" s="4" t="str">
        <f t="shared" si="27"/>
        <v/>
      </c>
      <c r="L291" s="4" t="str">
        <f t="shared" si="28"/>
        <v/>
      </c>
      <c r="M291" s="4" t="b" cm="1">
        <f t="array" ref="M291">IF(H291="",FALSE,SUMPRODUCT(--(H$1:H290=H291))&gt;0)</f>
        <v>0</v>
      </c>
      <c r="N291" s="36"/>
      <c r="P291" s="1" t="str">
        <f t="shared" si="29"/>
        <v/>
      </c>
    </row>
    <row r="292" spans="1:16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"&amp;L292,IF(AND(MAX(K$1:K291)&gt;0,N(K292)-MAX(K$1:K291)&gt;180),"⚠ Gap &gt; 3h",IF(_xlfn.LET(_xlpm.q,E292,_xlpm.tk,P292,_xlpm.ld,Log!$P$18,_xlpm.fx,IF(OR(_xlpm.ld="",_xlpm.ld="Full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"&amp;_xlpm.q,""))))&lt;&gt;"",IF(N292&lt;&gt;"","Load OK ✓ (checked)","⚠ "&amp;_xlfn.LET(_xlpm.q,E292,_xlpm.tk,P292,_xlpm.ld,Log!$P$18,_xlpm.fx,IF(OR(_xlpm.ld="",_xlpm.ld="Full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"&amp;_xlpm.q,""))))),IF(C292-I292&gt;=0.99,"next day",IF(C292-I292&gt;0.4,"12h → 24h","")))))))))))</f>
        <v/>
      </c>
      <c r="H292" s="4" t="str">
        <f t="shared" si="24"/>
        <v/>
      </c>
      <c r="I292" s="5" t="str">
        <f t="shared" si="25"/>
        <v/>
      </c>
      <c r="J292" s="6">
        <f t="shared" si="26"/>
        <v>0</v>
      </c>
      <c r="K292" s="4" t="str">
        <f t="shared" si="27"/>
        <v/>
      </c>
      <c r="L292" s="4" t="str">
        <f t="shared" si="28"/>
        <v/>
      </c>
      <c r="M292" s="4" t="b" cm="1">
        <f t="array" ref="M292">IF(H292="",FALSE,SUMPRODUCT(--(H$1:H291=H292))&gt;0)</f>
        <v>0</v>
      </c>
      <c r="N292" s="36"/>
      <c r="P292" s="1" t="str">
        <f t="shared" si="29"/>
        <v/>
      </c>
    </row>
    <row r="293" spans="1:16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"&amp;L293,IF(AND(MAX(K$1:K292)&gt;0,N(K293)-MAX(K$1:K292)&gt;180),"⚠ Gap &gt; 3h",IF(_xlfn.LET(_xlpm.q,E293,_xlpm.tk,P293,_xlpm.ld,Log!$P$18,_xlpm.fx,IF(OR(_xlpm.ld="",_xlpm.ld="Full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"&amp;_xlpm.q,""))))&lt;&gt;"",IF(N293&lt;&gt;"","Load OK ✓ (checked)","⚠ "&amp;_xlfn.LET(_xlpm.q,E293,_xlpm.tk,P293,_xlpm.ld,Log!$P$18,_xlpm.fx,IF(OR(_xlpm.ld="",_xlpm.ld="Full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"&amp;_xlpm.q,""))))),IF(C293-I293&gt;=0.99,"next day",IF(C293-I293&gt;0.4,"12h → 24h","")))))))))))</f>
        <v/>
      </c>
      <c r="H293" s="4" t="str">
        <f t="shared" si="24"/>
        <v/>
      </c>
      <c r="I293" s="5" t="str">
        <f t="shared" si="25"/>
        <v/>
      </c>
      <c r="J293" s="6">
        <f t="shared" si="26"/>
        <v>0</v>
      </c>
      <c r="K293" s="4" t="str">
        <f t="shared" si="27"/>
        <v/>
      </c>
      <c r="L293" s="4" t="str">
        <f t="shared" si="28"/>
        <v/>
      </c>
      <c r="M293" s="4" t="b" cm="1">
        <f t="array" ref="M293">IF(H293="",FALSE,SUMPRODUCT(--(H$1:H292=H293))&gt;0)</f>
        <v>0</v>
      </c>
      <c r="N293" s="36"/>
      <c r="P293" s="1" t="str">
        <f t="shared" si="29"/>
        <v/>
      </c>
    </row>
    <row r="294" spans="1:16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"&amp;L294,IF(AND(MAX(K$1:K293)&gt;0,N(K294)-MAX(K$1:K293)&gt;180),"⚠ Gap &gt; 3h",IF(_xlfn.LET(_xlpm.q,E294,_xlpm.tk,P294,_xlpm.ld,Log!$P$18,_xlpm.fx,IF(OR(_xlpm.ld="",_xlpm.ld="Full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"&amp;_xlpm.q,""))))&lt;&gt;"",IF(N294&lt;&gt;"","Load OK ✓ (checked)","⚠ "&amp;_xlfn.LET(_xlpm.q,E294,_xlpm.tk,P294,_xlpm.ld,Log!$P$18,_xlpm.fx,IF(OR(_xlpm.ld="",_xlpm.ld="Full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"&amp;_xlpm.q,""))))),IF(C294-I294&gt;=0.99,"next day",IF(C294-I294&gt;0.4,"12h → 24h","")))))))))))</f>
        <v/>
      </c>
      <c r="H294" s="4" t="str">
        <f t="shared" si="24"/>
        <v/>
      </c>
      <c r="I294" s="5" t="str">
        <f t="shared" si="25"/>
        <v/>
      </c>
      <c r="J294" s="6">
        <f t="shared" si="26"/>
        <v>0</v>
      </c>
      <c r="K294" s="4" t="str">
        <f t="shared" si="27"/>
        <v/>
      </c>
      <c r="L294" s="4" t="str">
        <f t="shared" si="28"/>
        <v/>
      </c>
      <c r="M294" s="4" t="b" cm="1">
        <f t="array" ref="M294">IF(H294="",FALSE,SUMPRODUCT(--(H$1:H293=H294))&gt;0)</f>
        <v>0</v>
      </c>
      <c r="N294" s="36"/>
      <c r="P294" s="1" t="str">
        <f t="shared" si="29"/>
        <v/>
      </c>
    </row>
    <row r="295" spans="1:16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"&amp;L295,IF(AND(MAX(K$1:K294)&gt;0,N(K295)-MAX(K$1:K294)&gt;180),"⚠ Gap &gt; 3h",IF(_xlfn.LET(_xlpm.q,E295,_xlpm.tk,P295,_xlpm.ld,Log!$P$18,_xlpm.fx,IF(OR(_xlpm.ld="",_xlpm.ld="Full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"&amp;_xlpm.q,""))))&lt;&gt;"",IF(N295&lt;&gt;"","Load OK ✓ (checked)","⚠ "&amp;_xlfn.LET(_xlpm.q,E295,_xlpm.tk,P295,_xlpm.ld,Log!$P$18,_xlpm.fx,IF(OR(_xlpm.ld="",_xlpm.ld="Full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"&amp;_xlpm.q,""))))),IF(C295-I295&gt;=0.99,"next day",IF(C295-I295&gt;0.4,"12h → 24h","")))))))))))</f>
        <v/>
      </c>
      <c r="H295" s="4" t="str">
        <f t="shared" si="24"/>
        <v/>
      </c>
      <c r="I295" s="5" t="str">
        <f t="shared" si="25"/>
        <v/>
      </c>
      <c r="J295" s="6">
        <f t="shared" si="26"/>
        <v>0</v>
      </c>
      <c r="K295" s="4" t="str">
        <f t="shared" si="27"/>
        <v/>
      </c>
      <c r="L295" s="4" t="str">
        <f t="shared" si="28"/>
        <v/>
      </c>
      <c r="M295" s="4" t="b" cm="1">
        <f t="array" ref="M295">IF(H295="",FALSE,SUMPRODUCT(--(H$1:H294=H295))&gt;0)</f>
        <v>0</v>
      </c>
      <c r="N295" s="36"/>
      <c r="P295" s="1" t="str">
        <f t="shared" si="29"/>
        <v/>
      </c>
    </row>
    <row r="296" spans="1:16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"&amp;L296,IF(AND(MAX(K$1:K295)&gt;0,N(K296)-MAX(K$1:K295)&gt;180),"⚠ Gap &gt; 3h",IF(_xlfn.LET(_xlpm.q,E296,_xlpm.tk,P296,_xlpm.ld,Log!$P$18,_xlpm.fx,IF(OR(_xlpm.ld="",_xlpm.ld="Full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"&amp;_xlpm.q,""))))&lt;&gt;"",IF(N296&lt;&gt;"","Load OK ✓ (checked)","⚠ "&amp;_xlfn.LET(_xlpm.q,E296,_xlpm.tk,P296,_xlpm.ld,Log!$P$18,_xlpm.fx,IF(OR(_xlpm.ld="",_xlpm.ld="Full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"&amp;_xlpm.q,""))))),IF(C296-I296&gt;=0.99,"next day",IF(C296-I296&gt;0.4,"12h → 24h","")))))))))))</f>
        <v/>
      </c>
      <c r="H296" s="4" t="str">
        <f t="shared" si="24"/>
        <v/>
      </c>
      <c r="I296" s="5" t="str">
        <f t="shared" si="25"/>
        <v/>
      </c>
      <c r="J296" s="6">
        <f t="shared" si="26"/>
        <v>0</v>
      </c>
      <c r="K296" s="4" t="str">
        <f t="shared" si="27"/>
        <v/>
      </c>
      <c r="L296" s="4" t="str">
        <f t="shared" si="28"/>
        <v/>
      </c>
      <c r="M296" s="4" t="b" cm="1">
        <f t="array" ref="M296">IF(H296="",FALSE,SUMPRODUCT(--(H$1:H295=H296))&gt;0)</f>
        <v>0</v>
      </c>
      <c r="N296" s="36"/>
      <c r="P296" s="1" t="str">
        <f t="shared" si="29"/>
        <v/>
      </c>
    </row>
    <row r="297" spans="1:16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"&amp;L297,IF(AND(MAX(K$1:K296)&gt;0,N(K297)-MAX(K$1:K296)&gt;180),"⚠ Gap &gt; 3h",IF(_xlfn.LET(_xlpm.q,E297,_xlpm.tk,P297,_xlpm.ld,Log!$P$18,_xlpm.fx,IF(OR(_xlpm.ld="",_xlpm.ld="Full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"&amp;_xlpm.q,""))))&lt;&gt;"",IF(N297&lt;&gt;"","Load OK ✓ (checked)","⚠ "&amp;_xlfn.LET(_xlpm.q,E297,_xlpm.tk,P297,_xlpm.ld,Log!$P$18,_xlpm.fx,IF(OR(_xlpm.ld="",_xlpm.ld="Full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"&amp;_xlpm.q,""))))),IF(C297-I297&gt;=0.99,"next day",IF(C297-I297&gt;0.4,"12h → 24h","")))))))))))</f>
        <v/>
      </c>
      <c r="H297" s="4" t="str">
        <f t="shared" si="24"/>
        <v/>
      </c>
      <c r="I297" s="5" t="str">
        <f t="shared" si="25"/>
        <v/>
      </c>
      <c r="J297" s="6">
        <f t="shared" si="26"/>
        <v>0</v>
      </c>
      <c r="K297" s="4" t="str">
        <f t="shared" si="27"/>
        <v/>
      </c>
      <c r="L297" s="4" t="str">
        <f t="shared" si="28"/>
        <v/>
      </c>
      <c r="M297" s="4" t="b" cm="1">
        <f t="array" ref="M297">IF(H297="",FALSE,SUMPRODUCT(--(H$1:H296=H297))&gt;0)</f>
        <v>0</v>
      </c>
      <c r="N297" s="36"/>
      <c r="P297" s="1" t="str">
        <f t="shared" si="29"/>
        <v/>
      </c>
    </row>
    <row r="298" spans="1:16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"&amp;L298,IF(AND(MAX(K$1:K297)&gt;0,N(K298)-MAX(K$1:K297)&gt;180),"⚠ Gap &gt; 3h",IF(_xlfn.LET(_xlpm.q,E298,_xlpm.tk,P298,_xlpm.ld,Log!$P$18,_xlpm.fx,IF(OR(_xlpm.ld="",_xlpm.ld="Full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"&amp;_xlpm.q,""))))&lt;&gt;"",IF(N298&lt;&gt;"","Load OK ✓ (checked)","⚠ "&amp;_xlfn.LET(_xlpm.q,E298,_xlpm.tk,P298,_xlpm.ld,Log!$P$18,_xlpm.fx,IF(OR(_xlpm.ld="",_xlpm.ld="Full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"&amp;_xlpm.q,""))))),IF(C298-I298&gt;=0.99,"next day",IF(C298-I298&gt;0.4,"12h → 24h","")))))))))))</f>
        <v/>
      </c>
      <c r="H298" s="4" t="str">
        <f t="shared" si="24"/>
        <v/>
      </c>
      <c r="I298" s="5" t="str">
        <f t="shared" si="25"/>
        <v/>
      </c>
      <c r="J298" s="6">
        <f t="shared" si="26"/>
        <v>0</v>
      </c>
      <c r="K298" s="4" t="str">
        <f t="shared" si="27"/>
        <v/>
      </c>
      <c r="L298" s="4" t="str">
        <f t="shared" si="28"/>
        <v/>
      </c>
      <c r="M298" s="4" t="b" cm="1">
        <f t="array" ref="M298">IF(H298="",FALSE,SUMPRODUCT(--(H$1:H297=H298))&gt;0)</f>
        <v>0</v>
      </c>
      <c r="N298" s="36"/>
      <c r="P298" s="1" t="str">
        <f t="shared" si="29"/>
        <v/>
      </c>
    </row>
    <row r="299" spans="1:16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"&amp;L299,IF(AND(MAX(K$1:K298)&gt;0,N(K299)-MAX(K$1:K298)&gt;180),"⚠ Gap &gt; 3h",IF(_xlfn.LET(_xlpm.q,E299,_xlpm.tk,P299,_xlpm.ld,Log!$P$18,_xlpm.fx,IF(OR(_xlpm.ld="",_xlpm.ld="Full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"&amp;_xlpm.q,""))))&lt;&gt;"",IF(N299&lt;&gt;"","Load OK ✓ (checked)","⚠ "&amp;_xlfn.LET(_xlpm.q,E299,_xlpm.tk,P299,_xlpm.ld,Log!$P$18,_xlpm.fx,IF(OR(_xlpm.ld="",_xlpm.ld="Full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"&amp;_xlpm.q,""))))),IF(C299-I299&gt;=0.99,"next day",IF(C299-I299&gt;0.4,"12h → 24h","")))))))))))</f>
        <v/>
      </c>
      <c r="H299" s="4" t="str">
        <f t="shared" si="24"/>
        <v/>
      </c>
      <c r="I299" s="5" t="str">
        <f t="shared" si="25"/>
        <v/>
      </c>
      <c r="J299" s="6">
        <f t="shared" si="26"/>
        <v>0</v>
      </c>
      <c r="K299" s="4" t="str">
        <f t="shared" si="27"/>
        <v/>
      </c>
      <c r="L299" s="4" t="str">
        <f t="shared" si="28"/>
        <v/>
      </c>
      <c r="M299" s="4" t="b" cm="1">
        <f t="array" ref="M299">IF(H299="",FALSE,SUMPRODUCT(--(H$1:H298=H299))&gt;0)</f>
        <v>0</v>
      </c>
      <c r="N299" s="36"/>
      <c r="P299" s="1" t="str">
        <f t="shared" si="29"/>
        <v/>
      </c>
    </row>
    <row r="300" spans="1:16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"&amp;L300,IF(AND(MAX(K$1:K299)&gt;0,N(K300)-MAX(K$1:K299)&gt;180),"⚠ Gap &gt; 3h",IF(_xlfn.LET(_xlpm.q,E300,_xlpm.tk,P300,_xlpm.ld,Log!$P$18,_xlpm.fx,IF(OR(_xlpm.ld="",_xlpm.ld="Full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"&amp;_xlpm.q,""))))&lt;&gt;"",IF(N300&lt;&gt;"","Load OK ✓ (checked)","⚠ "&amp;_xlfn.LET(_xlpm.q,E300,_xlpm.tk,P300,_xlpm.ld,Log!$P$18,_xlpm.fx,IF(OR(_xlpm.ld="",_xlpm.ld="Full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"&amp;_xlpm.q,""))))),IF(C300-I300&gt;=0.99,"next day",IF(C300-I300&gt;0.4,"12h → 24h","")))))))))))</f>
        <v/>
      </c>
      <c r="H300" s="4" t="str">
        <f t="shared" si="24"/>
        <v/>
      </c>
      <c r="I300" s="5" t="str">
        <f t="shared" si="25"/>
        <v/>
      </c>
      <c r="J300" s="6">
        <f t="shared" si="26"/>
        <v>0</v>
      </c>
      <c r="K300" s="4" t="str">
        <f t="shared" si="27"/>
        <v/>
      </c>
      <c r="L300" s="4" t="str">
        <f t="shared" si="28"/>
        <v/>
      </c>
      <c r="M300" s="4" t="b" cm="1">
        <f t="array" ref="M300">IF(H300="",FALSE,SUMPRODUCT(--(H$1:H299=H300))&gt;0)</f>
        <v>0</v>
      </c>
      <c r="N300" s="36"/>
      <c r="P300" s="1" t="str">
        <f t="shared" si="29"/>
        <v/>
      </c>
    </row>
    <row r="301" spans="1:16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"&amp;L301,IF(AND(MAX(K$1:K300)&gt;0,N(K301)-MAX(K$1:K300)&gt;180),"⚠ Gap &gt; 3h",IF(_xlfn.LET(_xlpm.q,E301,_xlpm.tk,P301,_xlpm.ld,Log!$P$18,_xlpm.fx,IF(OR(_xlpm.ld="",_xlpm.ld="Full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"&amp;_xlpm.q,""))))&lt;&gt;"",IF(N301&lt;&gt;"","Load OK ✓ (checked)","⚠ "&amp;_xlfn.LET(_xlpm.q,E301,_xlpm.tk,P301,_xlpm.ld,Log!$P$18,_xlpm.fx,IF(OR(_xlpm.ld="",_xlpm.ld="Full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"&amp;_xlpm.q,""))))),IF(C301-I301&gt;=0.99,"next day",IF(C301-I301&gt;0.4,"12h → 24h","")))))))))))</f>
        <v/>
      </c>
      <c r="H301" s="4" t="str">
        <f t="shared" si="24"/>
        <v/>
      </c>
      <c r="I301" s="5" t="str">
        <f t="shared" si="25"/>
        <v/>
      </c>
      <c r="J301" s="6">
        <f t="shared" si="26"/>
        <v>0</v>
      </c>
      <c r="K301" s="4" t="str">
        <f t="shared" si="27"/>
        <v/>
      </c>
      <c r="L301" s="4" t="str">
        <f t="shared" si="28"/>
        <v/>
      </c>
      <c r="M301" s="4" t="b" cm="1">
        <f t="array" ref="M301">IF(H301="",FALSE,SUMPRODUCT(--(H$1:H300=H301))&gt;0)</f>
        <v>0</v>
      </c>
      <c r="N301" s="36"/>
      <c r="P301" s="1" t="str">
        <f t="shared" si="29"/>
        <v/>
      </c>
    </row>
    <row r="302" spans="1:16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"&amp;L302,IF(AND(MAX(K$1:K301)&gt;0,N(K302)-MAX(K$1:K301)&gt;180),"⚠ Gap &gt; 3h",IF(_xlfn.LET(_xlpm.q,E302,_xlpm.tk,P302,_xlpm.ld,Log!$P$18,_xlpm.fx,IF(OR(_xlpm.ld="",_xlpm.ld="Full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"&amp;_xlpm.q,""))))&lt;&gt;"",IF(N302&lt;&gt;"","Load OK ✓ (checked)","⚠ "&amp;_xlfn.LET(_xlpm.q,E302,_xlpm.tk,P302,_xlpm.ld,Log!$P$18,_xlpm.fx,IF(OR(_xlpm.ld="",_xlpm.ld="Full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"&amp;_xlpm.q,""))))),IF(C302-I302&gt;=0.99,"next day",IF(C302-I302&gt;0.4,"12h → 24h","")))))))))))</f>
        <v/>
      </c>
      <c r="H302" s="4" t="str">
        <f t="shared" si="24"/>
        <v/>
      </c>
      <c r="I302" s="5" t="str">
        <f t="shared" si="25"/>
        <v/>
      </c>
      <c r="J302" s="6">
        <f t="shared" si="26"/>
        <v>0</v>
      </c>
      <c r="K302" s="4" t="str">
        <f t="shared" si="27"/>
        <v/>
      </c>
      <c r="L302" s="4" t="str">
        <f t="shared" si="28"/>
        <v/>
      </c>
      <c r="M302" s="4" t="b" cm="1">
        <f t="array" ref="M302">IF(H302="",FALSE,SUMPRODUCT(--(H$1:H301=H302))&gt;0)</f>
        <v>0</v>
      </c>
      <c r="N302" s="36"/>
      <c r="P302" s="1" t="str">
        <f t="shared" si="29"/>
        <v/>
      </c>
    </row>
    <row r="303" spans="1:16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"&amp;L303,IF(AND(MAX(K$1:K302)&gt;0,N(K303)-MAX(K$1:K302)&gt;180),"⚠ Gap &gt; 3h",IF(_xlfn.LET(_xlpm.q,E303,_xlpm.tk,P303,_xlpm.ld,Log!$P$18,_xlpm.fx,IF(OR(_xlpm.ld="",_xlpm.ld="Full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"&amp;_xlpm.q,""))))&lt;&gt;"",IF(N303&lt;&gt;"","Load OK ✓ (checked)","⚠ "&amp;_xlfn.LET(_xlpm.q,E303,_xlpm.tk,P303,_xlpm.ld,Log!$P$18,_xlpm.fx,IF(OR(_xlpm.ld="",_xlpm.ld="Full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"&amp;_xlpm.q,""))))),IF(C303-I303&gt;=0.99,"next day",IF(C303-I303&gt;0.4,"12h → 24h","")))))))))))</f>
        <v/>
      </c>
      <c r="H303" s="4" t="str">
        <f t="shared" si="24"/>
        <v/>
      </c>
      <c r="I303" s="5" t="str">
        <f t="shared" si="25"/>
        <v/>
      </c>
      <c r="J303" s="6">
        <f t="shared" si="26"/>
        <v>0</v>
      </c>
      <c r="K303" s="4" t="str">
        <f t="shared" si="27"/>
        <v/>
      </c>
      <c r="L303" s="4" t="str">
        <f t="shared" si="28"/>
        <v/>
      </c>
      <c r="M303" s="4" t="b" cm="1">
        <f t="array" ref="M303">IF(H303="",FALSE,SUMPRODUCT(--(H$1:H302=H303))&gt;0)</f>
        <v>0</v>
      </c>
      <c r="N303" s="36"/>
      <c r="P303" s="1" t="str">
        <f t="shared" si="29"/>
        <v/>
      </c>
    </row>
    <row r="304" spans="1:16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"&amp;L304,IF(AND(MAX(K$1:K303)&gt;0,N(K304)-MAX(K$1:K303)&gt;180),"⚠ Gap &gt; 3h",IF(_xlfn.LET(_xlpm.q,E304,_xlpm.tk,P304,_xlpm.ld,Log!$P$18,_xlpm.fx,IF(OR(_xlpm.ld="",_xlpm.ld="Full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"&amp;_xlpm.q,""))))&lt;&gt;"",IF(N304&lt;&gt;"","Load OK ✓ (checked)","⚠ "&amp;_xlfn.LET(_xlpm.q,E304,_xlpm.tk,P304,_xlpm.ld,Log!$P$18,_xlpm.fx,IF(OR(_xlpm.ld="",_xlpm.ld="Full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"&amp;_xlpm.q,""))))),IF(C304-I304&gt;=0.99,"next day",IF(C304-I304&gt;0.4,"12h → 24h","")))))))))))</f>
        <v/>
      </c>
      <c r="H304" s="4" t="str">
        <f t="shared" si="24"/>
        <v/>
      </c>
      <c r="I304" s="5" t="str">
        <f t="shared" si="25"/>
        <v/>
      </c>
      <c r="J304" s="6">
        <f t="shared" si="26"/>
        <v>0</v>
      </c>
      <c r="K304" s="4" t="str">
        <f t="shared" si="27"/>
        <v/>
      </c>
      <c r="L304" s="4" t="str">
        <f t="shared" si="28"/>
        <v/>
      </c>
      <c r="M304" s="4" t="b" cm="1">
        <f t="array" ref="M304">IF(H304="",FALSE,SUMPRODUCT(--(H$1:H303=H304))&gt;0)</f>
        <v>0</v>
      </c>
      <c r="N304" s="36"/>
      <c r="P304" s="1" t="str">
        <f t="shared" si="29"/>
        <v/>
      </c>
    </row>
    <row r="305" spans="1:16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"&amp;L305,IF(AND(MAX(K$1:K304)&gt;0,N(K305)-MAX(K$1:K304)&gt;180),"⚠ Gap &gt; 3h",IF(_xlfn.LET(_xlpm.q,E305,_xlpm.tk,P305,_xlpm.ld,Log!$P$18,_xlpm.fx,IF(OR(_xlpm.ld="",_xlpm.ld="Full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"&amp;_xlpm.q,""))))&lt;&gt;"",IF(N305&lt;&gt;"","Load OK ✓ (checked)","⚠ "&amp;_xlfn.LET(_xlpm.q,E305,_xlpm.tk,P305,_xlpm.ld,Log!$P$18,_xlpm.fx,IF(OR(_xlpm.ld="",_xlpm.ld="Full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"&amp;_xlpm.q,""))))),IF(C305-I305&gt;=0.99,"next day",IF(C305-I305&gt;0.4,"12h → 24h","")))))))))))</f>
        <v/>
      </c>
      <c r="H305" s="4" t="str">
        <f t="shared" si="24"/>
        <v/>
      </c>
      <c r="I305" s="5" t="str">
        <f t="shared" si="25"/>
        <v/>
      </c>
      <c r="J305" s="6">
        <f t="shared" si="26"/>
        <v>0</v>
      </c>
      <c r="K305" s="4" t="str">
        <f t="shared" si="27"/>
        <v/>
      </c>
      <c r="L305" s="4" t="str">
        <f t="shared" si="28"/>
        <v/>
      </c>
      <c r="M305" s="4" t="b" cm="1">
        <f t="array" ref="M305">IF(H305="",FALSE,SUMPRODUCT(--(H$1:H304=H305))&gt;0)</f>
        <v>0</v>
      </c>
      <c r="N305" s="36"/>
      <c r="P305" s="1" t="str">
        <f t="shared" si="29"/>
        <v/>
      </c>
    </row>
    <row r="306" spans="1:16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"&amp;L306,IF(AND(MAX(K$1:K305)&gt;0,N(K306)-MAX(K$1:K305)&gt;180),"⚠ Gap &gt; 3h",IF(_xlfn.LET(_xlpm.q,E306,_xlpm.tk,P306,_xlpm.ld,Log!$P$18,_xlpm.fx,IF(OR(_xlpm.ld="",_xlpm.ld="Full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"&amp;_xlpm.q,""))))&lt;&gt;"",IF(N306&lt;&gt;"","Load OK ✓ (checked)","⚠ "&amp;_xlfn.LET(_xlpm.q,E306,_xlpm.tk,P306,_xlpm.ld,Log!$P$18,_xlpm.fx,IF(OR(_xlpm.ld="",_xlpm.ld="Full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"&amp;_xlpm.q,""))))),IF(C306-I306&gt;=0.99,"next day",IF(C306-I306&gt;0.4,"12h → 24h","")))))))))))</f>
        <v/>
      </c>
      <c r="H306" s="4" t="str">
        <f t="shared" si="24"/>
        <v/>
      </c>
      <c r="I306" s="5" t="str">
        <f t="shared" si="25"/>
        <v/>
      </c>
      <c r="J306" s="6">
        <f t="shared" si="26"/>
        <v>0</v>
      </c>
      <c r="K306" s="4" t="str">
        <f t="shared" si="27"/>
        <v/>
      </c>
      <c r="L306" s="4" t="str">
        <f t="shared" si="28"/>
        <v/>
      </c>
      <c r="M306" s="4" t="b" cm="1">
        <f t="array" ref="M306">IF(H306="",FALSE,SUMPRODUCT(--(H$1:H305=H306))&gt;0)</f>
        <v>0</v>
      </c>
      <c r="N306" s="36"/>
      <c r="P306" s="1" t="str">
        <f t="shared" si="29"/>
        <v/>
      </c>
    </row>
    <row r="307" spans="1:16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"&amp;L307,IF(AND(MAX(K$1:K306)&gt;0,N(K307)-MAX(K$1:K306)&gt;180),"⚠ Gap &gt; 3h",IF(_xlfn.LET(_xlpm.q,E307,_xlpm.tk,P307,_xlpm.ld,Log!$P$18,_xlpm.fx,IF(OR(_xlpm.ld="",_xlpm.ld="Full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"&amp;_xlpm.q,""))))&lt;&gt;"",IF(N307&lt;&gt;"","Load OK ✓ (checked)","⚠ "&amp;_xlfn.LET(_xlpm.q,E307,_xlpm.tk,P307,_xlpm.ld,Log!$P$18,_xlpm.fx,IF(OR(_xlpm.ld="",_xlpm.ld="Full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"&amp;_xlpm.q,""))))),IF(C307-I307&gt;=0.99,"next day",IF(C307-I307&gt;0.4,"12h → 24h","")))))))))))</f>
        <v/>
      </c>
      <c r="H307" s="4" t="str">
        <f t="shared" si="24"/>
        <v/>
      </c>
      <c r="I307" s="5" t="str">
        <f t="shared" si="25"/>
        <v/>
      </c>
      <c r="J307" s="6">
        <f t="shared" si="26"/>
        <v>0</v>
      </c>
      <c r="K307" s="4" t="str">
        <f t="shared" si="27"/>
        <v/>
      </c>
      <c r="L307" s="4" t="str">
        <f t="shared" si="28"/>
        <v/>
      </c>
      <c r="M307" s="4" t="b" cm="1">
        <f t="array" ref="M307">IF(H307="",FALSE,SUMPRODUCT(--(H$1:H306=H307))&gt;0)</f>
        <v>0</v>
      </c>
      <c r="N307" s="36"/>
      <c r="P307" s="1" t="str">
        <f t="shared" si="29"/>
        <v/>
      </c>
    </row>
    <row r="308" spans="1:16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"&amp;L308,IF(AND(MAX(K$1:K307)&gt;0,N(K308)-MAX(K$1:K307)&gt;180),"⚠ Gap &gt; 3h",IF(_xlfn.LET(_xlpm.q,E308,_xlpm.tk,P308,_xlpm.ld,Log!$P$18,_xlpm.fx,IF(OR(_xlpm.ld="",_xlpm.ld="Full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"&amp;_xlpm.q,""))))&lt;&gt;"",IF(N308&lt;&gt;"","Load OK ✓ (checked)","⚠ "&amp;_xlfn.LET(_xlpm.q,E308,_xlpm.tk,P308,_xlpm.ld,Log!$P$18,_xlpm.fx,IF(OR(_xlpm.ld="",_xlpm.ld="Full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"&amp;_xlpm.q,""))))),IF(C308-I308&gt;=0.99,"next day",IF(C308-I308&gt;0.4,"12h → 24h","")))))))))))</f>
        <v/>
      </c>
      <c r="H308" s="4" t="str">
        <f t="shared" si="24"/>
        <v/>
      </c>
      <c r="I308" s="5" t="str">
        <f t="shared" si="25"/>
        <v/>
      </c>
      <c r="J308" s="6">
        <f t="shared" si="26"/>
        <v>0</v>
      </c>
      <c r="K308" s="4" t="str">
        <f t="shared" si="27"/>
        <v/>
      </c>
      <c r="L308" s="4" t="str">
        <f t="shared" si="28"/>
        <v/>
      </c>
      <c r="M308" s="4" t="b" cm="1">
        <f t="array" ref="M308">IF(H308="",FALSE,SUMPRODUCT(--(H$1:H307=H308))&gt;0)</f>
        <v>0</v>
      </c>
      <c r="N308" s="36"/>
      <c r="P308" s="1" t="str">
        <f t="shared" si="29"/>
        <v/>
      </c>
    </row>
    <row r="309" spans="1:16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"&amp;L309,IF(AND(MAX(K$1:K308)&gt;0,N(K309)-MAX(K$1:K308)&gt;180),"⚠ Gap &gt; 3h",IF(_xlfn.LET(_xlpm.q,E309,_xlpm.tk,P309,_xlpm.ld,Log!$P$18,_xlpm.fx,IF(OR(_xlpm.ld="",_xlpm.ld="Full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"&amp;_xlpm.q,""))))&lt;&gt;"",IF(N309&lt;&gt;"","Load OK ✓ (checked)","⚠ "&amp;_xlfn.LET(_xlpm.q,E309,_xlpm.tk,P309,_xlpm.ld,Log!$P$18,_xlpm.fx,IF(OR(_xlpm.ld="",_xlpm.ld="Full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"&amp;_xlpm.q,""))))),IF(C309-I309&gt;=0.99,"next day",IF(C309-I309&gt;0.4,"12h → 24h","")))))))))))</f>
        <v/>
      </c>
      <c r="H309" s="4" t="str">
        <f t="shared" si="24"/>
        <v/>
      </c>
      <c r="I309" s="5" t="str">
        <f t="shared" si="25"/>
        <v/>
      </c>
      <c r="J309" s="6">
        <f t="shared" si="26"/>
        <v>0</v>
      </c>
      <c r="K309" s="4" t="str">
        <f t="shared" si="27"/>
        <v/>
      </c>
      <c r="L309" s="4" t="str">
        <f t="shared" si="28"/>
        <v/>
      </c>
      <c r="M309" s="4" t="b" cm="1">
        <f t="array" ref="M309">IF(H309="",FALSE,SUMPRODUCT(--(H$1:H308=H309))&gt;0)</f>
        <v>0</v>
      </c>
      <c r="N309" s="36"/>
      <c r="P309" s="1" t="str">
        <f t="shared" si="29"/>
        <v/>
      </c>
    </row>
    <row r="310" spans="1:16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"&amp;L310,IF(AND(MAX(K$1:K309)&gt;0,N(K310)-MAX(K$1:K309)&gt;180),"⚠ Gap &gt; 3h",IF(_xlfn.LET(_xlpm.q,E310,_xlpm.tk,P310,_xlpm.ld,Log!$P$18,_xlpm.fx,IF(OR(_xlpm.ld="",_xlpm.ld="Full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"&amp;_xlpm.q,""))))&lt;&gt;"",IF(N310&lt;&gt;"","Load OK ✓ (checked)","⚠ "&amp;_xlfn.LET(_xlpm.q,E310,_xlpm.tk,P310,_xlpm.ld,Log!$P$18,_xlpm.fx,IF(OR(_xlpm.ld="",_xlpm.ld="Full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"&amp;_xlpm.q,""))))),IF(C310-I310&gt;=0.99,"next day",IF(C310-I310&gt;0.4,"12h → 24h","")))))))))))</f>
        <v/>
      </c>
      <c r="H310" s="4" t="str">
        <f t="shared" si="24"/>
        <v/>
      </c>
      <c r="I310" s="5" t="str">
        <f t="shared" si="25"/>
        <v/>
      </c>
      <c r="J310" s="6">
        <f t="shared" si="26"/>
        <v>0</v>
      </c>
      <c r="K310" s="4" t="str">
        <f t="shared" si="27"/>
        <v/>
      </c>
      <c r="L310" s="4" t="str">
        <f t="shared" si="28"/>
        <v/>
      </c>
      <c r="M310" s="4" t="b" cm="1">
        <f t="array" ref="M310">IF(H310="",FALSE,SUMPRODUCT(--(H$1:H309=H310))&gt;0)</f>
        <v>0</v>
      </c>
      <c r="N310" s="36"/>
      <c r="P310" s="1" t="str">
        <f t="shared" si="29"/>
        <v/>
      </c>
    </row>
    <row r="311" spans="1:16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"&amp;L311,IF(AND(MAX(K$1:K310)&gt;0,N(K311)-MAX(K$1:K310)&gt;180),"⚠ Gap &gt; 3h",IF(_xlfn.LET(_xlpm.q,E311,_xlpm.tk,P311,_xlpm.ld,Log!$P$18,_xlpm.fx,IF(OR(_xlpm.ld="",_xlpm.ld="Full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"&amp;_xlpm.q,""))))&lt;&gt;"",IF(N311&lt;&gt;"","Load OK ✓ (checked)","⚠ "&amp;_xlfn.LET(_xlpm.q,E311,_xlpm.tk,P311,_xlpm.ld,Log!$P$18,_xlpm.fx,IF(OR(_xlpm.ld="",_xlpm.ld="Full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"&amp;_xlpm.q,""))))),IF(C311-I311&gt;=0.99,"next day",IF(C311-I311&gt;0.4,"12h → 24h","")))))))))))</f>
        <v/>
      </c>
      <c r="H311" s="4" t="str">
        <f t="shared" si="24"/>
        <v/>
      </c>
      <c r="I311" s="5" t="str">
        <f t="shared" si="25"/>
        <v/>
      </c>
      <c r="J311" s="6">
        <f t="shared" si="26"/>
        <v>0</v>
      </c>
      <c r="K311" s="4" t="str">
        <f t="shared" si="27"/>
        <v/>
      </c>
      <c r="L311" s="4" t="str">
        <f t="shared" si="28"/>
        <v/>
      </c>
      <c r="M311" s="4" t="b" cm="1">
        <f t="array" ref="M311">IF(H311="",FALSE,SUMPRODUCT(--(H$1:H310=H311))&gt;0)</f>
        <v>0</v>
      </c>
      <c r="N311" s="36"/>
      <c r="P311" s="1" t="str">
        <f t="shared" si="29"/>
        <v/>
      </c>
    </row>
    <row r="312" spans="1:16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"&amp;L312,IF(AND(MAX(K$1:K311)&gt;0,N(K312)-MAX(K$1:K311)&gt;180),"⚠ Gap &gt; 3h",IF(_xlfn.LET(_xlpm.q,E312,_xlpm.tk,P312,_xlpm.ld,Log!$P$18,_xlpm.fx,IF(OR(_xlpm.ld="",_xlpm.ld="Full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"&amp;_xlpm.q,""))))&lt;&gt;"",IF(N312&lt;&gt;"","Load OK ✓ (checked)","⚠ "&amp;_xlfn.LET(_xlpm.q,E312,_xlpm.tk,P312,_xlpm.ld,Log!$P$18,_xlpm.fx,IF(OR(_xlpm.ld="",_xlpm.ld="Full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"&amp;_xlpm.q,""))))),IF(C312-I312&gt;=0.99,"next day",IF(C312-I312&gt;0.4,"12h → 24h","")))))))))))</f>
        <v/>
      </c>
      <c r="H312" s="4" t="str">
        <f t="shared" si="24"/>
        <v/>
      </c>
      <c r="I312" s="5" t="str">
        <f t="shared" si="25"/>
        <v/>
      </c>
      <c r="J312" s="6">
        <f t="shared" si="26"/>
        <v>0</v>
      </c>
      <c r="K312" s="4" t="str">
        <f t="shared" si="27"/>
        <v/>
      </c>
      <c r="L312" s="4" t="str">
        <f t="shared" si="28"/>
        <v/>
      </c>
      <c r="M312" s="4" t="b" cm="1">
        <f t="array" ref="M312">IF(H312="",FALSE,SUMPRODUCT(--(H$1:H311=H312))&gt;0)</f>
        <v>0</v>
      </c>
      <c r="N312" s="36"/>
      <c r="P312" s="1" t="str">
        <f t="shared" si="29"/>
        <v/>
      </c>
    </row>
    <row r="313" spans="1:16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"&amp;L313,IF(AND(MAX(K$1:K312)&gt;0,N(K313)-MAX(K$1:K312)&gt;180),"⚠ Gap &gt; 3h",IF(_xlfn.LET(_xlpm.q,E313,_xlpm.tk,P313,_xlpm.ld,Log!$P$18,_xlpm.fx,IF(OR(_xlpm.ld="",_xlpm.ld="Full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"&amp;_xlpm.q,""))))&lt;&gt;"",IF(N313&lt;&gt;"","Load OK ✓ (checked)","⚠ "&amp;_xlfn.LET(_xlpm.q,E313,_xlpm.tk,P313,_xlpm.ld,Log!$P$18,_xlpm.fx,IF(OR(_xlpm.ld="",_xlpm.ld="Full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"&amp;_xlpm.q,""))))),IF(C313-I313&gt;=0.99,"next day",IF(C313-I313&gt;0.4,"12h → 24h","")))))))))))</f>
        <v/>
      </c>
      <c r="H313" s="4" t="str">
        <f t="shared" si="24"/>
        <v/>
      </c>
      <c r="I313" s="5" t="str">
        <f t="shared" si="25"/>
        <v/>
      </c>
      <c r="J313" s="6">
        <f t="shared" si="26"/>
        <v>0</v>
      </c>
      <c r="K313" s="4" t="str">
        <f t="shared" si="27"/>
        <v/>
      </c>
      <c r="L313" s="4" t="str">
        <f t="shared" si="28"/>
        <v/>
      </c>
      <c r="M313" s="4" t="b" cm="1">
        <f t="array" ref="M313">IF(H313="",FALSE,SUMPRODUCT(--(H$1:H312=H313))&gt;0)</f>
        <v>0</v>
      </c>
      <c r="N313" s="36"/>
      <c r="P313" s="1" t="str">
        <f t="shared" si="29"/>
        <v/>
      </c>
    </row>
    <row r="314" spans="1:16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"&amp;L314,IF(AND(MAX(K$1:K313)&gt;0,N(K314)-MAX(K$1:K313)&gt;180),"⚠ Gap &gt; 3h",IF(_xlfn.LET(_xlpm.q,E314,_xlpm.tk,P314,_xlpm.ld,Log!$P$18,_xlpm.fx,IF(OR(_xlpm.ld="",_xlpm.ld="Full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"&amp;_xlpm.q,""))))&lt;&gt;"",IF(N314&lt;&gt;"","Load OK ✓ (checked)","⚠ "&amp;_xlfn.LET(_xlpm.q,E314,_xlpm.tk,P314,_xlpm.ld,Log!$P$18,_xlpm.fx,IF(OR(_xlpm.ld="",_xlpm.ld="Full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"&amp;_xlpm.q,""))))),IF(C314-I314&gt;=0.99,"next day",IF(C314-I314&gt;0.4,"12h → 24h","")))))))))))</f>
        <v/>
      </c>
      <c r="H314" s="4" t="str">
        <f t="shared" si="24"/>
        <v/>
      </c>
      <c r="I314" s="5" t="str">
        <f t="shared" si="25"/>
        <v/>
      </c>
      <c r="J314" s="6">
        <f t="shared" si="26"/>
        <v>0</v>
      </c>
      <c r="K314" s="4" t="str">
        <f t="shared" si="27"/>
        <v/>
      </c>
      <c r="L314" s="4" t="str">
        <f t="shared" si="28"/>
        <v/>
      </c>
      <c r="M314" s="4" t="b" cm="1">
        <f t="array" ref="M314">IF(H314="",FALSE,SUMPRODUCT(--(H$1:H313=H314))&gt;0)</f>
        <v>0</v>
      </c>
      <c r="N314" s="36"/>
      <c r="P314" s="1" t="str">
        <f t="shared" si="29"/>
        <v/>
      </c>
    </row>
    <row r="315" spans="1:16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"&amp;L315,IF(AND(MAX(K$1:K314)&gt;0,N(K315)-MAX(K$1:K314)&gt;180),"⚠ Gap &gt; 3h",IF(_xlfn.LET(_xlpm.q,E315,_xlpm.tk,P315,_xlpm.ld,Log!$P$18,_xlpm.fx,IF(OR(_xlpm.ld="",_xlpm.ld="Full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"&amp;_xlpm.q,""))))&lt;&gt;"",IF(N315&lt;&gt;"","Load OK ✓ (checked)","⚠ "&amp;_xlfn.LET(_xlpm.q,E315,_xlpm.tk,P315,_xlpm.ld,Log!$P$18,_xlpm.fx,IF(OR(_xlpm.ld="",_xlpm.ld="Full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"&amp;_xlpm.q,""))))),IF(C315-I315&gt;=0.99,"next day",IF(C315-I315&gt;0.4,"12h → 24h","")))))))))))</f>
        <v/>
      </c>
      <c r="H315" s="4" t="str">
        <f t="shared" si="24"/>
        <v/>
      </c>
      <c r="I315" s="5" t="str">
        <f t="shared" si="25"/>
        <v/>
      </c>
      <c r="J315" s="6">
        <f t="shared" si="26"/>
        <v>0</v>
      </c>
      <c r="K315" s="4" t="str">
        <f t="shared" si="27"/>
        <v/>
      </c>
      <c r="L315" s="4" t="str">
        <f t="shared" si="28"/>
        <v/>
      </c>
      <c r="M315" s="4" t="b" cm="1">
        <f t="array" ref="M315">IF(H315="",FALSE,SUMPRODUCT(--(H$1:H314=H315))&gt;0)</f>
        <v>0</v>
      </c>
      <c r="N315" s="36"/>
      <c r="P315" s="1" t="str">
        <f t="shared" si="29"/>
        <v/>
      </c>
    </row>
    <row r="316" spans="1:16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"&amp;L316,IF(AND(MAX(K$1:K315)&gt;0,N(K316)-MAX(K$1:K315)&gt;180),"⚠ Gap &gt; 3h",IF(_xlfn.LET(_xlpm.q,E316,_xlpm.tk,P316,_xlpm.ld,Log!$P$18,_xlpm.fx,IF(OR(_xlpm.ld="",_xlpm.ld="Full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"&amp;_xlpm.q,""))))&lt;&gt;"",IF(N316&lt;&gt;"","Load OK ✓ (checked)","⚠ "&amp;_xlfn.LET(_xlpm.q,E316,_xlpm.tk,P316,_xlpm.ld,Log!$P$18,_xlpm.fx,IF(OR(_xlpm.ld="",_xlpm.ld="Full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"&amp;_xlpm.q,""))))),IF(C316-I316&gt;=0.99,"next day",IF(C316-I316&gt;0.4,"12h → 24h","")))))))))))</f>
        <v/>
      </c>
      <c r="H316" s="4" t="str">
        <f t="shared" si="24"/>
        <v/>
      </c>
      <c r="I316" s="5" t="str">
        <f t="shared" si="25"/>
        <v/>
      </c>
      <c r="J316" s="6">
        <f t="shared" si="26"/>
        <v>0</v>
      </c>
      <c r="K316" s="4" t="str">
        <f t="shared" si="27"/>
        <v/>
      </c>
      <c r="L316" s="4" t="str">
        <f t="shared" si="28"/>
        <v/>
      </c>
      <c r="M316" s="4" t="b" cm="1">
        <f t="array" ref="M316">IF(H316="",FALSE,SUMPRODUCT(--(H$1:H315=H316))&gt;0)</f>
        <v>0</v>
      </c>
      <c r="N316" s="36"/>
      <c r="P316" s="1" t="str">
        <f t="shared" si="29"/>
        <v/>
      </c>
    </row>
    <row r="317" spans="1:16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"&amp;L317,IF(AND(MAX(K$1:K316)&gt;0,N(K317)-MAX(K$1:K316)&gt;180),"⚠ Gap &gt; 3h",IF(_xlfn.LET(_xlpm.q,E317,_xlpm.tk,P317,_xlpm.ld,Log!$P$18,_xlpm.fx,IF(OR(_xlpm.ld="",_xlpm.ld="Full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"&amp;_xlpm.q,""))))&lt;&gt;"",IF(N317&lt;&gt;"","Load OK ✓ (checked)","⚠ "&amp;_xlfn.LET(_xlpm.q,E317,_xlpm.tk,P317,_xlpm.ld,Log!$P$18,_xlpm.fx,IF(OR(_xlpm.ld="",_xlpm.ld="Full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"&amp;_xlpm.q,""))))),IF(C317-I317&gt;=0.99,"next day",IF(C317-I317&gt;0.4,"12h → 24h","")))))))))))</f>
        <v/>
      </c>
      <c r="H317" s="4" t="str">
        <f t="shared" si="24"/>
        <v/>
      </c>
      <c r="I317" s="5" t="str">
        <f t="shared" si="25"/>
        <v/>
      </c>
      <c r="J317" s="6">
        <f t="shared" si="26"/>
        <v>0</v>
      </c>
      <c r="K317" s="4" t="str">
        <f t="shared" si="27"/>
        <v/>
      </c>
      <c r="L317" s="4" t="str">
        <f t="shared" si="28"/>
        <v/>
      </c>
      <c r="M317" s="4" t="b" cm="1">
        <f t="array" ref="M317">IF(H317="",FALSE,SUMPRODUCT(--(H$1:H316=H317))&gt;0)</f>
        <v>0</v>
      </c>
      <c r="N317" s="36"/>
      <c r="P317" s="1" t="str">
        <f t="shared" si="29"/>
        <v/>
      </c>
    </row>
    <row r="318" spans="1:16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"&amp;L318,IF(AND(MAX(K$1:K317)&gt;0,N(K318)-MAX(K$1:K317)&gt;180),"⚠ Gap &gt; 3h",IF(_xlfn.LET(_xlpm.q,E318,_xlpm.tk,P318,_xlpm.ld,Log!$P$18,_xlpm.fx,IF(OR(_xlpm.ld="",_xlpm.ld="Full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"&amp;_xlpm.q,""))))&lt;&gt;"",IF(N318&lt;&gt;"","Load OK ✓ (checked)","⚠ "&amp;_xlfn.LET(_xlpm.q,E318,_xlpm.tk,P318,_xlpm.ld,Log!$P$18,_xlpm.fx,IF(OR(_xlpm.ld="",_xlpm.ld="Full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"&amp;_xlpm.q,""))))),IF(C318-I318&gt;=0.99,"next day",IF(C318-I318&gt;0.4,"12h → 24h","")))))))))))</f>
        <v/>
      </c>
      <c r="H318" s="4" t="str">
        <f t="shared" si="24"/>
        <v/>
      </c>
      <c r="I318" s="5" t="str">
        <f t="shared" si="25"/>
        <v/>
      </c>
      <c r="J318" s="6">
        <f t="shared" si="26"/>
        <v>0</v>
      </c>
      <c r="K318" s="4" t="str">
        <f t="shared" si="27"/>
        <v/>
      </c>
      <c r="L318" s="4" t="str">
        <f t="shared" si="28"/>
        <v/>
      </c>
      <c r="M318" s="4" t="b" cm="1">
        <f t="array" ref="M318">IF(H318="",FALSE,SUMPRODUCT(--(H$1:H317=H318))&gt;0)</f>
        <v>0</v>
      </c>
      <c r="N318" s="36"/>
      <c r="P318" s="1" t="str">
        <f t="shared" si="29"/>
        <v/>
      </c>
    </row>
    <row r="319" spans="1:16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"&amp;L319,IF(AND(MAX(K$1:K318)&gt;0,N(K319)-MAX(K$1:K318)&gt;180),"⚠ Gap &gt; 3h",IF(_xlfn.LET(_xlpm.q,E319,_xlpm.tk,P319,_xlpm.ld,Log!$P$18,_xlpm.fx,IF(OR(_xlpm.ld="",_xlpm.ld="Full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"&amp;_xlpm.q,""))))&lt;&gt;"",IF(N319&lt;&gt;"","Load OK ✓ (checked)","⚠ "&amp;_xlfn.LET(_xlpm.q,E319,_xlpm.tk,P319,_xlpm.ld,Log!$P$18,_xlpm.fx,IF(OR(_xlpm.ld="",_xlpm.ld="Full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"&amp;_xlpm.q,""))))),IF(C319-I319&gt;=0.99,"next day",IF(C319-I319&gt;0.4,"12h → 24h","")))))))))))</f>
        <v/>
      </c>
      <c r="H319" s="4" t="str">
        <f t="shared" si="24"/>
        <v/>
      </c>
      <c r="I319" s="5" t="str">
        <f t="shared" si="25"/>
        <v/>
      </c>
      <c r="J319" s="6">
        <f t="shared" si="26"/>
        <v>0</v>
      </c>
      <c r="K319" s="4" t="str">
        <f t="shared" si="27"/>
        <v/>
      </c>
      <c r="L319" s="4" t="str">
        <f t="shared" si="28"/>
        <v/>
      </c>
      <c r="M319" s="4" t="b" cm="1">
        <f t="array" ref="M319">IF(H319="",FALSE,SUMPRODUCT(--(H$1:H318=H319))&gt;0)</f>
        <v>0</v>
      </c>
      <c r="N319" s="36"/>
      <c r="P319" s="1" t="str">
        <f t="shared" si="29"/>
        <v/>
      </c>
    </row>
    <row r="320" spans="1:16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"&amp;L320,IF(AND(MAX(K$1:K319)&gt;0,N(K320)-MAX(K$1:K319)&gt;180),"⚠ Gap &gt; 3h",IF(_xlfn.LET(_xlpm.q,E320,_xlpm.tk,P320,_xlpm.ld,Log!$P$18,_xlpm.fx,IF(OR(_xlpm.ld="",_xlpm.ld="Full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"&amp;_xlpm.q,""))))&lt;&gt;"",IF(N320&lt;&gt;"","Load OK ✓ (checked)","⚠ "&amp;_xlfn.LET(_xlpm.q,E320,_xlpm.tk,P320,_xlpm.ld,Log!$P$18,_xlpm.fx,IF(OR(_xlpm.ld="",_xlpm.ld="Full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"&amp;_xlpm.q,""))))),IF(C320-I320&gt;=0.99,"next day",IF(C320-I320&gt;0.4,"12h → 24h","")))))))))))</f>
        <v/>
      </c>
      <c r="H320" s="4" t="str">
        <f t="shared" si="24"/>
        <v/>
      </c>
      <c r="I320" s="5" t="str">
        <f t="shared" si="25"/>
        <v/>
      </c>
      <c r="J320" s="6">
        <f t="shared" si="26"/>
        <v>0</v>
      </c>
      <c r="K320" s="4" t="str">
        <f t="shared" si="27"/>
        <v/>
      </c>
      <c r="L320" s="4" t="str">
        <f t="shared" si="28"/>
        <v/>
      </c>
      <c r="M320" s="4" t="b" cm="1">
        <f t="array" ref="M320">IF(H320="",FALSE,SUMPRODUCT(--(H$1:H319=H320))&gt;0)</f>
        <v>0</v>
      </c>
      <c r="N320" s="36"/>
      <c r="P320" s="1" t="str">
        <f t="shared" si="29"/>
        <v/>
      </c>
    </row>
    <row r="321" spans="1:16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"&amp;L321,IF(AND(MAX(K$1:K320)&gt;0,N(K321)-MAX(K$1:K320)&gt;180),"⚠ Gap &gt; 3h",IF(_xlfn.LET(_xlpm.q,E321,_xlpm.tk,P321,_xlpm.ld,Log!$P$18,_xlpm.fx,IF(OR(_xlpm.ld="",_xlpm.ld="Full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"&amp;_xlpm.q,""))))&lt;&gt;"",IF(N321&lt;&gt;"","Load OK ✓ (checked)","⚠ "&amp;_xlfn.LET(_xlpm.q,E321,_xlpm.tk,P321,_xlpm.ld,Log!$P$18,_xlpm.fx,IF(OR(_xlpm.ld="",_xlpm.ld="Full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"&amp;_xlpm.q,""))))),IF(C321-I321&gt;=0.99,"next day",IF(C321-I321&gt;0.4,"12h → 24h","")))))))))))</f>
        <v/>
      </c>
      <c r="H321" s="4" t="str">
        <f t="shared" si="24"/>
        <v/>
      </c>
      <c r="I321" s="5" t="str">
        <f t="shared" si="25"/>
        <v/>
      </c>
      <c r="J321" s="6">
        <f t="shared" si="26"/>
        <v>0</v>
      </c>
      <c r="K321" s="4" t="str">
        <f t="shared" si="27"/>
        <v/>
      </c>
      <c r="L321" s="4" t="str">
        <f t="shared" si="28"/>
        <v/>
      </c>
      <c r="M321" s="4" t="b" cm="1">
        <f t="array" ref="M321">IF(H321="",FALSE,SUMPRODUCT(--(H$1:H320=H321))&gt;0)</f>
        <v>0</v>
      </c>
      <c r="N321" s="36"/>
      <c r="P321" s="1" t="str">
        <f t="shared" si="29"/>
        <v/>
      </c>
    </row>
    <row r="322" spans="1:16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"&amp;L322,IF(AND(MAX(K$1:K321)&gt;0,N(K322)-MAX(K$1:K321)&gt;180),"⚠ Gap &gt; 3h",IF(_xlfn.LET(_xlpm.q,E322,_xlpm.tk,P322,_xlpm.ld,Log!$P$18,_xlpm.fx,IF(OR(_xlpm.ld="",_xlpm.ld="Full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"&amp;_xlpm.q,""))))&lt;&gt;"",IF(N322&lt;&gt;"","Load OK ✓ (checked)","⚠ "&amp;_xlfn.LET(_xlpm.q,E322,_xlpm.tk,P322,_xlpm.ld,Log!$P$18,_xlpm.fx,IF(OR(_xlpm.ld="",_xlpm.ld="Full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"&amp;_xlpm.q,""))))),IF(C322-I322&gt;=0.99,"next day",IF(C322-I322&gt;0.4,"12h → 24h","")))))))))))</f>
        <v/>
      </c>
      <c r="H322" s="4" t="str">
        <f t="shared" ref="H322:H385" si="30">IF(B322="","",_xlfn.LET(_xlpm.t,TRIM(B322),IF(LEFT(_xlpm.t,1)="[",IFERROR(TRIM(MID(_xlpm.t,FIND(": ",_xlpm.t,FIND("]",_xlpm.t))+2,500)),_xlpm.t),_xlpm.t)))</f>
        <v/>
      </c>
      <c r="I322" s="5" t="str">
        <f t="shared" ref="I322:I385" si="31">IF(H322="","",IFERROR(TIMEVALUE(TRIM(SUBSTITUTE(SUBSTITUTE(MID(H322,SEARCH(":",H322)-2,5),".",""),"*",""))),""))</f>
        <v/>
      </c>
      <c r="J322" s="6">
        <f t="shared" ref="J322:J385" si="32">IF(OR(B322="",F322="",M322),0,IF(ISNUMBER(F322),F322,N(E322)))</f>
        <v>0</v>
      </c>
      <c r="K322" s="4" t="str">
        <f t="shared" ref="K322:K385" si="33">IF(OR(C322="",M322),"",ROUND(C322*1440,0))</f>
        <v/>
      </c>
      <c r="L322" s="4" t="str">
        <f t="shared" ref="L322:L385" si="34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  <c r="N322" s="36"/>
      <c r="P322" s="1" t="str">
        <f t="shared" ref="P322:P385" si="35">IF(OR(H322="",NOT(ISNUMBER(L322))),"",IFERROR(_xlfn.LET(_xlpm.t,TRIM(SUBSTITUTE(SUBSTITUTE(SUBSTITUTE(H322,"*",""),"_",""),"."," ")),_xlpm.s,TRIM(MID(SUBSTITUTE(_xlpm.t," ",REPT(" ",100)),101,100)),IF(AND(LEN(_xlpm.s)=3,ISNUMBER(--_xlpm.s)),--_xlpm.s,"")),""))</f>
        <v/>
      </c>
    </row>
    <row r="323" spans="1:16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"&amp;L323,IF(AND(MAX(K$1:K322)&gt;0,N(K323)-MAX(K$1:K322)&gt;180),"⚠ Gap &gt; 3h",IF(_xlfn.LET(_xlpm.q,E323,_xlpm.tk,P323,_xlpm.ld,Log!$P$18,_xlpm.fx,IF(OR(_xlpm.ld="",_xlpm.ld="Full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"&amp;_xlpm.q,""))))&lt;&gt;"",IF(N323&lt;&gt;"","Load OK ✓ (checked)","⚠ "&amp;_xlfn.LET(_xlpm.q,E323,_xlpm.tk,P323,_xlpm.ld,Log!$P$18,_xlpm.fx,IF(OR(_xlpm.ld="",_xlpm.ld="Full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"&amp;_xlpm.q,""))))),IF(C323-I323&gt;=0.99,"next day",IF(C323-I323&gt;0.4,"12h → 24h","")))))))))))</f>
        <v/>
      </c>
      <c r="H323" s="4" t="str">
        <f t="shared" si="30"/>
        <v/>
      </c>
      <c r="I323" s="5" t="str">
        <f t="shared" si="31"/>
        <v/>
      </c>
      <c r="J323" s="6">
        <f t="shared" si="32"/>
        <v>0</v>
      </c>
      <c r="K323" s="4" t="str">
        <f t="shared" si="33"/>
        <v/>
      </c>
      <c r="L323" s="4" t="str">
        <f t="shared" si="34"/>
        <v/>
      </c>
      <c r="M323" s="4" t="b" cm="1">
        <f t="array" ref="M323">IF(H323="",FALSE,SUMPRODUCT(--(H$1:H322=H323))&gt;0)</f>
        <v>0</v>
      </c>
      <c r="N323" s="36"/>
      <c r="P323" s="1" t="str">
        <f t="shared" si="35"/>
        <v/>
      </c>
    </row>
    <row r="324" spans="1:16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"&amp;L324,IF(AND(MAX(K$1:K323)&gt;0,N(K324)-MAX(K$1:K323)&gt;180),"⚠ Gap &gt; 3h",IF(_xlfn.LET(_xlpm.q,E324,_xlpm.tk,P324,_xlpm.ld,Log!$P$18,_xlpm.fx,IF(OR(_xlpm.ld="",_xlpm.ld="Full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"&amp;_xlpm.q,""))))&lt;&gt;"",IF(N324&lt;&gt;"","Load OK ✓ (checked)","⚠ "&amp;_xlfn.LET(_xlpm.q,E324,_xlpm.tk,P324,_xlpm.ld,Log!$P$18,_xlpm.fx,IF(OR(_xlpm.ld="",_xlpm.ld="Full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"&amp;_xlpm.q,""))))),IF(C324-I324&gt;=0.99,"next day",IF(C324-I324&gt;0.4,"12h → 24h","")))))))))))</f>
        <v/>
      </c>
      <c r="H324" s="4" t="str">
        <f t="shared" si="30"/>
        <v/>
      </c>
      <c r="I324" s="5" t="str">
        <f t="shared" si="31"/>
        <v/>
      </c>
      <c r="J324" s="6">
        <f t="shared" si="32"/>
        <v>0</v>
      </c>
      <c r="K324" s="4" t="str">
        <f t="shared" si="33"/>
        <v/>
      </c>
      <c r="L324" s="4" t="str">
        <f t="shared" si="34"/>
        <v/>
      </c>
      <c r="M324" s="4" t="b" cm="1">
        <f t="array" ref="M324">IF(H324="",FALSE,SUMPRODUCT(--(H$1:H323=H324))&gt;0)</f>
        <v>0</v>
      </c>
      <c r="N324" s="36"/>
      <c r="P324" s="1" t="str">
        <f t="shared" si="35"/>
        <v/>
      </c>
    </row>
    <row r="325" spans="1:16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"&amp;L325,IF(AND(MAX(K$1:K324)&gt;0,N(K325)-MAX(K$1:K324)&gt;180),"⚠ Gap &gt; 3h",IF(_xlfn.LET(_xlpm.q,E325,_xlpm.tk,P325,_xlpm.ld,Log!$P$18,_xlpm.fx,IF(OR(_xlpm.ld="",_xlpm.ld="Full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"&amp;_xlpm.q,""))))&lt;&gt;"",IF(N325&lt;&gt;"","Load OK ✓ (checked)","⚠ "&amp;_xlfn.LET(_xlpm.q,E325,_xlpm.tk,P325,_xlpm.ld,Log!$P$18,_xlpm.fx,IF(OR(_xlpm.ld="",_xlpm.ld="Full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"&amp;_xlpm.q,""))))),IF(C325-I325&gt;=0.99,"next day",IF(C325-I325&gt;0.4,"12h → 24h","")))))))))))</f>
        <v/>
      </c>
      <c r="H325" s="4" t="str">
        <f t="shared" si="30"/>
        <v/>
      </c>
      <c r="I325" s="5" t="str">
        <f t="shared" si="31"/>
        <v/>
      </c>
      <c r="J325" s="6">
        <f t="shared" si="32"/>
        <v>0</v>
      </c>
      <c r="K325" s="4" t="str">
        <f t="shared" si="33"/>
        <v/>
      </c>
      <c r="L325" s="4" t="str">
        <f t="shared" si="34"/>
        <v/>
      </c>
      <c r="M325" s="4" t="b" cm="1">
        <f t="array" ref="M325">IF(H325="",FALSE,SUMPRODUCT(--(H$1:H324=H325))&gt;0)</f>
        <v>0</v>
      </c>
      <c r="N325" s="36"/>
      <c r="P325" s="1" t="str">
        <f t="shared" si="35"/>
        <v/>
      </c>
    </row>
    <row r="326" spans="1:16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"&amp;L326,IF(AND(MAX(K$1:K325)&gt;0,N(K326)-MAX(K$1:K325)&gt;180),"⚠ Gap &gt; 3h",IF(_xlfn.LET(_xlpm.q,E326,_xlpm.tk,P326,_xlpm.ld,Log!$P$18,_xlpm.fx,IF(OR(_xlpm.ld="",_xlpm.ld="Full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"&amp;_xlpm.q,""))))&lt;&gt;"",IF(N326&lt;&gt;"","Load OK ✓ (checked)","⚠ "&amp;_xlfn.LET(_xlpm.q,E326,_xlpm.tk,P326,_xlpm.ld,Log!$P$18,_xlpm.fx,IF(OR(_xlpm.ld="",_xlpm.ld="Full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"&amp;_xlpm.q,""))))),IF(C326-I326&gt;=0.99,"next day",IF(C326-I326&gt;0.4,"12h → 24h","")))))))))))</f>
        <v/>
      </c>
      <c r="H326" s="4" t="str">
        <f t="shared" si="30"/>
        <v/>
      </c>
      <c r="I326" s="5" t="str">
        <f t="shared" si="31"/>
        <v/>
      </c>
      <c r="J326" s="6">
        <f t="shared" si="32"/>
        <v>0</v>
      </c>
      <c r="K326" s="4" t="str">
        <f t="shared" si="33"/>
        <v/>
      </c>
      <c r="L326" s="4" t="str">
        <f t="shared" si="34"/>
        <v/>
      </c>
      <c r="M326" s="4" t="b" cm="1">
        <f t="array" ref="M326">IF(H326="",FALSE,SUMPRODUCT(--(H$1:H325=H326))&gt;0)</f>
        <v>0</v>
      </c>
      <c r="N326" s="36"/>
      <c r="P326" s="1" t="str">
        <f t="shared" si="35"/>
        <v/>
      </c>
    </row>
    <row r="327" spans="1:16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"&amp;L327,IF(AND(MAX(K$1:K326)&gt;0,N(K327)-MAX(K$1:K326)&gt;180),"⚠ Gap &gt; 3h",IF(_xlfn.LET(_xlpm.q,E327,_xlpm.tk,P327,_xlpm.ld,Log!$P$18,_xlpm.fx,IF(OR(_xlpm.ld="",_xlpm.ld="Full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"&amp;_xlpm.q,""))))&lt;&gt;"",IF(N327&lt;&gt;"","Load OK ✓ (checked)","⚠ "&amp;_xlfn.LET(_xlpm.q,E327,_xlpm.tk,P327,_xlpm.ld,Log!$P$18,_xlpm.fx,IF(OR(_xlpm.ld="",_xlpm.ld="Full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"&amp;_xlpm.q,""))))),IF(C327-I327&gt;=0.99,"next day",IF(C327-I327&gt;0.4,"12h → 24h","")))))))))))</f>
        <v/>
      </c>
      <c r="H327" s="4" t="str">
        <f t="shared" si="30"/>
        <v/>
      </c>
      <c r="I327" s="5" t="str">
        <f t="shared" si="31"/>
        <v/>
      </c>
      <c r="J327" s="6">
        <f t="shared" si="32"/>
        <v>0</v>
      </c>
      <c r="K327" s="4" t="str">
        <f t="shared" si="33"/>
        <v/>
      </c>
      <c r="L327" s="4" t="str">
        <f t="shared" si="34"/>
        <v/>
      </c>
      <c r="M327" s="4" t="b" cm="1">
        <f t="array" ref="M327">IF(H327="",FALSE,SUMPRODUCT(--(H$1:H326=H327))&gt;0)</f>
        <v>0</v>
      </c>
      <c r="N327" s="36"/>
      <c r="P327" s="1" t="str">
        <f t="shared" si="35"/>
        <v/>
      </c>
    </row>
    <row r="328" spans="1:16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"&amp;L328,IF(AND(MAX(K$1:K327)&gt;0,N(K328)-MAX(K$1:K327)&gt;180),"⚠ Gap &gt; 3h",IF(_xlfn.LET(_xlpm.q,E328,_xlpm.tk,P328,_xlpm.ld,Log!$P$18,_xlpm.fx,IF(OR(_xlpm.ld="",_xlpm.ld="Full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"&amp;_xlpm.q,""))))&lt;&gt;"",IF(N328&lt;&gt;"","Load OK ✓ (checked)","⚠ "&amp;_xlfn.LET(_xlpm.q,E328,_xlpm.tk,P328,_xlpm.ld,Log!$P$18,_xlpm.fx,IF(OR(_xlpm.ld="",_xlpm.ld="Full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"&amp;_xlpm.q,""))))),IF(C328-I328&gt;=0.99,"next day",IF(C328-I328&gt;0.4,"12h → 24h","")))))))))))</f>
        <v/>
      </c>
      <c r="H328" s="4" t="str">
        <f t="shared" si="30"/>
        <v/>
      </c>
      <c r="I328" s="5" t="str">
        <f t="shared" si="31"/>
        <v/>
      </c>
      <c r="J328" s="6">
        <f t="shared" si="32"/>
        <v>0</v>
      </c>
      <c r="K328" s="4" t="str">
        <f t="shared" si="33"/>
        <v/>
      </c>
      <c r="L328" s="4" t="str">
        <f t="shared" si="34"/>
        <v/>
      </c>
      <c r="M328" s="4" t="b" cm="1">
        <f t="array" ref="M328">IF(H328="",FALSE,SUMPRODUCT(--(H$1:H327=H328))&gt;0)</f>
        <v>0</v>
      </c>
      <c r="N328" s="36"/>
      <c r="P328" s="1" t="str">
        <f t="shared" si="35"/>
        <v/>
      </c>
    </row>
    <row r="329" spans="1:16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"&amp;L329,IF(AND(MAX(K$1:K328)&gt;0,N(K329)-MAX(K$1:K328)&gt;180),"⚠ Gap &gt; 3h",IF(_xlfn.LET(_xlpm.q,E329,_xlpm.tk,P329,_xlpm.ld,Log!$P$18,_xlpm.fx,IF(OR(_xlpm.ld="",_xlpm.ld="Full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"&amp;_xlpm.q,""))))&lt;&gt;"",IF(N329&lt;&gt;"","Load OK ✓ (checked)","⚠ "&amp;_xlfn.LET(_xlpm.q,E329,_xlpm.tk,P329,_xlpm.ld,Log!$P$18,_xlpm.fx,IF(OR(_xlpm.ld="",_xlpm.ld="Full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"&amp;_xlpm.q,""))))),IF(C329-I329&gt;=0.99,"next day",IF(C329-I329&gt;0.4,"12h → 24h","")))))))))))</f>
        <v/>
      </c>
      <c r="H329" s="4" t="str">
        <f t="shared" si="30"/>
        <v/>
      </c>
      <c r="I329" s="5" t="str">
        <f t="shared" si="31"/>
        <v/>
      </c>
      <c r="J329" s="6">
        <f t="shared" si="32"/>
        <v>0</v>
      </c>
      <c r="K329" s="4" t="str">
        <f t="shared" si="33"/>
        <v/>
      </c>
      <c r="L329" s="4" t="str">
        <f t="shared" si="34"/>
        <v/>
      </c>
      <c r="M329" s="4" t="b" cm="1">
        <f t="array" ref="M329">IF(H329="",FALSE,SUMPRODUCT(--(H$1:H328=H329))&gt;0)</f>
        <v>0</v>
      </c>
      <c r="N329" s="36"/>
      <c r="P329" s="1" t="str">
        <f t="shared" si="35"/>
        <v/>
      </c>
    </row>
    <row r="330" spans="1:16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"&amp;L330,IF(AND(MAX(K$1:K329)&gt;0,N(K330)-MAX(K$1:K329)&gt;180),"⚠ Gap &gt; 3h",IF(_xlfn.LET(_xlpm.q,E330,_xlpm.tk,P330,_xlpm.ld,Log!$P$18,_xlpm.fx,IF(OR(_xlpm.ld="",_xlpm.ld="Full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"&amp;_xlpm.q,""))))&lt;&gt;"",IF(N330&lt;&gt;"","Load OK ✓ (checked)","⚠ "&amp;_xlfn.LET(_xlpm.q,E330,_xlpm.tk,P330,_xlpm.ld,Log!$P$18,_xlpm.fx,IF(OR(_xlpm.ld="",_xlpm.ld="Full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"&amp;_xlpm.q,""))))),IF(C330-I330&gt;=0.99,"next day",IF(C330-I330&gt;0.4,"12h → 24h","")))))))))))</f>
        <v/>
      </c>
      <c r="H330" s="4" t="str">
        <f t="shared" si="30"/>
        <v/>
      </c>
      <c r="I330" s="5" t="str">
        <f t="shared" si="31"/>
        <v/>
      </c>
      <c r="J330" s="6">
        <f t="shared" si="32"/>
        <v>0</v>
      </c>
      <c r="K330" s="4" t="str">
        <f t="shared" si="33"/>
        <v/>
      </c>
      <c r="L330" s="4" t="str">
        <f t="shared" si="34"/>
        <v/>
      </c>
      <c r="M330" s="4" t="b" cm="1">
        <f t="array" ref="M330">IF(H330="",FALSE,SUMPRODUCT(--(H$1:H329=H330))&gt;0)</f>
        <v>0</v>
      </c>
      <c r="N330" s="36"/>
      <c r="P330" s="1" t="str">
        <f t="shared" si="35"/>
        <v/>
      </c>
    </row>
    <row r="331" spans="1:16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"&amp;L331,IF(AND(MAX(K$1:K330)&gt;0,N(K331)-MAX(K$1:K330)&gt;180),"⚠ Gap &gt; 3h",IF(_xlfn.LET(_xlpm.q,E331,_xlpm.tk,P331,_xlpm.ld,Log!$P$18,_xlpm.fx,IF(OR(_xlpm.ld="",_xlpm.ld="Full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"&amp;_xlpm.q,""))))&lt;&gt;"",IF(N331&lt;&gt;"","Load OK ✓ (checked)","⚠ "&amp;_xlfn.LET(_xlpm.q,E331,_xlpm.tk,P331,_xlpm.ld,Log!$P$18,_xlpm.fx,IF(OR(_xlpm.ld="",_xlpm.ld="Full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"&amp;_xlpm.q,""))))),IF(C331-I331&gt;=0.99,"next day",IF(C331-I331&gt;0.4,"12h → 24h","")))))))))))</f>
        <v/>
      </c>
      <c r="H331" s="4" t="str">
        <f t="shared" si="30"/>
        <v/>
      </c>
      <c r="I331" s="5" t="str">
        <f t="shared" si="31"/>
        <v/>
      </c>
      <c r="J331" s="6">
        <f t="shared" si="32"/>
        <v>0</v>
      </c>
      <c r="K331" s="4" t="str">
        <f t="shared" si="33"/>
        <v/>
      </c>
      <c r="L331" s="4" t="str">
        <f t="shared" si="34"/>
        <v/>
      </c>
      <c r="M331" s="4" t="b" cm="1">
        <f t="array" ref="M331">IF(H331="",FALSE,SUMPRODUCT(--(H$1:H330=H331))&gt;0)</f>
        <v>0</v>
      </c>
      <c r="N331" s="36"/>
      <c r="P331" s="1" t="str">
        <f t="shared" si="35"/>
        <v/>
      </c>
    </row>
    <row r="332" spans="1:16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"&amp;L332,IF(AND(MAX(K$1:K331)&gt;0,N(K332)-MAX(K$1:K331)&gt;180),"⚠ Gap &gt; 3h",IF(_xlfn.LET(_xlpm.q,E332,_xlpm.tk,P332,_xlpm.ld,Log!$P$18,_xlpm.fx,IF(OR(_xlpm.ld="",_xlpm.ld="Full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"&amp;_xlpm.q,""))))&lt;&gt;"",IF(N332&lt;&gt;"","Load OK ✓ (checked)","⚠ "&amp;_xlfn.LET(_xlpm.q,E332,_xlpm.tk,P332,_xlpm.ld,Log!$P$18,_xlpm.fx,IF(OR(_xlpm.ld="",_xlpm.ld="Full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"&amp;_xlpm.q,""))))),IF(C332-I332&gt;=0.99,"next day",IF(C332-I332&gt;0.4,"12h → 24h","")))))))))))</f>
        <v/>
      </c>
      <c r="H332" s="4" t="str">
        <f t="shared" si="30"/>
        <v/>
      </c>
      <c r="I332" s="5" t="str">
        <f t="shared" si="31"/>
        <v/>
      </c>
      <c r="J332" s="6">
        <f t="shared" si="32"/>
        <v>0</v>
      </c>
      <c r="K332" s="4" t="str">
        <f t="shared" si="33"/>
        <v/>
      </c>
      <c r="L332" s="4" t="str">
        <f t="shared" si="34"/>
        <v/>
      </c>
      <c r="M332" s="4" t="b" cm="1">
        <f t="array" ref="M332">IF(H332="",FALSE,SUMPRODUCT(--(H$1:H331=H332))&gt;0)</f>
        <v>0</v>
      </c>
      <c r="N332" s="36"/>
      <c r="P332" s="1" t="str">
        <f t="shared" si="35"/>
        <v/>
      </c>
    </row>
    <row r="333" spans="1:16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"&amp;L333,IF(AND(MAX(K$1:K332)&gt;0,N(K333)-MAX(K$1:K332)&gt;180),"⚠ Gap &gt; 3h",IF(_xlfn.LET(_xlpm.q,E333,_xlpm.tk,P333,_xlpm.ld,Log!$P$18,_xlpm.fx,IF(OR(_xlpm.ld="",_xlpm.ld="Full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"&amp;_xlpm.q,""))))&lt;&gt;"",IF(N333&lt;&gt;"","Load OK ✓ (checked)","⚠ "&amp;_xlfn.LET(_xlpm.q,E333,_xlpm.tk,P333,_xlpm.ld,Log!$P$18,_xlpm.fx,IF(OR(_xlpm.ld="",_xlpm.ld="Full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"&amp;_xlpm.q,""))))),IF(C333-I333&gt;=0.99,"next day",IF(C333-I333&gt;0.4,"12h → 24h","")))))))))))</f>
        <v/>
      </c>
      <c r="H333" s="4" t="str">
        <f t="shared" si="30"/>
        <v/>
      </c>
      <c r="I333" s="5" t="str">
        <f t="shared" si="31"/>
        <v/>
      </c>
      <c r="J333" s="6">
        <f t="shared" si="32"/>
        <v>0</v>
      </c>
      <c r="K333" s="4" t="str">
        <f t="shared" si="33"/>
        <v/>
      </c>
      <c r="L333" s="4" t="str">
        <f t="shared" si="34"/>
        <v/>
      </c>
      <c r="M333" s="4" t="b" cm="1">
        <f t="array" ref="M333">IF(H333="",FALSE,SUMPRODUCT(--(H$1:H332=H333))&gt;0)</f>
        <v>0</v>
      </c>
      <c r="N333" s="36"/>
      <c r="P333" s="1" t="str">
        <f t="shared" si="35"/>
        <v/>
      </c>
    </row>
    <row r="334" spans="1:16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"&amp;L334,IF(AND(MAX(K$1:K333)&gt;0,N(K334)-MAX(K$1:K333)&gt;180),"⚠ Gap &gt; 3h",IF(_xlfn.LET(_xlpm.q,E334,_xlpm.tk,P334,_xlpm.ld,Log!$P$18,_xlpm.fx,IF(OR(_xlpm.ld="",_xlpm.ld="Full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"&amp;_xlpm.q,""))))&lt;&gt;"",IF(N334&lt;&gt;"","Load OK ✓ (checked)","⚠ "&amp;_xlfn.LET(_xlpm.q,E334,_xlpm.tk,P334,_xlpm.ld,Log!$P$18,_xlpm.fx,IF(OR(_xlpm.ld="",_xlpm.ld="Full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"&amp;_xlpm.q,""))))),IF(C334-I334&gt;=0.99,"next day",IF(C334-I334&gt;0.4,"12h → 24h","")))))))))))</f>
        <v/>
      </c>
      <c r="H334" s="4" t="str">
        <f t="shared" si="30"/>
        <v/>
      </c>
      <c r="I334" s="5" t="str">
        <f t="shared" si="31"/>
        <v/>
      </c>
      <c r="J334" s="6">
        <f t="shared" si="32"/>
        <v>0</v>
      </c>
      <c r="K334" s="4" t="str">
        <f t="shared" si="33"/>
        <v/>
      </c>
      <c r="L334" s="4" t="str">
        <f t="shared" si="34"/>
        <v/>
      </c>
      <c r="M334" s="4" t="b" cm="1">
        <f t="array" ref="M334">IF(H334="",FALSE,SUMPRODUCT(--(H$1:H333=H334))&gt;0)</f>
        <v>0</v>
      </c>
      <c r="N334" s="36"/>
      <c r="P334" s="1" t="str">
        <f t="shared" si="35"/>
        <v/>
      </c>
    </row>
    <row r="335" spans="1:16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"&amp;L335,IF(AND(MAX(K$1:K334)&gt;0,N(K335)-MAX(K$1:K334)&gt;180),"⚠ Gap &gt; 3h",IF(_xlfn.LET(_xlpm.q,E335,_xlpm.tk,P335,_xlpm.ld,Log!$P$18,_xlpm.fx,IF(OR(_xlpm.ld="",_xlpm.ld="Full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"&amp;_xlpm.q,""))))&lt;&gt;"",IF(N335&lt;&gt;"","Load OK ✓ (checked)","⚠ "&amp;_xlfn.LET(_xlpm.q,E335,_xlpm.tk,P335,_xlpm.ld,Log!$P$18,_xlpm.fx,IF(OR(_xlpm.ld="",_xlpm.ld="Full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"&amp;_xlpm.q,""))))),IF(C335-I335&gt;=0.99,"next day",IF(C335-I335&gt;0.4,"12h → 24h","")))))))))))</f>
        <v/>
      </c>
      <c r="H335" s="4" t="str">
        <f t="shared" si="30"/>
        <v/>
      </c>
      <c r="I335" s="5" t="str">
        <f t="shared" si="31"/>
        <v/>
      </c>
      <c r="J335" s="6">
        <f t="shared" si="32"/>
        <v>0</v>
      </c>
      <c r="K335" s="4" t="str">
        <f t="shared" si="33"/>
        <v/>
      </c>
      <c r="L335" s="4" t="str">
        <f t="shared" si="34"/>
        <v/>
      </c>
      <c r="M335" s="4" t="b" cm="1">
        <f t="array" ref="M335">IF(H335="",FALSE,SUMPRODUCT(--(H$1:H334=H335))&gt;0)</f>
        <v>0</v>
      </c>
      <c r="N335" s="36"/>
      <c r="P335" s="1" t="str">
        <f t="shared" si="35"/>
        <v/>
      </c>
    </row>
    <row r="336" spans="1:16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"&amp;L336,IF(AND(MAX(K$1:K335)&gt;0,N(K336)-MAX(K$1:K335)&gt;180),"⚠ Gap &gt; 3h",IF(_xlfn.LET(_xlpm.q,E336,_xlpm.tk,P336,_xlpm.ld,Log!$P$18,_xlpm.fx,IF(OR(_xlpm.ld="",_xlpm.ld="Full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"&amp;_xlpm.q,""))))&lt;&gt;"",IF(N336&lt;&gt;"","Load OK ✓ (checked)","⚠ "&amp;_xlfn.LET(_xlpm.q,E336,_xlpm.tk,P336,_xlpm.ld,Log!$P$18,_xlpm.fx,IF(OR(_xlpm.ld="",_xlpm.ld="Full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"&amp;_xlpm.q,""))))),IF(C336-I336&gt;=0.99,"next day",IF(C336-I336&gt;0.4,"12h → 24h","")))))))))))</f>
        <v/>
      </c>
      <c r="H336" s="4" t="str">
        <f t="shared" si="30"/>
        <v/>
      </c>
      <c r="I336" s="5" t="str">
        <f t="shared" si="31"/>
        <v/>
      </c>
      <c r="J336" s="6">
        <f t="shared" si="32"/>
        <v>0</v>
      </c>
      <c r="K336" s="4" t="str">
        <f t="shared" si="33"/>
        <v/>
      </c>
      <c r="L336" s="4" t="str">
        <f t="shared" si="34"/>
        <v/>
      </c>
      <c r="M336" s="4" t="b" cm="1">
        <f t="array" ref="M336">IF(H336="",FALSE,SUMPRODUCT(--(H$1:H335=H336))&gt;0)</f>
        <v>0</v>
      </c>
      <c r="N336" s="36"/>
      <c r="P336" s="1" t="str">
        <f t="shared" si="35"/>
        <v/>
      </c>
    </row>
    <row r="337" spans="1:16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"&amp;L337,IF(AND(MAX(K$1:K336)&gt;0,N(K337)-MAX(K$1:K336)&gt;180),"⚠ Gap &gt; 3h",IF(_xlfn.LET(_xlpm.q,E337,_xlpm.tk,P337,_xlpm.ld,Log!$P$18,_xlpm.fx,IF(OR(_xlpm.ld="",_xlpm.ld="Full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"&amp;_xlpm.q,""))))&lt;&gt;"",IF(N337&lt;&gt;"","Load OK ✓ (checked)","⚠ "&amp;_xlfn.LET(_xlpm.q,E337,_xlpm.tk,P337,_xlpm.ld,Log!$P$18,_xlpm.fx,IF(OR(_xlpm.ld="",_xlpm.ld="Full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"&amp;_xlpm.q,""))))),IF(C337-I337&gt;=0.99,"next day",IF(C337-I337&gt;0.4,"12h → 24h","")))))))))))</f>
        <v/>
      </c>
      <c r="H337" s="4" t="str">
        <f t="shared" si="30"/>
        <v/>
      </c>
      <c r="I337" s="5" t="str">
        <f t="shared" si="31"/>
        <v/>
      </c>
      <c r="J337" s="6">
        <f t="shared" si="32"/>
        <v>0</v>
      </c>
      <c r="K337" s="4" t="str">
        <f t="shared" si="33"/>
        <v/>
      </c>
      <c r="L337" s="4" t="str">
        <f t="shared" si="34"/>
        <v/>
      </c>
      <c r="M337" s="4" t="b" cm="1">
        <f t="array" ref="M337">IF(H337="",FALSE,SUMPRODUCT(--(H$1:H336=H337))&gt;0)</f>
        <v>0</v>
      </c>
      <c r="N337" s="36"/>
      <c r="P337" s="1" t="str">
        <f t="shared" si="35"/>
        <v/>
      </c>
    </row>
    <row r="338" spans="1:16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"&amp;L338,IF(AND(MAX(K$1:K337)&gt;0,N(K338)-MAX(K$1:K337)&gt;180),"⚠ Gap &gt; 3h",IF(_xlfn.LET(_xlpm.q,E338,_xlpm.tk,P338,_xlpm.ld,Log!$P$18,_xlpm.fx,IF(OR(_xlpm.ld="",_xlpm.ld="Full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"&amp;_xlpm.q,""))))&lt;&gt;"",IF(N338&lt;&gt;"","Load OK ✓ (checked)","⚠ "&amp;_xlfn.LET(_xlpm.q,E338,_xlpm.tk,P338,_xlpm.ld,Log!$P$18,_xlpm.fx,IF(OR(_xlpm.ld="",_xlpm.ld="Full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"&amp;_xlpm.q,""))))),IF(C338-I338&gt;=0.99,"next day",IF(C338-I338&gt;0.4,"12h → 24h","")))))))))))</f>
        <v/>
      </c>
      <c r="H338" s="4" t="str">
        <f t="shared" si="30"/>
        <v/>
      </c>
      <c r="I338" s="5" t="str">
        <f t="shared" si="31"/>
        <v/>
      </c>
      <c r="J338" s="6">
        <f t="shared" si="32"/>
        <v>0</v>
      </c>
      <c r="K338" s="4" t="str">
        <f t="shared" si="33"/>
        <v/>
      </c>
      <c r="L338" s="4" t="str">
        <f t="shared" si="34"/>
        <v/>
      </c>
      <c r="M338" s="4" t="b" cm="1">
        <f t="array" ref="M338">IF(H338="",FALSE,SUMPRODUCT(--(H$1:H337=H338))&gt;0)</f>
        <v>0</v>
      </c>
      <c r="N338" s="36"/>
      <c r="P338" s="1" t="str">
        <f t="shared" si="35"/>
        <v/>
      </c>
    </row>
    <row r="339" spans="1:16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"&amp;L339,IF(AND(MAX(K$1:K338)&gt;0,N(K339)-MAX(K$1:K338)&gt;180),"⚠ Gap &gt; 3h",IF(_xlfn.LET(_xlpm.q,E339,_xlpm.tk,P339,_xlpm.ld,Log!$P$18,_xlpm.fx,IF(OR(_xlpm.ld="",_xlpm.ld="Full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"&amp;_xlpm.q,""))))&lt;&gt;"",IF(N339&lt;&gt;"","Load OK ✓ (checked)","⚠ "&amp;_xlfn.LET(_xlpm.q,E339,_xlpm.tk,P339,_xlpm.ld,Log!$P$18,_xlpm.fx,IF(OR(_xlpm.ld="",_xlpm.ld="Full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"&amp;_xlpm.q,""))))),IF(C339-I339&gt;=0.99,"next day",IF(C339-I339&gt;0.4,"12h → 24h","")))))))))))</f>
        <v/>
      </c>
      <c r="H339" s="4" t="str">
        <f t="shared" si="30"/>
        <v/>
      </c>
      <c r="I339" s="5" t="str">
        <f t="shared" si="31"/>
        <v/>
      </c>
      <c r="J339" s="6">
        <f t="shared" si="32"/>
        <v>0</v>
      </c>
      <c r="K339" s="4" t="str">
        <f t="shared" si="33"/>
        <v/>
      </c>
      <c r="L339" s="4" t="str">
        <f t="shared" si="34"/>
        <v/>
      </c>
      <c r="M339" s="4" t="b" cm="1">
        <f t="array" ref="M339">IF(H339="",FALSE,SUMPRODUCT(--(H$1:H338=H339))&gt;0)</f>
        <v>0</v>
      </c>
      <c r="N339" s="36"/>
      <c r="P339" s="1" t="str">
        <f t="shared" si="35"/>
        <v/>
      </c>
    </row>
    <row r="340" spans="1:16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"&amp;L340,IF(AND(MAX(K$1:K339)&gt;0,N(K340)-MAX(K$1:K339)&gt;180),"⚠ Gap &gt; 3h",IF(_xlfn.LET(_xlpm.q,E340,_xlpm.tk,P340,_xlpm.ld,Log!$P$18,_xlpm.fx,IF(OR(_xlpm.ld="",_xlpm.ld="Full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"&amp;_xlpm.q,""))))&lt;&gt;"",IF(N340&lt;&gt;"","Load OK ✓ (checked)","⚠ "&amp;_xlfn.LET(_xlpm.q,E340,_xlpm.tk,P340,_xlpm.ld,Log!$P$18,_xlpm.fx,IF(OR(_xlpm.ld="",_xlpm.ld="Full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"&amp;_xlpm.q,""))))),IF(C340-I340&gt;=0.99,"next day",IF(C340-I340&gt;0.4,"12h → 24h","")))))))))))</f>
        <v/>
      </c>
      <c r="H340" s="4" t="str">
        <f t="shared" si="30"/>
        <v/>
      </c>
      <c r="I340" s="5" t="str">
        <f t="shared" si="31"/>
        <v/>
      </c>
      <c r="J340" s="6">
        <f t="shared" si="32"/>
        <v>0</v>
      </c>
      <c r="K340" s="4" t="str">
        <f t="shared" si="33"/>
        <v/>
      </c>
      <c r="L340" s="4" t="str">
        <f t="shared" si="34"/>
        <v/>
      </c>
      <c r="M340" s="4" t="b" cm="1">
        <f t="array" ref="M340">IF(H340="",FALSE,SUMPRODUCT(--(H$1:H339=H340))&gt;0)</f>
        <v>0</v>
      </c>
      <c r="N340" s="36"/>
      <c r="P340" s="1" t="str">
        <f t="shared" si="35"/>
        <v/>
      </c>
    </row>
    <row r="341" spans="1:16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"&amp;L341,IF(AND(MAX(K$1:K340)&gt;0,N(K341)-MAX(K$1:K340)&gt;180),"⚠ Gap &gt; 3h",IF(_xlfn.LET(_xlpm.q,E341,_xlpm.tk,P341,_xlpm.ld,Log!$P$18,_xlpm.fx,IF(OR(_xlpm.ld="",_xlpm.ld="Full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"&amp;_xlpm.q,""))))&lt;&gt;"",IF(N341&lt;&gt;"","Load OK ✓ (checked)","⚠ "&amp;_xlfn.LET(_xlpm.q,E341,_xlpm.tk,P341,_xlpm.ld,Log!$P$18,_xlpm.fx,IF(OR(_xlpm.ld="",_xlpm.ld="Full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"&amp;_xlpm.q,""))))),IF(C341-I341&gt;=0.99,"next day",IF(C341-I341&gt;0.4,"12h → 24h","")))))))))))</f>
        <v/>
      </c>
      <c r="H341" s="4" t="str">
        <f t="shared" si="30"/>
        <v/>
      </c>
      <c r="I341" s="5" t="str">
        <f t="shared" si="31"/>
        <v/>
      </c>
      <c r="J341" s="6">
        <f t="shared" si="32"/>
        <v>0</v>
      </c>
      <c r="K341" s="4" t="str">
        <f t="shared" si="33"/>
        <v/>
      </c>
      <c r="L341" s="4" t="str">
        <f t="shared" si="34"/>
        <v/>
      </c>
      <c r="M341" s="4" t="b" cm="1">
        <f t="array" ref="M341">IF(H341="",FALSE,SUMPRODUCT(--(H$1:H340=H341))&gt;0)</f>
        <v>0</v>
      </c>
      <c r="N341" s="36"/>
      <c r="P341" s="1" t="str">
        <f t="shared" si="35"/>
        <v/>
      </c>
    </row>
    <row r="342" spans="1:16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"&amp;L342,IF(AND(MAX(K$1:K341)&gt;0,N(K342)-MAX(K$1:K341)&gt;180),"⚠ Gap &gt; 3h",IF(_xlfn.LET(_xlpm.q,E342,_xlpm.tk,P342,_xlpm.ld,Log!$P$18,_xlpm.fx,IF(OR(_xlpm.ld="",_xlpm.ld="Full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"&amp;_xlpm.q,""))))&lt;&gt;"",IF(N342&lt;&gt;"","Load OK ✓ (checked)","⚠ "&amp;_xlfn.LET(_xlpm.q,E342,_xlpm.tk,P342,_xlpm.ld,Log!$P$18,_xlpm.fx,IF(OR(_xlpm.ld="",_xlpm.ld="Full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"&amp;_xlpm.q,""))))),IF(C342-I342&gt;=0.99,"next day",IF(C342-I342&gt;0.4,"12h → 24h","")))))))))))</f>
        <v/>
      </c>
      <c r="H342" s="4" t="str">
        <f t="shared" si="30"/>
        <v/>
      </c>
      <c r="I342" s="5" t="str">
        <f t="shared" si="31"/>
        <v/>
      </c>
      <c r="J342" s="6">
        <f t="shared" si="32"/>
        <v>0</v>
      </c>
      <c r="K342" s="4" t="str">
        <f t="shared" si="33"/>
        <v/>
      </c>
      <c r="L342" s="4" t="str">
        <f t="shared" si="34"/>
        <v/>
      </c>
      <c r="M342" s="4" t="b" cm="1">
        <f t="array" ref="M342">IF(H342="",FALSE,SUMPRODUCT(--(H$1:H341=H342))&gt;0)</f>
        <v>0</v>
      </c>
      <c r="N342" s="36"/>
      <c r="P342" s="1" t="str">
        <f t="shared" si="35"/>
        <v/>
      </c>
    </row>
    <row r="343" spans="1:16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"&amp;L343,IF(AND(MAX(K$1:K342)&gt;0,N(K343)-MAX(K$1:K342)&gt;180),"⚠ Gap &gt; 3h",IF(_xlfn.LET(_xlpm.q,E343,_xlpm.tk,P343,_xlpm.ld,Log!$P$18,_xlpm.fx,IF(OR(_xlpm.ld="",_xlpm.ld="Full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"&amp;_xlpm.q,""))))&lt;&gt;"",IF(N343&lt;&gt;"","Load OK ✓ (checked)","⚠ "&amp;_xlfn.LET(_xlpm.q,E343,_xlpm.tk,P343,_xlpm.ld,Log!$P$18,_xlpm.fx,IF(OR(_xlpm.ld="",_xlpm.ld="Full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"&amp;_xlpm.q,""))))),IF(C343-I343&gt;=0.99,"next day",IF(C343-I343&gt;0.4,"12h → 24h","")))))))))))</f>
        <v/>
      </c>
      <c r="H343" s="4" t="str">
        <f t="shared" si="30"/>
        <v/>
      </c>
      <c r="I343" s="5" t="str">
        <f t="shared" si="31"/>
        <v/>
      </c>
      <c r="J343" s="6">
        <f t="shared" si="32"/>
        <v>0</v>
      </c>
      <c r="K343" s="4" t="str">
        <f t="shared" si="33"/>
        <v/>
      </c>
      <c r="L343" s="4" t="str">
        <f t="shared" si="34"/>
        <v/>
      </c>
      <c r="M343" s="4" t="b" cm="1">
        <f t="array" ref="M343">IF(H343="",FALSE,SUMPRODUCT(--(H$1:H342=H343))&gt;0)</f>
        <v>0</v>
      </c>
      <c r="N343" s="36"/>
      <c r="P343" s="1" t="str">
        <f t="shared" si="35"/>
        <v/>
      </c>
    </row>
    <row r="344" spans="1:16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"&amp;L344,IF(AND(MAX(K$1:K343)&gt;0,N(K344)-MAX(K$1:K343)&gt;180),"⚠ Gap &gt; 3h",IF(_xlfn.LET(_xlpm.q,E344,_xlpm.tk,P344,_xlpm.ld,Log!$P$18,_xlpm.fx,IF(OR(_xlpm.ld="",_xlpm.ld="Full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"&amp;_xlpm.q,""))))&lt;&gt;"",IF(N344&lt;&gt;"","Load OK ✓ (checked)","⚠ "&amp;_xlfn.LET(_xlpm.q,E344,_xlpm.tk,P344,_xlpm.ld,Log!$P$18,_xlpm.fx,IF(OR(_xlpm.ld="",_xlpm.ld="Full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"&amp;_xlpm.q,""))))),IF(C344-I344&gt;=0.99,"next day",IF(C344-I344&gt;0.4,"12h → 24h","")))))))))))</f>
        <v/>
      </c>
      <c r="H344" s="4" t="str">
        <f t="shared" si="30"/>
        <v/>
      </c>
      <c r="I344" s="5" t="str">
        <f t="shared" si="31"/>
        <v/>
      </c>
      <c r="J344" s="6">
        <f t="shared" si="32"/>
        <v>0</v>
      </c>
      <c r="K344" s="4" t="str">
        <f t="shared" si="33"/>
        <v/>
      </c>
      <c r="L344" s="4" t="str">
        <f t="shared" si="34"/>
        <v/>
      </c>
      <c r="M344" s="4" t="b" cm="1">
        <f t="array" ref="M344">IF(H344="",FALSE,SUMPRODUCT(--(H$1:H343=H344))&gt;0)</f>
        <v>0</v>
      </c>
      <c r="N344" s="36"/>
      <c r="P344" s="1" t="str">
        <f t="shared" si="35"/>
        <v/>
      </c>
    </row>
    <row r="345" spans="1:16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"&amp;L345,IF(AND(MAX(K$1:K344)&gt;0,N(K345)-MAX(K$1:K344)&gt;180),"⚠ Gap &gt; 3h",IF(_xlfn.LET(_xlpm.q,E345,_xlpm.tk,P345,_xlpm.ld,Log!$P$18,_xlpm.fx,IF(OR(_xlpm.ld="",_xlpm.ld="Full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"&amp;_xlpm.q,""))))&lt;&gt;"",IF(N345&lt;&gt;"","Load OK ✓ (checked)","⚠ "&amp;_xlfn.LET(_xlpm.q,E345,_xlpm.tk,P345,_xlpm.ld,Log!$P$18,_xlpm.fx,IF(OR(_xlpm.ld="",_xlpm.ld="Full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"&amp;_xlpm.q,""))))),IF(C345-I345&gt;=0.99,"next day",IF(C345-I345&gt;0.4,"12h → 24h","")))))))))))</f>
        <v/>
      </c>
      <c r="H345" s="4" t="str">
        <f t="shared" si="30"/>
        <v/>
      </c>
      <c r="I345" s="5" t="str">
        <f t="shared" si="31"/>
        <v/>
      </c>
      <c r="J345" s="6">
        <f t="shared" si="32"/>
        <v>0</v>
      </c>
      <c r="K345" s="4" t="str">
        <f t="shared" si="33"/>
        <v/>
      </c>
      <c r="L345" s="4" t="str">
        <f t="shared" si="34"/>
        <v/>
      </c>
      <c r="M345" s="4" t="b" cm="1">
        <f t="array" ref="M345">IF(H345="",FALSE,SUMPRODUCT(--(H$1:H344=H345))&gt;0)</f>
        <v>0</v>
      </c>
      <c r="N345" s="36"/>
      <c r="P345" s="1" t="str">
        <f t="shared" si="35"/>
        <v/>
      </c>
    </row>
    <row r="346" spans="1:16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"&amp;L346,IF(AND(MAX(K$1:K345)&gt;0,N(K346)-MAX(K$1:K345)&gt;180),"⚠ Gap &gt; 3h",IF(_xlfn.LET(_xlpm.q,E346,_xlpm.tk,P346,_xlpm.ld,Log!$P$18,_xlpm.fx,IF(OR(_xlpm.ld="",_xlpm.ld="Full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"&amp;_xlpm.q,""))))&lt;&gt;"",IF(N346&lt;&gt;"","Load OK ✓ (checked)","⚠ "&amp;_xlfn.LET(_xlpm.q,E346,_xlpm.tk,P346,_xlpm.ld,Log!$P$18,_xlpm.fx,IF(OR(_xlpm.ld="",_xlpm.ld="Full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"&amp;_xlpm.q,""))))),IF(C346-I346&gt;=0.99,"next day",IF(C346-I346&gt;0.4,"12h → 24h","")))))))))))</f>
        <v/>
      </c>
      <c r="H346" s="4" t="str">
        <f t="shared" si="30"/>
        <v/>
      </c>
      <c r="I346" s="5" t="str">
        <f t="shared" si="31"/>
        <v/>
      </c>
      <c r="J346" s="6">
        <f t="shared" si="32"/>
        <v>0</v>
      </c>
      <c r="K346" s="4" t="str">
        <f t="shared" si="33"/>
        <v/>
      </c>
      <c r="L346" s="4" t="str">
        <f t="shared" si="34"/>
        <v/>
      </c>
      <c r="M346" s="4" t="b" cm="1">
        <f t="array" ref="M346">IF(H346="",FALSE,SUMPRODUCT(--(H$1:H345=H346))&gt;0)</f>
        <v>0</v>
      </c>
      <c r="N346" s="36"/>
      <c r="P346" s="1" t="str">
        <f t="shared" si="35"/>
        <v/>
      </c>
    </row>
    <row r="347" spans="1:16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"&amp;L347,IF(AND(MAX(K$1:K346)&gt;0,N(K347)-MAX(K$1:K346)&gt;180),"⚠ Gap &gt; 3h",IF(_xlfn.LET(_xlpm.q,E347,_xlpm.tk,P347,_xlpm.ld,Log!$P$18,_xlpm.fx,IF(OR(_xlpm.ld="",_xlpm.ld="Full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"&amp;_xlpm.q,""))))&lt;&gt;"",IF(N347&lt;&gt;"","Load OK ✓ (checked)","⚠ "&amp;_xlfn.LET(_xlpm.q,E347,_xlpm.tk,P347,_xlpm.ld,Log!$P$18,_xlpm.fx,IF(OR(_xlpm.ld="",_xlpm.ld="Full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"&amp;_xlpm.q,""))))),IF(C347-I347&gt;=0.99,"next day",IF(C347-I347&gt;0.4,"12h → 24h","")))))))))))</f>
        <v/>
      </c>
      <c r="H347" s="4" t="str">
        <f t="shared" si="30"/>
        <v/>
      </c>
      <c r="I347" s="5" t="str">
        <f t="shared" si="31"/>
        <v/>
      </c>
      <c r="J347" s="6">
        <f t="shared" si="32"/>
        <v>0</v>
      </c>
      <c r="K347" s="4" t="str">
        <f t="shared" si="33"/>
        <v/>
      </c>
      <c r="L347" s="4" t="str">
        <f t="shared" si="34"/>
        <v/>
      </c>
      <c r="M347" s="4" t="b" cm="1">
        <f t="array" ref="M347">IF(H347="",FALSE,SUMPRODUCT(--(H$1:H346=H347))&gt;0)</f>
        <v>0</v>
      </c>
      <c r="N347" s="36"/>
      <c r="P347" s="1" t="str">
        <f t="shared" si="35"/>
        <v/>
      </c>
    </row>
    <row r="348" spans="1:16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"&amp;L348,IF(AND(MAX(K$1:K347)&gt;0,N(K348)-MAX(K$1:K347)&gt;180),"⚠ Gap &gt; 3h",IF(_xlfn.LET(_xlpm.q,E348,_xlpm.tk,P348,_xlpm.ld,Log!$P$18,_xlpm.fx,IF(OR(_xlpm.ld="",_xlpm.ld="Full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"&amp;_xlpm.q,""))))&lt;&gt;"",IF(N348&lt;&gt;"","Load OK ✓ (checked)","⚠ "&amp;_xlfn.LET(_xlpm.q,E348,_xlpm.tk,P348,_xlpm.ld,Log!$P$18,_xlpm.fx,IF(OR(_xlpm.ld="",_xlpm.ld="Full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"&amp;_xlpm.q,""))))),IF(C348-I348&gt;=0.99,"next day",IF(C348-I348&gt;0.4,"12h → 24h","")))))))))))</f>
        <v/>
      </c>
      <c r="H348" s="4" t="str">
        <f t="shared" si="30"/>
        <v/>
      </c>
      <c r="I348" s="5" t="str">
        <f t="shared" si="31"/>
        <v/>
      </c>
      <c r="J348" s="6">
        <f t="shared" si="32"/>
        <v>0</v>
      </c>
      <c r="K348" s="4" t="str">
        <f t="shared" si="33"/>
        <v/>
      </c>
      <c r="L348" s="4" t="str">
        <f t="shared" si="34"/>
        <v/>
      </c>
      <c r="M348" s="4" t="b" cm="1">
        <f t="array" ref="M348">IF(H348="",FALSE,SUMPRODUCT(--(H$1:H347=H348))&gt;0)</f>
        <v>0</v>
      </c>
      <c r="N348" s="36"/>
      <c r="P348" s="1" t="str">
        <f t="shared" si="35"/>
        <v/>
      </c>
    </row>
    <row r="349" spans="1:16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"&amp;L349,IF(AND(MAX(K$1:K348)&gt;0,N(K349)-MAX(K$1:K348)&gt;180),"⚠ Gap &gt; 3h",IF(_xlfn.LET(_xlpm.q,E349,_xlpm.tk,P349,_xlpm.ld,Log!$P$18,_xlpm.fx,IF(OR(_xlpm.ld="",_xlpm.ld="Full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"&amp;_xlpm.q,""))))&lt;&gt;"",IF(N349&lt;&gt;"","Load OK ✓ (checked)","⚠ "&amp;_xlfn.LET(_xlpm.q,E349,_xlpm.tk,P349,_xlpm.ld,Log!$P$18,_xlpm.fx,IF(OR(_xlpm.ld="",_xlpm.ld="Full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"&amp;_xlpm.q,""))))),IF(C349-I349&gt;=0.99,"next day",IF(C349-I349&gt;0.4,"12h → 24h","")))))))))))</f>
        <v/>
      </c>
      <c r="H349" s="4" t="str">
        <f t="shared" si="30"/>
        <v/>
      </c>
      <c r="I349" s="5" t="str">
        <f t="shared" si="31"/>
        <v/>
      </c>
      <c r="J349" s="6">
        <f t="shared" si="32"/>
        <v>0</v>
      </c>
      <c r="K349" s="4" t="str">
        <f t="shared" si="33"/>
        <v/>
      </c>
      <c r="L349" s="4" t="str">
        <f t="shared" si="34"/>
        <v/>
      </c>
      <c r="M349" s="4" t="b" cm="1">
        <f t="array" ref="M349">IF(H349="",FALSE,SUMPRODUCT(--(H$1:H348=H349))&gt;0)</f>
        <v>0</v>
      </c>
      <c r="N349" s="36"/>
      <c r="P349" s="1" t="str">
        <f t="shared" si="35"/>
        <v/>
      </c>
    </row>
    <row r="350" spans="1:16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"&amp;L350,IF(AND(MAX(K$1:K349)&gt;0,N(K350)-MAX(K$1:K349)&gt;180),"⚠ Gap &gt; 3h",IF(_xlfn.LET(_xlpm.q,E350,_xlpm.tk,P350,_xlpm.ld,Log!$P$18,_xlpm.fx,IF(OR(_xlpm.ld="",_xlpm.ld="Full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"&amp;_xlpm.q,""))))&lt;&gt;"",IF(N350&lt;&gt;"","Load OK ✓ (checked)","⚠ "&amp;_xlfn.LET(_xlpm.q,E350,_xlpm.tk,P350,_xlpm.ld,Log!$P$18,_xlpm.fx,IF(OR(_xlpm.ld="",_xlpm.ld="Full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"&amp;_xlpm.q,""))))),IF(C350-I350&gt;=0.99,"next day",IF(C350-I350&gt;0.4,"12h → 24h","")))))))))))</f>
        <v/>
      </c>
      <c r="H350" s="4" t="str">
        <f t="shared" si="30"/>
        <v/>
      </c>
      <c r="I350" s="5" t="str">
        <f t="shared" si="31"/>
        <v/>
      </c>
      <c r="J350" s="6">
        <f t="shared" si="32"/>
        <v>0</v>
      </c>
      <c r="K350" s="4" t="str">
        <f t="shared" si="33"/>
        <v/>
      </c>
      <c r="L350" s="4" t="str">
        <f t="shared" si="34"/>
        <v/>
      </c>
      <c r="M350" s="4" t="b" cm="1">
        <f t="array" ref="M350">IF(H350="",FALSE,SUMPRODUCT(--(H$1:H349=H350))&gt;0)</f>
        <v>0</v>
      </c>
      <c r="N350" s="36"/>
      <c r="P350" s="1" t="str">
        <f t="shared" si="35"/>
        <v/>
      </c>
    </row>
    <row r="351" spans="1:16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"&amp;L351,IF(AND(MAX(K$1:K350)&gt;0,N(K351)-MAX(K$1:K350)&gt;180),"⚠ Gap &gt; 3h",IF(_xlfn.LET(_xlpm.q,E351,_xlpm.tk,P351,_xlpm.ld,Log!$P$18,_xlpm.fx,IF(OR(_xlpm.ld="",_xlpm.ld="Full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"&amp;_xlpm.q,""))))&lt;&gt;"",IF(N351&lt;&gt;"","Load OK ✓ (checked)","⚠ "&amp;_xlfn.LET(_xlpm.q,E351,_xlpm.tk,P351,_xlpm.ld,Log!$P$18,_xlpm.fx,IF(OR(_xlpm.ld="",_xlpm.ld="Full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"&amp;_xlpm.q,""))))),IF(C351-I351&gt;=0.99,"next day",IF(C351-I351&gt;0.4,"12h → 24h","")))))))))))</f>
        <v/>
      </c>
      <c r="H351" s="4" t="str">
        <f t="shared" si="30"/>
        <v/>
      </c>
      <c r="I351" s="5" t="str">
        <f t="shared" si="31"/>
        <v/>
      </c>
      <c r="J351" s="6">
        <f t="shared" si="32"/>
        <v>0</v>
      </c>
      <c r="K351" s="4" t="str">
        <f t="shared" si="33"/>
        <v/>
      </c>
      <c r="L351" s="4" t="str">
        <f t="shared" si="34"/>
        <v/>
      </c>
      <c r="M351" s="4" t="b" cm="1">
        <f t="array" ref="M351">IF(H351="",FALSE,SUMPRODUCT(--(H$1:H350=H351))&gt;0)</f>
        <v>0</v>
      </c>
      <c r="N351" s="36"/>
      <c r="P351" s="1" t="str">
        <f t="shared" si="35"/>
        <v/>
      </c>
    </row>
    <row r="352" spans="1:16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"&amp;L352,IF(AND(MAX(K$1:K351)&gt;0,N(K352)-MAX(K$1:K351)&gt;180),"⚠ Gap &gt; 3h",IF(_xlfn.LET(_xlpm.q,E352,_xlpm.tk,P352,_xlpm.ld,Log!$P$18,_xlpm.fx,IF(OR(_xlpm.ld="",_xlpm.ld="Full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"&amp;_xlpm.q,""))))&lt;&gt;"",IF(N352&lt;&gt;"","Load OK ✓ (checked)","⚠ "&amp;_xlfn.LET(_xlpm.q,E352,_xlpm.tk,P352,_xlpm.ld,Log!$P$18,_xlpm.fx,IF(OR(_xlpm.ld="",_xlpm.ld="Full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"&amp;_xlpm.q,""))))),IF(C352-I352&gt;=0.99,"next day",IF(C352-I352&gt;0.4,"12h → 24h","")))))))))))</f>
        <v/>
      </c>
      <c r="H352" s="4" t="str">
        <f t="shared" si="30"/>
        <v/>
      </c>
      <c r="I352" s="5" t="str">
        <f t="shared" si="31"/>
        <v/>
      </c>
      <c r="J352" s="6">
        <f t="shared" si="32"/>
        <v>0</v>
      </c>
      <c r="K352" s="4" t="str">
        <f t="shared" si="33"/>
        <v/>
      </c>
      <c r="L352" s="4" t="str">
        <f t="shared" si="34"/>
        <v/>
      </c>
      <c r="M352" s="4" t="b" cm="1">
        <f t="array" ref="M352">IF(H352="",FALSE,SUMPRODUCT(--(H$1:H351=H352))&gt;0)</f>
        <v>0</v>
      </c>
      <c r="N352" s="36"/>
      <c r="P352" s="1" t="str">
        <f t="shared" si="35"/>
        <v/>
      </c>
    </row>
    <row r="353" spans="1:16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"&amp;L353,IF(AND(MAX(K$1:K352)&gt;0,N(K353)-MAX(K$1:K352)&gt;180),"⚠ Gap &gt; 3h",IF(_xlfn.LET(_xlpm.q,E353,_xlpm.tk,P353,_xlpm.ld,Log!$P$18,_xlpm.fx,IF(OR(_xlpm.ld="",_xlpm.ld="Full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"&amp;_xlpm.q,""))))&lt;&gt;"",IF(N353&lt;&gt;"","Load OK ✓ (checked)","⚠ "&amp;_xlfn.LET(_xlpm.q,E353,_xlpm.tk,P353,_xlpm.ld,Log!$P$18,_xlpm.fx,IF(OR(_xlpm.ld="",_xlpm.ld="Full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"&amp;_xlpm.q,""))))),IF(C353-I353&gt;=0.99,"next day",IF(C353-I353&gt;0.4,"12h → 24h","")))))))))))</f>
        <v/>
      </c>
      <c r="H353" s="4" t="str">
        <f t="shared" si="30"/>
        <v/>
      </c>
      <c r="I353" s="5" t="str">
        <f t="shared" si="31"/>
        <v/>
      </c>
      <c r="J353" s="6">
        <f t="shared" si="32"/>
        <v>0</v>
      </c>
      <c r="K353" s="4" t="str">
        <f t="shared" si="33"/>
        <v/>
      </c>
      <c r="L353" s="4" t="str">
        <f t="shared" si="34"/>
        <v/>
      </c>
      <c r="M353" s="4" t="b" cm="1">
        <f t="array" ref="M353">IF(H353="",FALSE,SUMPRODUCT(--(H$1:H352=H353))&gt;0)</f>
        <v>0</v>
      </c>
      <c r="N353" s="36"/>
      <c r="P353" s="1" t="str">
        <f t="shared" si="35"/>
        <v/>
      </c>
    </row>
    <row r="354" spans="1:16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"&amp;L354,IF(AND(MAX(K$1:K353)&gt;0,N(K354)-MAX(K$1:K353)&gt;180),"⚠ Gap &gt; 3h",IF(_xlfn.LET(_xlpm.q,E354,_xlpm.tk,P354,_xlpm.ld,Log!$P$18,_xlpm.fx,IF(OR(_xlpm.ld="",_xlpm.ld="Full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"&amp;_xlpm.q,""))))&lt;&gt;"",IF(N354&lt;&gt;"","Load OK ✓ (checked)","⚠ "&amp;_xlfn.LET(_xlpm.q,E354,_xlpm.tk,P354,_xlpm.ld,Log!$P$18,_xlpm.fx,IF(OR(_xlpm.ld="",_xlpm.ld="Full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"&amp;_xlpm.q,""))))),IF(C354-I354&gt;=0.99,"next day",IF(C354-I354&gt;0.4,"12h → 24h","")))))))))))</f>
        <v/>
      </c>
      <c r="H354" s="4" t="str">
        <f t="shared" si="30"/>
        <v/>
      </c>
      <c r="I354" s="5" t="str">
        <f t="shared" si="31"/>
        <v/>
      </c>
      <c r="J354" s="6">
        <f t="shared" si="32"/>
        <v>0</v>
      </c>
      <c r="K354" s="4" t="str">
        <f t="shared" si="33"/>
        <v/>
      </c>
      <c r="L354" s="4" t="str">
        <f t="shared" si="34"/>
        <v/>
      </c>
      <c r="M354" s="4" t="b" cm="1">
        <f t="array" ref="M354">IF(H354="",FALSE,SUMPRODUCT(--(H$1:H353=H354))&gt;0)</f>
        <v>0</v>
      </c>
      <c r="N354" s="36"/>
      <c r="P354" s="1" t="str">
        <f t="shared" si="35"/>
        <v/>
      </c>
    </row>
    <row r="355" spans="1:16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"&amp;L355,IF(AND(MAX(K$1:K354)&gt;0,N(K355)-MAX(K$1:K354)&gt;180),"⚠ Gap &gt; 3h",IF(_xlfn.LET(_xlpm.q,E355,_xlpm.tk,P355,_xlpm.ld,Log!$P$18,_xlpm.fx,IF(OR(_xlpm.ld="",_xlpm.ld="Full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"&amp;_xlpm.q,""))))&lt;&gt;"",IF(N355&lt;&gt;"","Load OK ✓ (checked)","⚠ "&amp;_xlfn.LET(_xlpm.q,E355,_xlpm.tk,P355,_xlpm.ld,Log!$P$18,_xlpm.fx,IF(OR(_xlpm.ld="",_xlpm.ld="Full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"&amp;_xlpm.q,""))))),IF(C355-I355&gt;=0.99,"next day",IF(C355-I355&gt;0.4,"12h → 24h","")))))))))))</f>
        <v/>
      </c>
      <c r="H355" s="4" t="str">
        <f t="shared" si="30"/>
        <v/>
      </c>
      <c r="I355" s="5" t="str">
        <f t="shared" si="31"/>
        <v/>
      </c>
      <c r="J355" s="6">
        <f t="shared" si="32"/>
        <v>0</v>
      </c>
      <c r="K355" s="4" t="str">
        <f t="shared" si="33"/>
        <v/>
      </c>
      <c r="L355" s="4" t="str">
        <f t="shared" si="34"/>
        <v/>
      </c>
      <c r="M355" s="4" t="b" cm="1">
        <f t="array" ref="M355">IF(H355="",FALSE,SUMPRODUCT(--(H$1:H354=H355))&gt;0)</f>
        <v>0</v>
      </c>
      <c r="N355" s="36"/>
      <c r="P355" s="1" t="str">
        <f t="shared" si="35"/>
        <v/>
      </c>
    </row>
    <row r="356" spans="1:16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"&amp;L356,IF(AND(MAX(K$1:K355)&gt;0,N(K356)-MAX(K$1:K355)&gt;180),"⚠ Gap &gt; 3h",IF(_xlfn.LET(_xlpm.q,E356,_xlpm.tk,P356,_xlpm.ld,Log!$P$18,_xlpm.fx,IF(OR(_xlpm.ld="",_xlpm.ld="Full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"&amp;_xlpm.q,""))))&lt;&gt;"",IF(N356&lt;&gt;"","Load OK ✓ (checked)","⚠ "&amp;_xlfn.LET(_xlpm.q,E356,_xlpm.tk,P356,_xlpm.ld,Log!$P$18,_xlpm.fx,IF(OR(_xlpm.ld="",_xlpm.ld="Full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"&amp;_xlpm.q,""))))),IF(C356-I356&gt;=0.99,"next day",IF(C356-I356&gt;0.4,"12h → 24h","")))))))))))</f>
        <v/>
      </c>
      <c r="H356" s="4" t="str">
        <f t="shared" si="30"/>
        <v/>
      </c>
      <c r="I356" s="5" t="str">
        <f t="shared" si="31"/>
        <v/>
      </c>
      <c r="J356" s="6">
        <f t="shared" si="32"/>
        <v>0</v>
      </c>
      <c r="K356" s="4" t="str">
        <f t="shared" si="33"/>
        <v/>
      </c>
      <c r="L356" s="4" t="str">
        <f t="shared" si="34"/>
        <v/>
      </c>
      <c r="M356" s="4" t="b" cm="1">
        <f t="array" ref="M356">IF(H356="",FALSE,SUMPRODUCT(--(H$1:H355=H356))&gt;0)</f>
        <v>0</v>
      </c>
      <c r="N356" s="36"/>
      <c r="P356" s="1" t="str">
        <f t="shared" si="35"/>
        <v/>
      </c>
    </row>
    <row r="357" spans="1:16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"&amp;L357,IF(AND(MAX(K$1:K356)&gt;0,N(K357)-MAX(K$1:K356)&gt;180),"⚠ Gap &gt; 3h",IF(_xlfn.LET(_xlpm.q,E357,_xlpm.tk,P357,_xlpm.ld,Log!$P$18,_xlpm.fx,IF(OR(_xlpm.ld="",_xlpm.ld="Full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"&amp;_xlpm.q,""))))&lt;&gt;"",IF(N357&lt;&gt;"","Load OK ✓ (checked)","⚠ "&amp;_xlfn.LET(_xlpm.q,E357,_xlpm.tk,P357,_xlpm.ld,Log!$P$18,_xlpm.fx,IF(OR(_xlpm.ld="",_xlpm.ld="Full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"&amp;_xlpm.q,""))))),IF(C357-I357&gt;=0.99,"next day",IF(C357-I357&gt;0.4,"12h → 24h","")))))))))))</f>
        <v/>
      </c>
      <c r="H357" s="4" t="str">
        <f t="shared" si="30"/>
        <v/>
      </c>
      <c r="I357" s="5" t="str">
        <f t="shared" si="31"/>
        <v/>
      </c>
      <c r="J357" s="6">
        <f t="shared" si="32"/>
        <v>0</v>
      </c>
      <c r="K357" s="4" t="str">
        <f t="shared" si="33"/>
        <v/>
      </c>
      <c r="L357" s="4" t="str">
        <f t="shared" si="34"/>
        <v/>
      </c>
      <c r="M357" s="4" t="b" cm="1">
        <f t="array" ref="M357">IF(H357="",FALSE,SUMPRODUCT(--(H$1:H356=H357))&gt;0)</f>
        <v>0</v>
      </c>
      <c r="N357" s="36"/>
      <c r="P357" s="1" t="str">
        <f t="shared" si="35"/>
        <v/>
      </c>
    </row>
    <row r="358" spans="1:16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"&amp;L358,IF(AND(MAX(K$1:K357)&gt;0,N(K358)-MAX(K$1:K357)&gt;180),"⚠ Gap &gt; 3h",IF(_xlfn.LET(_xlpm.q,E358,_xlpm.tk,P358,_xlpm.ld,Log!$P$18,_xlpm.fx,IF(OR(_xlpm.ld="",_xlpm.ld="Full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"&amp;_xlpm.q,""))))&lt;&gt;"",IF(N358&lt;&gt;"","Load OK ✓ (checked)","⚠ "&amp;_xlfn.LET(_xlpm.q,E358,_xlpm.tk,P358,_xlpm.ld,Log!$P$18,_xlpm.fx,IF(OR(_xlpm.ld="",_xlpm.ld="Full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"&amp;_xlpm.q,""))))),IF(C358-I358&gt;=0.99,"next day",IF(C358-I358&gt;0.4,"12h → 24h","")))))))))))</f>
        <v/>
      </c>
      <c r="H358" s="4" t="str">
        <f t="shared" si="30"/>
        <v/>
      </c>
      <c r="I358" s="5" t="str">
        <f t="shared" si="31"/>
        <v/>
      </c>
      <c r="J358" s="6">
        <f t="shared" si="32"/>
        <v>0</v>
      </c>
      <c r="K358" s="4" t="str">
        <f t="shared" si="33"/>
        <v/>
      </c>
      <c r="L358" s="4" t="str">
        <f t="shared" si="34"/>
        <v/>
      </c>
      <c r="M358" s="4" t="b" cm="1">
        <f t="array" ref="M358">IF(H358="",FALSE,SUMPRODUCT(--(H$1:H357=H358))&gt;0)</f>
        <v>0</v>
      </c>
      <c r="N358" s="36"/>
      <c r="P358" s="1" t="str">
        <f t="shared" si="35"/>
        <v/>
      </c>
    </row>
    <row r="359" spans="1:16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"&amp;L359,IF(AND(MAX(K$1:K358)&gt;0,N(K359)-MAX(K$1:K358)&gt;180),"⚠ Gap &gt; 3h",IF(_xlfn.LET(_xlpm.q,E359,_xlpm.tk,P359,_xlpm.ld,Log!$P$18,_xlpm.fx,IF(OR(_xlpm.ld="",_xlpm.ld="Full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"&amp;_xlpm.q,""))))&lt;&gt;"",IF(N359&lt;&gt;"","Load OK ✓ (checked)","⚠ "&amp;_xlfn.LET(_xlpm.q,E359,_xlpm.tk,P359,_xlpm.ld,Log!$P$18,_xlpm.fx,IF(OR(_xlpm.ld="",_xlpm.ld="Full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"&amp;_xlpm.q,""))))),IF(C359-I359&gt;=0.99,"next day",IF(C359-I359&gt;0.4,"12h → 24h","")))))))))))</f>
        <v/>
      </c>
      <c r="H359" s="4" t="str">
        <f t="shared" si="30"/>
        <v/>
      </c>
      <c r="I359" s="5" t="str">
        <f t="shared" si="31"/>
        <v/>
      </c>
      <c r="J359" s="6">
        <f t="shared" si="32"/>
        <v>0</v>
      </c>
      <c r="K359" s="4" t="str">
        <f t="shared" si="33"/>
        <v/>
      </c>
      <c r="L359" s="4" t="str">
        <f t="shared" si="34"/>
        <v/>
      </c>
      <c r="M359" s="4" t="b" cm="1">
        <f t="array" ref="M359">IF(H359="",FALSE,SUMPRODUCT(--(H$1:H358=H359))&gt;0)</f>
        <v>0</v>
      </c>
      <c r="N359" s="36"/>
      <c r="P359" s="1" t="str">
        <f t="shared" si="35"/>
        <v/>
      </c>
    </row>
    <row r="360" spans="1:16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"&amp;L360,IF(AND(MAX(K$1:K359)&gt;0,N(K360)-MAX(K$1:K359)&gt;180),"⚠ Gap &gt; 3h",IF(_xlfn.LET(_xlpm.q,E360,_xlpm.tk,P360,_xlpm.ld,Log!$P$18,_xlpm.fx,IF(OR(_xlpm.ld="",_xlpm.ld="Full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"&amp;_xlpm.q,""))))&lt;&gt;"",IF(N360&lt;&gt;"","Load OK ✓ (checked)","⚠ "&amp;_xlfn.LET(_xlpm.q,E360,_xlpm.tk,P360,_xlpm.ld,Log!$P$18,_xlpm.fx,IF(OR(_xlpm.ld="",_xlpm.ld="Full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"&amp;_xlpm.q,""))))),IF(C360-I360&gt;=0.99,"next day",IF(C360-I360&gt;0.4,"12h → 24h","")))))))))))</f>
        <v/>
      </c>
      <c r="H360" s="4" t="str">
        <f t="shared" si="30"/>
        <v/>
      </c>
      <c r="I360" s="5" t="str">
        <f t="shared" si="31"/>
        <v/>
      </c>
      <c r="J360" s="6">
        <f t="shared" si="32"/>
        <v>0</v>
      </c>
      <c r="K360" s="4" t="str">
        <f t="shared" si="33"/>
        <v/>
      </c>
      <c r="L360" s="4" t="str">
        <f t="shared" si="34"/>
        <v/>
      </c>
      <c r="M360" s="4" t="b" cm="1">
        <f t="array" ref="M360">IF(H360="",FALSE,SUMPRODUCT(--(H$1:H359=H360))&gt;0)</f>
        <v>0</v>
      </c>
      <c r="N360" s="36"/>
      <c r="P360" s="1" t="str">
        <f t="shared" si="35"/>
        <v/>
      </c>
    </row>
    <row r="361" spans="1:16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"&amp;L361,IF(AND(MAX(K$1:K360)&gt;0,N(K361)-MAX(K$1:K360)&gt;180),"⚠ Gap &gt; 3h",IF(_xlfn.LET(_xlpm.q,E361,_xlpm.tk,P361,_xlpm.ld,Log!$P$18,_xlpm.fx,IF(OR(_xlpm.ld="",_xlpm.ld="Full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"&amp;_xlpm.q,""))))&lt;&gt;"",IF(N361&lt;&gt;"","Load OK ✓ (checked)","⚠ "&amp;_xlfn.LET(_xlpm.q,E361,_xlpm.tk,P361,_xlpm.ld,Log!$P$18,_xlpm.fx,IF(OR(_xlpm.ld="",_xlpm.ld="Full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"&amp;_xlpm.q,""))))),IF(C361-I361&gt;=0.99,"next day",IF(C361-I361&gt;0.4,"12h → 24h","")))))))))))</f>
        <v/>
      </c>
      <c r="H361" s="4" t="str">
        <f t="shared" si="30"/>
        <v/>
      </c>
      <c r="I361" s="5" t="str">
        <f t="shared" si="31"/>
        <v/>
      </c>
      <c r="J361" s="6">
        <f t="shared" si="32"/>
        <v>0</v>
      </c>
      <c r="K361" s="4" t="str">
        <f t="shared" si="33"/>
        <v/>
      </c>
      <c r="L361" s="4" t="str">
        <f t="shared" si="34"/>
        <v/>
      </c>
      <c r="M361" s="4" t="b" cm="1">
        <f t="array" ref="M361">IF(H361="",FALSE,SUMPRODUCT(--(H$1:H360=H361))&gt;0)</f>
        <v>0</v>
      </c>
      <c r="N361" s="36"/>
      <c r="P361" s="1" t="str">
        <f t="shared" si="35"/>
        <v/>
      </c>
    </row>
    <row r="362" spans="1:16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"&amp;L362,IF(AND(MAX(K$1:K361)&gt;0,N(K362)-MAX(K$1:K361)&gt;180),"⚠ Gap &gt; 3h",IF(_xlfn.LET(_xlpm.q,E362,_xlpm.tk,P362,_xlpm.ld,Log!$P$18,_xlpm.fx,IF(OR(_xlpm.ld="",_xlpm.ld="Full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"&amp;_xlpm.q,""))))&lt;&gt;"",IF(N362&lt;&gt;"","Load OK ✓ (checked)","⚠ "&amp;_xlfn.LET(_xlpm.q,E362,_xlpm.tk,P362,_xlpm.ld,Log!$P$18,_xlpm.fx,IF(OR(_xlpm.ld="",_xlpm.ld="Full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"&amp;_xlpm.q,""))))),IF(C362-I362&gt;=0.99,"next day",IF(C362-I362&gt;0.4,"12h → 24h","")))))))))))</f>
        <v/>
      </c>
      <c r="H362" s="4" t="str">
        <f t="shared" si="30"/>
        <v/>
      </c>
      <c r="I362" s="5" t="str">
        <f t="shared" si="31"/>
        <v/>
      </c>
      <c r="J362" s="6">
        <f t="shared" si="32"/>
        <v>0</v>
      </c>
      <c r="K362" s="4" t="str">
        <f t="shared" si="33"/>
        <v/>
      </c>
      <c r="L362" s="4" t="str">
        <f t="shared" si="34"/>
        <v/>
      </c>
      <c r="M362" s="4" t="b" cm="1">
        <f t="array" ref="M362">IF(H362="",FALSE,SUMPRODUCT(--(H$1:H361=H362))&gt;0)</f>
        <v>0</v>
      </c>
      <c r="N362" s="36"/>
      <c r="P362" s="1" t="str">
        <f t="shared" si="35"/>
        <v/>
      </c>
    </row>
    <row r="363" spans="1:16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"&amp;L363,IF(AND(MAX(K$1:K362)&gt;0,N(K363)-MAX(K$1:K362)&gt;180),"⚠ Gap &gt; 3h",IF(_xlfn.LET(_xlpm.q,E363,_xlpm.tk,P363,_xlpm.ld,Log!$P$18,_xlpm.fx,IF(OR(_xlpm.ld="",_xlpm.ld="Full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"&amp;_xlpm.q,""))))&lt;&gt;"",IF(N363&lt;&gt;"","Load OK ✓ (checked)","⚠ "&amp;_xlfn.LET(_xlpm.q,E363,_xlpm.tk,P363,_xlpm.ld,Log!$P$18,_xlpm.fx,IF(OR(_xlpm.ld="",_xlpm.ld="Full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"&amp;_xlpm.q,""))))),IF(C363-I363&gt;=0.99,"next day",IF(C363-I363&gt;0.4,"12h → 24h","")))))))))))</f>
        <v/>
      </c>
      <c r="H363" s="4" t="str">
        <f t="shared" si="30"/>
        <v/>
      </c>
      <c r="I363" s="5" t="str">
        <f t="shared" si="31"/>
        <v/>
      </c>
      <c r="J363" s="6">
        <f t="shared" si="32"/>
        <v>0</v>
      </c>
      <c r="K363" s="4" t="str">
        <f t="shared" si="33"/>
        <v/>
      </c>
      <c r="L363" s="4" t="str">
        <f t="shared" si="34"/>
        <v/>
      </c>
      <c r="M363" s="4" t="b" cm="1">
        <f t="array" ref="M363">IF(H363="",FALSE,SUMPRODUCT(--(H$1:H362=H363))&gt;0)</f>
        <v>0</v>
      </c>
      <c r="N363" s="36"/>
      <c r="P363" s="1" t="str">
        <f t="shared" si="35"/>
        <v/>
      </c>
    </row>
    <row r="364" spans="1:16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"&amp;L364,IF(AND(MAX(K$1:K363)&gt;0,N(K364)-MAX(K$1:K363)&gt;180),"⚠ Gap &gt; 3h",IF(_xlfn.LET(_xlpm.q,E364,_xlpm.tk,P364,_xlpm.ld,Log!$P$18,_xlpm.fx,IF(OR(_xlpm.ld="",_xlpm.ld="Full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"&amp;_xlpm.q,""))))&lt;&gt;"",IF(N364&lt;&gt;"","Load OK ✓ (checked)","⚠ "&amp;_xlfn.LET(_xlpm.q,E364,_xlpm.tk,P364,_xlpm.ld,Log!$P$18,_xlpm.fx,IF(OR(_xlpm.ld="",_xlpm.ld="Full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"&amp;_xlpm.q,""))))),IF(C364-I364&gt;=0.99,"next day",IF(C364-I364&gt;0.4,"12h → 24h","")))))))))))</f>
        <v/>
      </c>
      <c r="H364" s="4" t="str">
        <f t="shared" si="30"/>
        <v/>
      </c>
      <c r="I364" s="5" t="str">
        <f t="shared" si="31"/>
        <v/>
      </c>
      <c r="J364" s="6">
        <f t="shared" si="32"/>
        <v>0</v>
      </c>
      <c r="K364" s="4" t="str">
        <f t="shared" si="33"/>
        <v/>
      </c>
      <c r="L364" s="4" t="str">
        <f t="shared" si="34"/>
        <v/>
      </c>
      <c r="M364" s="4" t="b" cm="1">
        <f t="array" ref="M364">IF(H364="",FALSE,SUMPRODUCT(--(H$1:H363=H364))&gt;0)</f>
        <v>0</v>
      </c>
      <c r="N364" s="36"/>
      <c r="P364" s="1" t="str">
        <f t="shared" si="35"/>
        <v/>
      </c>
    </row>
    <row r="365" spans="1:16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"&amp;L365,IF(AND(MAX(K$1:K364)&gt;0,N(K365)-MAX(K$1:K364)&gt;180),"⚠ Gap &gt; 3h",IF(_xlfn.LET(_xlpm.q,E365,_xlpm.tk,P365,_xlpm.ld,Log!$P$18,_xlpm.fx,IF(OR(_xlpm.ld="",_xlpm.ld="Full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"&amp;_xlpm.q,""))))&lt;&gt;"",IF(N365&lt;&gt;"","Load OK ✓ (checked)","⚠ "&amp;_xlfn.LET(_xlpm.q,E365,_xlpm.tk,P365,_xlpm.ld,Log!$P$18,_xlpm.fx,IF(OR(_xlpm.ld="",_xlpm.ld="Full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"&amp;_xlpm.q,""))))),IF(C365-I365&gt;=0.99,"next day",IF(C365-I365&gt;0.4,"12h → 24h","")))))))))))</f>
        <v/>
      </c>
      <c r="H365" s="4" t="str">
        <f t="shared" si="30"/>
        <v/>
      </c>
      <c r="I365" s="5" t="str">
        <f t="shared" si="31"/>
        <v/>
      </c>
      <c r="J365" s="6">
        <f t="shared" si="32"/>
        <v>0</v>
      </c>
      <c r="K365" s="4" t="str">
        <f t="shared" si="33"/>
        <v/>
      </c>
      <c r="L365" s="4" t="str">
        <f t="shared" si="34"/>
        <v/>
      </c>
      <c r="M365" s="4" t="b" cm="1">
        <f t="array" ref="M365">IF(H365="",FALSE,SUMPRODUCT(--(H$1:H364=H365))&gt;0)</f>
        <v>0</v>
      </c>
      <c r="N365" s="36"/>
      <c r="P365" s="1" t="str">
        <f t="shared" si="35"/>
        <v/>
      </c>
    </row>
    <row r="366" spans="1:16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"&amp;L366,IF(AND(MAX(K$1:K365)&gt;0,N(K366)-MAX(K$1:K365)&gt;180),"⚠ Gap &gt; 3h",IF(_xlfn.LET(_xlpm.q,E366,_xlpm.tk,P366,_xlpm.ld,Log!$P$18,_xlpm.fx,IF(OR(_xlpm.ld="",_xlpm.ld="Full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"&amp;_xlpm.q,""))))&lt;&gt;"",IF(N366&lt;&gt;"","Load OK ✓ (checked)","⚠ "&amp;_xlfn.LET(_xlpm.q,E366,_xlpm.tk,P366,_xlpm.ld,Log!$P$18,_xlpm.fx,IF(OR(_xlpm.ld="",_xlpm.ld="Full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"&amp;_xlpm.q,""))))),IF(C366-I366&gt;=0.99,"next day",IF(C366-I366&gt;0.4,"12h → 24h","")))))))))))</f>
        <v/>
      </c>
      <c r="H366" s="4" t="str">
        <f t="shared" si="30"/>
        <v/>
      </c>
      <c r="I366" s="5" t="str">
        <f t="shared" si="31"/>
        <v/>
      </c>
      <c r="J366" s="6">
        <f t="shared" si="32"/>
        <v>0</v>
      </c>
      <c r="K366" s="4" t="str">
        <f t="shared" si="33"/>
        <v/>
      </c>
      <c r="L366" s="4" t="str">
        <f t="shared" si="34"/>
        <v/>
      </c>
      <c r="M366" s="4" t="b" cm="1">
        <f t="array" ref="M366">IF(H366="",FALSE,SUMPRODUCT(--(H$1:H365=H366))&gt;0)</f>
        <v>0</v>
      </c>
      <c r="N366" s="36"/>
      <c r="P366" s="1" t="str">
        <f t="shared" si="35"/>
        <v/>
      </c>
    </row>
    <row r="367" spans="1:16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"&amp;L367,IF(AND(MAX(K$1:K366)&gt;0,N(K367)-MAX(K$1:K366)&gt;180),"⚠ Gap &gt; 3h",IF(_xlfn.LET(_xlpm.q,E367,_xlpm.tk,P367,_xlpm.ld,Log!$P$18,_xlpm.fx,IF(OR(_xlpm.ld="",_xlpm.ld="Full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"&amp;_xlpm.q,""))))&lt;&gt;"",IF(N367&lt;&gt;"","Load OK ✓ (checked)","⚠ "&amp;_xlfn.LET(_xlpm.q,E367,_xlpm.tk,P367,_xlpm.ld,Log!$P$18,_xlpm.fx,IF(OR(_xlpm.ld="",_xlpm.ld="Full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"&amp;_xlpm.q,""))))),IF(C367-I367&gt;=0.99,"next day",IF(C367-I367&gt;0.4,"12h → 24h","")))))))))))</f>
        <v/>
      </c>
      <c r="H367" s="4" t="str">
        <f t="shared" si="30"/>
        <v/>
      </c>
      <c r="I367" s="5" t="str">
        <f t="shared" si="31"/>
        <v/>
      </c>
      <c r="J367" s="6">
        <f t="shared" si="32"/>
        <v>0</v>
      </c>
      <c r="K367" s="4" t="str">
        <f t="shared" si="33"/>
        <v/>
      </c>
      <c r="L367" s="4" t="str">
        <f t="shared" si="34"/>
        <v/>
      </c>
      <c r="M367" s="4" t="b" cm="1">
        <f t="array" ref="M367">IF(H367="",FALSE,SUMPRODUCT(--(H$1:H366=H367))&gt;0)</f>
        <v>0</v>
      </c>
      <c r="N367" s="36"/>
      <c r="P367" s="1" t="str">
        <f t="shared" si="35"/>
        <v/>
      </c>
    </row>
    <row r="368" spans="1:16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"&amp;L368,IF(AND(MAX(K$1:K367)&gt;0,N(K368)-MAX(K$1:K367)&gt;180),"⚠ Gap &gt; 3h",IF(_xlfn.LET(_xlpm.q,E368,_xlpm.tk,P368,_xlpm.ld,Log!$P$18,_xlpm.fx,IF(OR(_xlpm.ld="",_xlpm.ld="Full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"&amp;_xlpm.q,""))))&lt;&gt;"",IF(N368&lt;&gt;"","Load OK ✓ (checked)","⚠ "&amp;_xlfn.LET(_xlpm.q,E368,_xlpm.tk,P368,_xlpm.ld,Log!$P$18,_xlpm.fx,IF(OR(_xlpm.ld="",_xlpm.ld="Full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"&amp;_xlpm.q,""))))),IF(C368-I368&gt;=0.99,"next day",IF(C368-I368&gt;0.4,"12h → 24h","")))))))))))</f>
        <v/>
      </c>
      <c r="H368" s="4" t="str">
        <f t="shared" si="30"/>
        <v/>
      </c>
      <c r="I368" s="5" t="str">
        <f t="shared" si="31"/>
        <v/>
      </c>
      <c r="J368" s="6">
        <f t="shared" si="32"/>
        <v>0</v>
      </c>
      <c r="K368" s="4" t="str">
        <f t="shared" si="33"/>
        <v/>
      </c>
      <c r="L368" s="4" t="str">
        <f t="shared" si="34"/>
        <v/>
      </c>
      <c r="M368" s="4" t="b" cm="1">
        <f t="array" ref="M368">IF(H368="",FALSE,SUMPRODUCT(--(H$1:H367=H368))&gt;0)</f>
        <v>0</v>
      </c>
      <c r="N368" s="36"/>
      <c r="P368" s="1" t="str">
        <f t="shared" si="35"/>
        <v/>
      </c>
    </row>
    <row r="369" spans="1:16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"&amp;L369,IF(AND(MAX(K$1:K368)&gt;0,N(K369)-MAX(K$1:K368)&gt;180),"⚠ Gap &gt; 3h",IF(_xlfn.LET(_xlpm.q,E369,_xlpm.tk,P369,_xlpm.ld,Log!$P$18,_xlpm.fx,IF(OR(_xlpm.ld="",_xlpm.ld="Full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"&amp;_xlpm.q,""))))&lt;&gt;"",IF(N369&lt;&gt;"","Load OK ✓ (checked)","⚠ "&amp;_xlfn.LET(_xlpm.q,E369,_xlpm.tk,P369,_xlpm.ld,Log!$P$18,_xlpm.fx,IF(OR(_xlpm.ld="",_xlpm.ld="Full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"&amp;_xlpm.q,""))))),IF(C369-I369&gt;=0.99,"next day",IF(C369-I369&gt;0.4,"12h → 24h","")))))))))))</f>
        <v/>
      </c>
      <c r="H369" s="4" t="str">
        <f t="shared" si="30"/>
        <v/>
      </c>
      <c r="I369" s="5" t="str">
        <f t="shared" si="31"/>
        <v/>
      </c>
      <c r="J369" s="6">
        <f t="shared" si="32"/>
        <v>0</v>
      </c>
      <c r="K369" s="4" t="str">
        <f t="shared" si="33"/>
        <v/>
      </c>
      <c r="L369" s="4" t="str">
        <f t="shared" si="34"/>
        <v/>
      </c>
      <c r="M369" s="4" t="b" cm="1">
        <f t="array" ref="M369">IF(H369="",FALSE,SUMPRODUCT(--(H$1:H368=H369))&gt;0)</f>
        <v>0</v>
      </c>
      <c r="N369" s="36"/>
      <c r="P369" s="1" t="str">
        <f t="shared" si="35"/>
        <v/>
      </c>
    </row>
    <row r="370" spans="1:16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"&amp;L370,IF(AND(MAX(K$1:K369)&gt;0,N(K370)-MAX(K$1:K369)&gt;180),"⚠ Gap &gt; 3h",IF(_xlfn.LET(_xlpm.q,E370,_xlpm.tk,P370,_xlpm.ld,Log!$P$18,_xlpm.fx,IF(OR(_xlpm.ld="",_xlpm.ld="Full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"&amp;_xlpm.q,""))))&lt;&gt;"",IF(N370&lt;&gt;"","Load OK ✓ (checked)","⚠ "&amp;_xlfn.LET(_xlpm.q,E370,_xlpm.tk,P370,_xlpm.ld,Log!$P$18,_xlpm.fx,IF(OR(_xlpm.ld="",_xlpm.ld="Full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"&amp;_xlpm.q,""))))),IF(C370-I370&gt;=0.99,"next day",IF(C370-I370&gt;0.4,"12h → 24h","")))))))))))</f>
        <v/>
      </c>
      <c r="H370" s="4" t="str">
        <f t="shared" si="30"/>
        <v/>
      </c>
      <c r="I370" s="5" t="str">
        <f t="shared" si="31"/>
        <v/>
      </c>
      <c r="J370" s="6">
        <f t="shared" si="32"/>
        <v>0</v>
      </c>
      <c r="K370" s="4" t="str">
        <f t="shared" si="33"/>
        <v/>
      </c>
      <c r="L370" s="4" t="str">
        <f t="shared" si="34"/>
        <v/>
      </c>
      <c r="M370" s="4" t="b" cm="1">
        <f t="array" ref="M370">IF(H370="",FALSE,SUMPRODUCT(--(H$1:H369=H370))&gt;0)</f>
        <v>0</v>
      </c>
      <c r="N370" s="36"/>
      <c r="P370" s="1" t="str">
        <f t="shared" si="35"/>
        <v/>
      </c>
    </row>
    <row r="371" spans="1:16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"&amp;L371,IF(AND(MAX(K$1:K370)&gt;0,N(K371)-MAX(K$1:K370)&gt;180),"⚠ Gap &gt; 3h",IF(_xlfn.LET(_xlpm.q,E371,_xlpm.tk,P371,_xlpm.ld,Log!$P$18,_xlpm.fx,IF(OR(_xlpm.ld="",_xlpm.ld="Full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"&amp;_xlpm.q,""))))&lt;&gt;"",IF(N371&lt;&gt;"","Load OK ✓ (checked)","⚠ "&amp;_xlfn.LET(_xlpm.q,E371,_xlpm.tk,P371,_xlpm.ld,Log!$P$18,_xlpm.fx,IF(OR(_xlpm.ld="",_xlpm.ld="Full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"&amp;_xlpm.q,""))))),IF(C371-I371&gt;=0.99,"next day",IF(C371-I371&gt;0.4,"12h → 24h","")))))))))))</f>
        <v/>
      </c>
      <c r="H371" s="4" t="str">
        <f t="shared" si="30"/>
        <v/>
      </c>
      <c r="I371" s="5" t="str">
        <f t="shared" si="31"/>
        <v/>
      </c>
      <c r="J371" s="6">
        <f t="shared" si="32"/>
        <v>0</v>
      </c>
      <c r="K371" s="4" t="str">
        <f t="shared" si="33"/>
        <v/>
      </c>
      <c r="L371" s="4" t="str">
        <f t="shared" si="34"/>
        <v/>
      </c>
      <c r="M371" s="4" t="b" cm="1">
        <f t="array" ref="M371">IF(H371="",FALSE,SUMPRODUCT(--(H$1:H370=H371))&gt;0)</f>
        <v>0</v>
      </c>
      <c r="N371" s="36"/>
      <c r="P371" s="1" t="str">
        <f t="shared" si="35"/>
        <v/>
      </c>
    </row>
    <row r="372" spans="1:16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"&amp;L372,IF(AND(MAX(K$1:K371)&gt;0,N(K372)-MAX(K$1:K371)&gt;180),"⚠ Gap &gt; 3h",IF(_xlfn.LET(_xlpm.q,E372,_xlpm.tk,P372,_xlpm.ld,Log!$P$18,_xlpm.fx,IF(OR(_xlpm.ld="",_xlpm.ld="Full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"&amp;_xlpm.q,""))))&lt;&gt;"",IF(N372&lt;&gt;"","Load OK ✓ (checked)","⚠ "&amp;_xlfn.LET(_xlpm.q,E372,_xlpm.tk,P372,_xlpm.ld,Log!$P$18,_xlpm.fx,IF(OR(_xlpm.ld="",_xlpm.ld="Full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"&amp;_xlpm.q,""))))),IF(C372-I372&gt;=0.99,"next day",IF(C372-I372&gt;0.4,"12h → 24h","")))))))))))</f>
        <v/>
      </c>
      <c r="H372" s="4" t="str">
        <f t="shared" si="30"/>
        <v/>
      </c>
      <c r="I372" s="5" t="str">
        <f t="shared" si="31"/>
        <v/>
      </c>
      <c r="J372" s="6">
        <f t="shared" si="32"/>
        <v>0</v>
      </c>
      <c r="K372" s="4" t="str">
        <f t="shared" si="33"/>
        <v/>
      </c>
      <c r="L372" s="4" t="str">
        <f t="shared" si="34"/>
        <v/>
      </c>
      <c r="M372" s="4" t="b" cm="1">
        <f t="array" ref="M372">IF(H372="",FALSE,SUMPRODUCT(--(H$1:H371=H372))&gt;0)</f>
        <v>0</v>
      </c>
      <c r="N372" s="36"/>
      <c r="P372" s="1" t="str">
        <f t="shared" si="35"/>
        <v/>
      </c>
    </row>
    <row r="373" spans="1:16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"&amp;L373,IF(AND(MAX(K$1:K372)&gt;0,N(K373)-MAX(K$1:K372)&gt;180),"⚠ Gap &gt; 3h",IF(_xlfn.LET(_xlpm.q,E373,_xlpm.tk,P373,_xlpm.ld,Log!$P$18,_xlpm.fx,IF(OR(_xlpm.ld="",_xlpm.ld="Full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"&amp;_xlpm.q,""))))&lt;&gt;"",IF(N373&lt;&gt;"","Load OK ✓ (checked)","⚠ "&amp;_xlfn.LET(_xlpm.q,E373,_xlpm.tk,P373,_xlpm.ld,Log!$P$18,_xlpm.fx,IF(OR(_xlpm.ld="",_xlpm.ld="Full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"&amp;_xlpm.q,""))))),IF(C373-I373&gt;=0.99,"next day",IF(C373-I373&gt;0.4,"12h → 24h","")))))))))))</f>
        <v/>
      </c>
      <c r="H373" s="4" t="str">
        <f t="shared" si="30"/>
        <v/>
      </c>
      <c r="I373" s="5" t="str">
        <f t="shared" si="31"/>
        <v/>
      </c>
      <c r="J373" s="6">
        <f t="shared" si="32"/>
        <v>0</v>
      </c>
      <c r="K373" s="4" t="str">
        <f t="shared" si="33"/>
        <v/>
      </c>
      <c r="L373" s="4" t="str">
        <f t="shared" si="34"/>
        <v/>
      </c>
      <c r="M373" s="4" t="b" cm="1">
        <f t="array" ref="M373">IF(H373="",FALSE,SUMPRODUCT(--(H$1:H372=H373))&gt;0)</f>
        <v>0</v>
      </c>
      <c r="N373" s="36"/>
      <c r="P373" s="1" t="str">
        <f t="shared" si="35"/>
        <v/>
      </c>
    </row>
    <row r="374" spans="1:16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"&amp;L374,IF(AND(MAX(K$1:K373)&gt;0,N(K374)-MAX(K$1:K373)&gt;180),"⚠ Gap &gt; 3h",IF(_xlfn.LET(_xlpm.q,E374,_xlpm.tk,P374,_xlpm.ld,Log!$P$18,_xlpm.fx,IF(OR(_xlpm.ld="",_xlpm.ld="Full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"&amp;_xlpm.q,""))))&lt;&gt;"",IF(N374&lt;&gt;"","Load OK ✓ (checked)","⚠ "&amp;_xlfn.LET(_xlpm.q,E374,_xlpm.tk,P374,_xlpm.ld,Log!$P$18,_xlpm.fx,IF(OR(_xlpm.ld="",_xlpm.ld="Full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"&amp;_xlpm.q,""))))),IF(C374-I374&gt;=0.99,"next day",IF(C374-I374&gt;0.4,"12h → 24h","")))))))))))</f>
        <v/>
      </c>
      <c r="H374" s="4" t="str">
        <f t="shared" si="30"/>
        <v/>
      </c>
      <c r="I374" s="5" t="str">
        <f t="shared" si="31"/>
        <v/>
      </c>
      <c r="J374" s="6">
        <f t="shared" si="32"/>
        <v>0</v>
      </c>
      <c r="K374" s="4" t="str">
        <f t="shared" si="33"/>
        <v/>
      </c>
      <c r="L374" s="4" t="str">
        <f t="shared" si="34"/>
        <v/>
      </c>
      <c r="M374" s="4" t="b" cm="1">
        <f t="array" ref="M374">IF(H374="",FALSE,SUMPRODUCT(--(H$1:H373=H374))&gt;0)</f>
        <v>0</v>
      </c>
      <c r="N374" s="36"/>
      <c r="P374" s="1" t="str">
        <f t="shared" si="35"/>
        <v/>
      </c>
    </row>
    <row r="375" spans="1:16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"&amp;L375,IF(AND(MAX(K$1:K374)&gt;0,N(K375)-MAX(K$1:K374)&gt;180),"⚠ Gap &gt; 3h",IF(_xlfn.LET(_xlpm.q,E375,_xlpm.tk,P375,_xlpm.ld,Log!$P$18,_xlpm.fx,IF(OR(_xlpm.ld="",_xlpm.ld="Full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"&amp;_xlpm.q,""))))&lt;&gt;"",IF(N375&lt;&gt;"","Load OK ✓ (checked)","⚠ "&amp;_xlfn.LET(_xlpm.q,E375,_xlpm.tk,P375,_xlpm.ld,Log!$P$18,_xlpm.fx,IF(OR(_xlpm.ld="",_xlpm.ld="Full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"&amp;_xlpm.q,""))))),IF(C375-I375&gt;=0.99,"next day",IF(C375-I375&gt;0.4,"12h → 24h","")))))))))))</f>
        <v/>
      </c>
      <c r="H375" s="4" t="str">
        <f t="shared" si="30"/>
        <v/>
      </c>
      <c r="I375" s="5" t="str">
        <f t="shared" si="31"/>
        <v/>
      </c>
      <c r="J375" s="6">
        <f t="shared" si="32"/>
        <v>0</v>
      </c>
      <c r="K375" s="4" t="str">
        <f t="shared" si="33"/>
        <v/>
      </c>
      <c r="L375" s="4" t="str">
        <f t="shared" si="34"/>
        <v/>
      </c>
      <c r="M375" s="4" t="b" cm="1">
        <f t="array" ref="M375">IF(H375="",FALSE,SUMPRODUCT(--(H$1:H374=H375))&gt;0)</f>
        <v>0</v>
      </c>
      <c r="N375" s="36"/>
      <c r="P375" s="1" t="str">
        <f t="shared" si="35"/>
        <v/>
      </c>
    </row>
    <row r="376" spans="1:16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"&amp;L376,IF(AND(MAX(K$1:K375)&gt;0,N(K376)-MAX(K$1:K375)&gt;180),"⚠ Gap &gt; 3h",IF(_xlfn.LET(_xlpm.q,E376,_xlpm.tk,P376,_xlpm.ld,Log!$P$18,_xlpm.fx,IF(OR(_xlpm.ld="",_xlpm.ld="Full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"&amp;_xlpm.q,""))))&lt;&gt;"",IF(N376&lt;&gt;"","Load OK ✓ (checked)","⚠ "&amp;_xlfn.LET(_xlpm.q,E376,_xlpm.tk,P376,_xlpm.ld,Log!$P$18,_xlpm.fx,IF(OR(_xlpm.ld="",_xlpm.ld="Full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"&amp;_xlpm.q,""))))),IF(C376-I376&gt;=0.99,"next day",IF(C376-I376&gt;0.4,"12h → 24h","")))))))))))</f>
        <v/>
      </c>
      <c r="H376" s="4" t="str">
        <f t="shared" si="30"/>
        <v/>
      </c>
      <c r="I376" s="5" t="str">
        <f t="shared" si="31"/>
        <v/>
      </c>
      <c r="J376" s="6">
        <f t="shared" si="32"/>
        <v>0</v>
      </c>
      <c r="K376" s="4" t="str">
        <f t="shared" si="33"/>
        <v/>
      </c>
      <c r="L376" s="4" t="str">
        <f t="shared" si="34"/>
        <v/>
      </c>
      <c r="M376" s="4" t="b" cm="1">
        <f t="array" ref="M376">IF(H376="",FALSE,SUMPRODUCT(--(H$1:H375=H376))&gt;0)</f>
        <v>0</v>
      </c>
      <c r="N376" s="36"/>
      <c r="P376" s="1" t="str">
        <f t="shared" si="35"/>
        <v/>
      </c>
    </row>
    <row r="377" spans="1:16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"&amp;L377,IF(AND(MAX(K$1:K376)&gt;0,N(K377)-MAX(K$1:K376)&gt;180),"⚠ Gap &gt; 3h",IF(_xlfn.LET(_xlpm.q,E377,_xlpm.tk,P377,_xlpm.ld,Log!$P$18,_xlpm.fx,IF(OR(_xlpm.ld="",_xlpm.ld="Full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"&amp;_xlpm.q,""))))&lt;&gt;"",IF(N377&lt;&gt;"","Load OK ✓ (checked)","⚠ "&amp;_xlfn.LET(_xlpm.q,E377,_xlpm.tk,P377,_xlpm.ld,Log!$P$18,_xlpm.fx,IF(OR(_xlpm.ld="",_xlpm.ld="Full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"&amp;_xlpm.q,""))))),IF(C377-I377&gt;=0.99,"next day",IF(C377-I377&gt;0.4,"12h → 24h","")))))))))))</f>
        <v/>
      </c>
      <c r="H377" s="4" t="str">
        <f t="shared" si="30"/>
        <v/>
      </c>
      <c r="I377" s="5" t="str">
        <f t="shared" si="31"/>
        <v/>
      </c>
      <c r="J377" s="6">
        <f t="shared" si="32"/>
        <v>0</v>
      </c>
      <c r="K377" s="4" t="str">
        <f t="shared" si="33"/>
        <v/>
      </c>
      <c r="L377" s="4" t="str">
        <f t="shared" si="34"/>
        <v/>
      </c>
      <c r="M377" s="4" t="b" cm="1">
        <f t="array" ref="M377">IF(H377="",FALSE,SUMPRODUCT(--(H$1:H376=H377))&gt;0)</f>
        <v>0</v>
      </c>
      <c r="N377" s="36"/>
      <c r="P377" s="1" t="str">
        <f t="shared" si="35"/>
        <v/>
      </c>
    </row>
    <row r="378" spans="1:16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"&amp;L378,IF(AND(MAX(K$1:K377)&gt;0,N(K378)-MAX(K$1:K377)&gt;180),"⚠ Gap &gt; 3h",IF(_xlfn.LET(_xlpm.q,E378,_xlpm.tk,P378,_xlpm.ld,Log!$P$18,_xlpm.fx,IF(OR(_xlpm.ld="",_xlpm.ld="Full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"&amp;_xlpm.q,""))))&lt;&gt;"",IF(N378&lt;&gt;"","Load OK ✓ (checked)","⚠ "&amp;_xlfn.LET(_xlpm.q,E378,_xlpm.tk,P378,_xlpm.ld,Log!$P$18,_xlpm.fx,IF(OR(_xlpm.ld="",_xlpm.ld="Full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"&amp;_xlpm.q,""))))),IF(C378-I378&gt;=0.99,"next day",IF(C378-I378&gt;0.4,"12h → 24h","")))))))))))</f>
        <v/>
      </c>
      <c r="H378" s="4" t="str">
        <f t="shared" si="30"/>
        <v/>
      </c>
      <c r="I378" s="5" t="str">
        <f t="shared" si="31"/>
        <v/>
      </c>
      <c r="J378" s="6">
        <f t="shared" si="32"/>
        <v>0</v>
      </c>
      <c r="K378" s="4" t="str">
        <f t="shared" si="33"/>
        <v/>
      </c>
      <c r="L378" s="4" t="str">
        <f t="shared" si="34"/>
        <v/>
      </c>
      <c r="M378" s="4" t="b" cm="1">
        <f t="array" ref="M378">IF(H378="",FALSE,SUMPRODUCT(--(H$1:H377=H378))&gt;0)</f>
        <v>0</v>
      </c>
      <c r="N378" s="36"/>
      <c r="P378" s="1" t="str">
        <f t="shared" si="35"/>
        <v/>
      </c>
    </row>
    <row r="379" spans="1:16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"&amp;L379,IF(AND(MAX(K$1:K378)&gt;0,N(K379)-MAX(K$1:K378)&gt;180),"⚠ Gap &gt; 3h",IF(_xlfn.LET(_xlpm.q,E379,_xlpm.tk,P379,_xlpm.ld,Log!$P$18,_xlpm.fx,IF(OR(_xlpm.ld="",_xlpm.ld="Full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"&amp;_xlpm.q,""))))&lt;&gt;"",IF(N379&lt;&gt;"","Load OK ✓ (checked)","⚠ "&amp;_xlfn.LET(_xlpm.q,E379,_xlpm.tk,P379,_xlpm.ld,Log!$P$18,_xlpm.fx,IF(OR(_xlpm.ld="",_xlpm.ld="Full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"&amp;_xlpm.q,""))))),IF(C379-I379&gt;=0.99,"next day",IF(C379-I379&gt;0.4,"12h → 24h","")))))))))))</f>
        <v/>
      </c>
      <c r="H379" s="4" t="str">
        <f t="shared" si="30"/>
        <v/>
      </c>
      <c r="I379" s="5" t="str">
        <f t="shared" si="31"/>
        <v/>
      </c>
      <c r="J379" s="6">
        <f t="shared" si="32"/>
        <v>0</v>
      </c>
      <c r="K379" s="4" t="str">
        <f t="shared" si="33"/>
        <v/>
      </c>
      <c r="L379" s="4" t="str">
        <f t="shared" si="34"/>
        <v/>
      </c>
      <c r="M379" s="4" t="b" cm="1">
        <f t="array" ref="M379">IF(H379="",FALSE,SUMPRODUCT(--(H$1:H378=H379))&gt;0)</f>
        <v>0</v>
      </c>
      <c r="N379" s="36"/>
      <c r="P379" s="1" t="str">
        <f t="shared" si="35"/>
        <v/>
      </c>
    </row>
    <row r="380" spans="1:16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"&amp;L380,IF(AND(MAX(K$1:K379)&gt;0,N(K380)-MAX(K$1:K379)&gt;180),"⚠ Gap &gt; 3h",IF(_xlfn.LET(_xlpm.q,E380,_xlpm.tk,P380,_xlpm.ld,Log!$P$18,_xlpm.fx,IF(OR(_xlpm.ld="",_xlpm.ld="Full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"&amp;_xlpm.q,""))))&lt;&gt;"",IF(N380&lt;&gt;"","Load OK ✓ (checked)","⚠ "&amp;_xlfn.LET(_xlpm.q,E380,_xlpm.tk,P380,_xlpm.ld,Log!$P$18,_xlpm.fx,IF(OR(_xlpm.ld="",_xlpm.ld="Full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"&amp;_xlpm.q,""))))),IF(C380-I380&gt;=0.99,"next day",IF(C380-I380&gt;0.4,"12h → 24h","")))))))))))</f>
        <v/>
      </c>
      <c r="H380" s="4" t="str">
        <f t="shared" si="30"/>
        <v/>
      </c>
      <c r="I380" s="5" t="str">
        <f t="shared" si="31"/>
        <v/>
      </c>
      <c r="J380" s="6">
        <f t="shared" si="32"/>
        <v>0</v>
      </c>
      <c r="K380" s="4" t="str">
        <f t="shared" si="33"/>
        <v/>
      </c>
      <c r="L380" s="4" t="str">
        <f t="shared" si="34"/>
        <v/>
      </c>
      <c r="M380" s="4" t="b" cm="1">
        <f t="array" ref="M380">IF(H380="",FALSE,SUMPRODUCT(--(H$1:H379=H380))&gt;0)</f>
        <v>0</v>
      </c>
      <c r="N380" s="36"/>
      <c r="P380" s="1" t="str">
        <f t="shared" si="35"/>
        <v/>
      </c>
    </row>
    <row r="381" spans="1:16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"&amp;L381,IF(AND(MAX(K$1:K380)&gt;0,N(K381)-MAX(K$1:K380)&gt;180),"⚠ Gap &gt; 3h",IF(_xlfn.LET(_xlpm.q,E381,_xlpm.tk,P381,_xlpm.ld,Log!$P$18,_xlpm.fx,IF(OR(_xlpm.ld="",_xlpm.ld="Full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"&amp;_xlpm.q,""))))&lt;&gt;"",IF(N381&lt;&gt;"","Load OK ✓ (checked)","⚠ "&amp;_xlfn.LET(_xlpm.q,E381,_xlpm.tk,P381,_xlpm.ld,Log!$P$18,_xlpm.fx,IF(OR(_xlpm.ld="",_xlpm.ld="Full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"&amp;_xlpm.q,""))))),IF(C381-I381&gt;=0.99,"next day",IF(C381-I381&gt;0.4,"12h → 24h","")))))))))))</f>
        <v/>
      </c>
      <c r="H381" s="4" t="str">
        <f t="shared" si="30"/>
        <v/>
      </c>
      <c r="I381" s="5" t="str">
        <f t="shared" si="31"/>
        <v/>
      </c>
      <c r="J381" s="6">
        <f t="shared" si="32"/>
        <v>0</v>
      </c>
      <c r="K381" s="4" t="str">
        <f t="shared" si="33"/>
        <v/>
      </c>
      <c r="L381" s="4" t="str">
        <f t="shared" si="34"/>
        <v/>
      </c>
      <c r="M381" s="4" t="b" cm="1">
        <f t="array" ref="M381">IF(H381="",FALSE,SUMPRODUCT(--(H$1:H380=H381))&gt;0)</f>
        <v>0</v>
      </c>
      <c r="N381" s="36"/>
      <c r="P381" s="1" t="str">
        <f t="shared" si="35"/>
        <v/>
      </c>
    </row>
    <row r="382" spans="1:16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"&amp;L382,IF(AND(MAX(K$1:K381)&gt;0,N(K382)-MAX(K$1:K381)&gt;180),"⚠ Gap &gt; 3h",IF(_xlfn.LET(_xlpm.q,E382,_xlpm.tk,P382,_xlpm.ld,Log!$P$18,_xlpm.fx,IF(OR(_xlpm.ld="",_xlpm.ld="Full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"&amp;_xlpm.q,""))))&lt;&gt;"",IF(N382&lt;&gt;"","Load OK ✓ (checked)","⚠ "&amp;_xlfn.LET(_xlpm.q,E382,_xlpm.tk,P382,_xlpm.ld,Log!$P$18,_xlpm.fx,IF(OR(_xlpm.ld="",_xlpm.ld="Full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"&amp;_xlpm.q,""))))),IF(C382-I382&gt;=0.99,"next day",IF(C382-I382&gt;0.4,"12h → 24h","")))))))))))</f>
        <v/>
      </c>
      <c r="H382" s="4" t="str">
        <f t="shared" si="30"/>
        <v/>
      </c>
      <c r="I382" s="5" t="str">
        <f t="shared" si="31"/>
        <v/>
      </c>
      <c r="J382" s="6">
        <f t="shared" si="32"/>
        <v>0</v>
      </c>
      <c r="K382" s="4" t="str">
        <f t="shared" si="33"/>
        <v/>
      </c>
      <c r="L382" s="4" t="str">
        <f t="shared" si="34"/>
        <v/>
      </c>
      <c r="M382" s="4" t="b" cm="1">
        <f t="array" ref="M382">IF(H382="",FALSE,SUMPRODUCT(--(H$1:H381=H382))&gt;0)</f>
        <v>0</v>
      </c>
      <c r="N382" s="36"/>
      <c r="P382" s="1" t="str">
        <f t="shared" si="35"/>
        <v/>
      </c>
    </row>
    <row r="383" spans="1:16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"&amp;L383,IF(AND(MAX(K$1:K382)&gt;0,N(K383)-MAX(K$1:K382)&gt;180),"⚠ Gap &gt; 3h",IF(_xlfn.LET(_xlpm.q,E383,_xlpm.tk,P383,_xlpm.ld,Log!$P$18,_xlpm.fx,IF(OR(_xlpm.ld="",_xlpm.ld="Full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"&amp;_xlpm.q,""))))&lt;&gt;"",IF(N383&lt;&gt;"","Load OK ✓ (checked)","⚠ "&amp;_xlfn.LET(_xlpm.q,E383,_xlpm.tk,P383,_xlpm.ld,Log!$P$18,_xlpm.fx,IF(OR(_xlpm.ld="",_xlpm.ld="Full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"&amp;_xlpm.q,""))))),IF(C383-I383&gt;=0.99,"next day",IF(C383-I383&gt;0.4,"12h → 24h","")))))))))))</f>
        <v/>
      </c>
      <c r="H383" s="4" t="str">
        <f t="shared" si="30"/>
        <v/>
      </c>
      <c r="I383" s="5" t="str">
        <f t="shared" si="31"/>
        <v/>
      </c>
      <c r="J383" s="6">
        <f t="shared" si="32"/>
        <v>0</v>
      </c>
      <c r="K383" s="4" t="str">
        <f t="shared" si="33"/>
        <v/>
      </c>
      <c r="L383" s="4" t="str">
        <f t="shared" si="34"/>
        <v/>
      </c>
      <c r="M383" s="4" t="b" cm="1">
        <f t="array" ref="M383">IF(H383="",FALSE,SUMPRODUCT(--(H$1:H382=H383))&gt;0)</f>
        <v>0</v>
      </c>
      <c r="N383" s="36"/>
      <c r="P383" s="1" t="str">
        <f t="shared" si="35"/>
        <v/>
      </c>
    </row>
    <row r="384" spans="1:16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"&amp;L384,IF(AND(MAX(K$1:K383)&gt;0,N(K384)-MAX(K$1:K383)&gt;180),"⚠ Gap &gt; 3h",IF(_xlfn.LET(_xlpm.q,E384,_xlpm.tk,P384,_xlpm.ld,Log!$P$18,_xlpm.fx,IF(OR(_xlpm.ld="",_xlpm.ld="Full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"&amp;_xlpm.q,""))))&lt;&gt;"",IF(N384&lt;&gt;"","Load OK ✓ (checked)","⚠ "&amp;_xlfn.LET(_xlpm.q,E384,_xlpm.tk,P384,_xlpm.ld,Log!$P$18,_xlpm.fx,IF(OR(_xlpm.ld="",_xlpm.ld="Full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"&amp;_xlpm.q,""))))),IF(C384-I384&gt;=0.99,"next day",IF(C384-I384&gt;0.4,"12h → 24h","")))))))))))</f>
        <v/>
      </c>
      <c r="H384" s="4" t="str">
        <f t="shared" si="30"/>
        <v/>
      </c>
      <c r="I384" s="5" t="str">
        <f t="shared" si="31"/>
        <v/>
      </c>
      <c r="J384" s="6">
        <f t="shared" si="32"/>
        <v>0</v>
      </c>
      <c r="K384" s="4" t="str">
        <f t="shared" si="33"/>
        <v/>
      </c>
      <c r="L384" s="4" t="str">
        <f t="shared" si="34"/>
        <v/>
      </c>
      <c r="M384" s="4" t="b" cm="1">
        <f t="array" ref="M384">IF(H384="",FALSE,SUMPRODUCT(--(H$1:H383=H384))&gt;0)</f>
        <v>0</v>
      </c>
      <c r="N384" s="36"/>
      <c r="P384" s="1" t="str">
        <f t="shared" si="35"/>
        <v/>
      </c>
    </row>
    <row r="385" spans="1:16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"&amp;L385,IF(AND(MAX(K$1:K384)&gt;0,N(K385)-MAX(K$1:K384)&gt;180),"⚠ Gap &gt; 3h",IF(_xlfn.LET(_xlpm.q,E385,_xlpm.tk,P385,_xlpm.ld,Log!$P$18,_xlpm.fx,IF(OR(_xlpm.ld="",_xlpm.ld="Full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"&amp;_xlpm.q,""))))&lt;&gt;"",IF(N385&lt;&gt;"","Load OK ✓ (checked)","⚠ "&amp;_xlfn.LET(_xlpm.q,E385,_xlpm.tk,P385,_xlpm.ld,Log!$P$18,_xlpm.fx,IF(OR(_xlpm.ld="",_xlpm.ld="Full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"&amp;_xlpm.q,""))))),IF(C385-I385&gt;=0.99,"next day",IF(C385-I385&gt;0.4,"12h → 24h","")))))))))))</f>
        <v/>
      </c>
      <c r="H385" s="4" t="str">
        <f t="shared" si="30"/>
        <v/>
      </c>
      <c r="I385" s="5" t="str">
        <f t="shared" si="31"/>
        <v/>
      </c>
      <c r="J385" s="6">
        <f t="shared" si="32"/>
        <v>0</v>
      </c>
      <c r="K385" s="4" t="str">
        <f t="shared" si="33"/>
        <v/>
      </c>
      <c r="L385" s="4" t="str">
        <f t="shared" si="34"/>
        <v/>
      </c>
      <c r="M385" s="4" t="b" cm="1">
        <f t="array" ref="M385">IF(H385="",FALSE,SUMPRODUCT(--(H$1:H384=H385))&gt;0)</f>
        <v>0</v>
      </c>
      <c r="N385" s="36"/>
      <c r="P385" s="1" t="str">
        <f t="shared" si="35"/>
        <v/>
      </c>
    </row>
    <row r="386" spans="1:16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"&amp;L386,IF(AND(MAX(K$1:K385)&gt;0,N(K386)-MAX(K$1:K385)&gt;180),"⚠ Gap &gt; 3h",IF(_xlfn.LET(_xlpm.q,E386,_xlpm.tk,P386,_xlpm.ld,Log!$P$18,_xlpm.fx,IF(OR(_xlpm.ld="",_xlpm.ld="Full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"&amp;_xlpm.q,""))))&lt;&gt;"",IF(N386&lt;&gt;"","Load OK ✓ (checked)","⚠ "&amp;_xlfn.LET(_xlpm.q,E386,_xlpm.tk,P386,_xlpm.ld,Log!$P$18,_xlpm.fx,IF(OR(_xlpm.ld="",_xlpm.ld="Full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"&amp;_xlpm.q,""))))),IF(C386-I386&gt;=0.99,"next day",IF(C386-I386&gt;0.4,"12h → 24h","")))))))))))</f>
        <v/>
      </c>
      <c r="H386" s="4" t="str">
        <f t="shared" ref="H386:H449" si="36">IF(B386="","",_xlfn.LET(_xlpm.t,TRIM(B386),IF(LEFT(_xlpm.t,1)="[",IFERROR(TRIM(MID(_xlpm.t,FIND(": ",_xlpm.t,FIND("]",_xlpm.t))+2,500)),_xlpm.t),_xlpm.t)))</f>
        <v/>
      </c>
      <c r="I386" s="5" t="str">
        <f t="shared" ref="I386:I449" si="37">IF(H386="","",IFERROR(TIMEVALUE(TRIM(SUBSTITUTE(SUBSTITUTE(MID(H386,SEARCH(":",H386)-2,5),".",""),"*",""))),""))</f>
        <v/>
      </c>
      <c r="J386" s="6">
        <f t="shared" ref="J386:J449" si="38">IF(OR(B386="",F386="",M386),0,IF(ISNUMBER(F386),F386,N(E386)))</f>
        <v>0</v>
      </c>
      <c r="K386" s="4" t="str">
        <f t="shared" ref="K386:K449" si="39">IF(OR(C386="",M386),"",ROUND(C386*1440,0))</f>
        <v/>
      </c>
      <c r="L386" s="4" t="str">
        <f t="shared" ref="L386:L449" si="40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  <c r="N386" s="36"/>
      <c r="P386" s="1" t="str">
        <f t="shared" ref="P386:P449" si="41">IF(OR(H386="",NOT(ISNUMBER(L386))),"",IFERROR(_xlfn.LET(_xlpm.t,TRIM(SUBSTITUTE(SUBSTITUTE(SUBSTITUTE(H386,"*",""),"_",""),"."," ")),_xlpm.s,TRIM(MID(SUBSTITUTE(_xlpm.t," ",REPT(" ",100)),101,100)),IF(AND(LEN(_xlpm.s)=3,ISNUMBER(--_xlpm.s)),--_xlpm.s,"")),""))</f>
        <v/>
      </c>
    </row>
    <row r="387" spans="1:16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"&amp;L387,IF(AND(MAX(K$1:K386)&gt;0,N(K387)-MAX(K$1:K386)&gt;180),"⚠ Gap &gt; 3h",IF(_xlfn.LET(_xlpm.q,E387,_xlpm.tk,P387,_xlpm.ld,Log!$P$18,_xlpm.fx,IF(OR(_xlpm.ld="",_xlpm.ld="Full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"&amp;_xlpm.q,""))))&lt;&gt;"",IF(N387&lt;&gt;"","Load OK ✓ (checked)","⚠ "&amp;_xlfn.LET(_xlpm.q,E387,_xlpm.tk,P387,_xlpm.ld,Log!$P$18,_xlpm.fx,IF(OR(_xlpm.ld="",_xlpm.ld="Full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"&amp;_xlpm.q,""))))),IF(C387-I387&gt;=0.99,"next day",IF(C387-I387&gt;0.4,"12h → 24h","")))))))))))</f>
        <v/>
      </c>
      <c r="H387" s="4" t="str">
        <f t="shared" si="36"/>
        <v/>
      </c>
      <c r="I387" s="5" t="str">
        <f t="shared" si="37"/>
        <v/>
      </c>
      <c r="J387" s="6">
        <f t="shared" si="38"/>
        <v>0</v>
      </c>
      <c r="K387" s="4" t="str">
        <f t="shared" si="39"/>
        <v/>
      </c>
      <c r="L387" s="4" t="str">
        <f t="shared" si="40"/>
        <v/>
      </c>
      <c r="M387" s="4" t="b" cm="1">
        <f t="array" ref="M387">IF(H387="",FALSE,SUMPRODUCT(--(H$1:H386=H387))&gt;0)</f>
        <v>0</v>
      </c>
      <c r="N387" s="36"/>
      <c r="P387" s="1" t="str">
        <f t="shared" si="41"/>
        <v/>
      </c>
    </row>
    <row r="388" spans="1:16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"&amp;L388,IF(AND(MAX(K$1:K387)&gt;0,N(K388)-MAX(K$1:K387)&gt;180),"⚠ Gap &gt; 3h",IF(_xlfn.LET(_xlpm.q,E388,_xlpm.tk,P388,_xlpm.ld,Log!$P$18,_xlpm.fx,IF(OR(_xlpm.ld="",_xlpm.ld="Full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"&amp;_xlpm.q,""))))&lt;&gt;"",IF(N388&lt;&gt;"","Load OK ✓ (checked)","⚠ "&amp;_xlfn.LET(_xlpm.q,E388,_xlpm.tk,P388,_xlpm.ld,Log!$P$18,_xlpm.fx,IF(OR(_xlpm.ld="",_xlpm.ld="Full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"&amp;_xlpm.q,""))))),IF(C388-I388&gt;=0.99,"next day",IF(C388-I388&gt;0.4,"12h → 24h","")))))))))))</f>
        <v/>
      </c>
      <c r="H388" s="4" t="str">
        <f t="shared" si="36"/>
        <v/>
      </c>
      <c r="I388" s="5" t="str">
        <f t="shared" si="37"/>
        <v/>
      </c>
      <c r="J388" s="6">
        <f t="shared" si="38"/>
        <v>0</v>
      </c>
      <c r="K388" s="4" t="str">
        <f t="shared" si="39"/>
        <v/>
      </c>
      <c r="L388" s="4" t="str">
        <f t="shared" si="40"/>
        <v/>
      </c>
      <c r="M388" s="4" t="b" cm="1">
        <f t="array" ref="M388">IF(H388="",FALSE,SUMPRODUCT(--(H$1:H387=H388))&gt;0)</f>
        <v>0</v>
      </c>
      <c r="N388" s="36"/>
      <c r="P388" s="1" t="str">
        <f t="shared" si="41"/>
        <v/>
      </c>
    </row>
    <row r="389" spans="1:16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"&amp;L389,IF(AND(MAX(K$1:K388)&gt;0,N(K389)-MAX(K$1:K388)&gt;180),"⚠ Gap &gt; 3h",IF(_xlfn.LET(_xlpm.q,E389,_xlpm.tk,P389,_xlpm.ld,Log!$P$18,_xlpm.fx,IF(OR(_xlpm.ld="",_xlpm.ld="Full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"&amp;_xlpm.q,""))))&lt;&gt;"",IF(N389&lt;&gt;"","Load OK ✓ (checked)","⚠ "&amp;_xlfn.LET(_xlpm.q,E389,_xlpm.tk,P389,_xlpm.ld,Log!$P$18,_xlpm.fx,IF(OR(_xlpm.ld="",_xlpm.ld="Full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"&amp;_xlpm.q,""))))),IF(C389-I389&gt;=0.99,"next day",IF(C389-I389&gt;0.4,"12h → 24h","")))))))))))</f>
        <v/>
      </c>
      <c r="H389" s="4" t="str">
        <f t="shared" si="36"/>
        <v/>
      </c>
      <c r="I389" s="5" t="str">
        <f t="shared" si="37"/>
        <v/>
      </c>
      <c r="J389" s="6">
        <f t="shared" si="38"/>
        <v>0</v>
      </c>
      <c r="K389" s="4" t="str">
        <f t="shared" si="39"/>
        <v/>
      </c>
      <c r="L389" s="4" t="str">
        <f t="shared" si="40"/>
        <v/>
      </c>
      <c r="M389" s="4" t="b" cm="1">
        <f t="array" ref="M389">IF(H389="",FALSE,SUMPRODUCT(--(H$1:H388=H389))&gt;0)</f>
        <v>0</v>
      </c>
      <c r="N389" s="36"/>
      <c r="P389" s="1" t="str">
        <f t="shared" si="41"/>
        <v/>
      </c>
    </row>
    <row r="390" spans="1:16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"&amp;L390,IF(AND(MAX(K$1:K389)&gt;0,N(K390)-MAX(K$1:K389)&gt;180),"⚠ Gap &gt; 3h",IF(_xlfn.LET(_xlpm.q,E390,_xlpm.tk,P390,_xlpm.ld,Log!$P$18,_xlpm.fx,IF(OR(_xlpm.ld="",_xlpm.ld="Full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"&amp;_xlpm.q,""))))&lt;&gt;"",IF(N390&lt;&gt;"","Load OK ✓ (checked)","⚠ "&amp;_xlfn.LET(_xlpm.q,E390,_xlpm.tk,P390,_xlpm.ld,Log!$P$18,_xlpm.fx,IF(OR(_xlpm.ld="",_xlpm.ld="Full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"&amp;_xlpm.q,""))))),IF(C390-I390&gt;=0.99,"next day",IF(C390-I390&gt;0.4,"12h → 24h","")))))))))))</f>
        <v/>
      </c>
      <c r="H390" s="4" t="str">
        <f t="shared" si="36"/>
        <v/>
      </c>
      <c r="I390" s="5" t="str">
        <f t="shared" si="37"/>
        <v/>
      </c>
      <c r="J390" s="6">
        <f t="shared" si="38"/>
        <v>0</v>
      </c>
      <c r="K390" s="4" t="str">
        <f t="shared" si="39"/>
        <v/>
      </c>
      <c r="L390" s="4" t="str">
        <f t="shared" si="40"/>
        <v/>
      </c>
      <c r="M390" s="4" t="b" cm="1">
        <f t="array" ref="M390">IF(H390="",FALSE,SUMPRODUCT(--(H$1:H389=H390))&gt;0)</f>
        <v>0</v>
      </c>
      <c r="N390" s="36"/>
      <c r="P390" s="1" t="str">
        <f t="shared" si="41"/>
        <v/>
      </c>
    </row>
    <row r="391" spans="1:16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"&amp;L391,IF(AND(MAX(K$1:K390)&gt;0,N(K391)-MAX(K$1:K390)&gt;180),"⚠ Gap &gt; 3h",IF(_xlfn.LET(_xlpm.q,E391,_xlpm.tk,P391,_xlpm.ld,Log!$P$18,_xlpm.fx,IF(OR(_xlpm.ld="",_xlpm.ld="Full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"&amp;_xlpm.q,""))))&lt;&gt;"",IF(N391&lt;&gt;"","Load OK ✓ (checked)","⚠ "&amp;_xlfn.LET(_xlpm.q,E391,_xlpm.tk,P391,_xlpm.ld,Log!$P$18,_xlpm.fx,IF(OR(_xlpm.ld="",_xlpm.ld="Full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"&amp;_xlpm.q,""))))),IF(C391-I391&gt;=0.99,"next day",IF(C391-I391&gt;0.4,"12h → 24h","")))))))))))</f>
        <v/>
      </c>
      <c r="H391" s="4" t="str">
        <f t="shared" si="36"/>
        <v/>
      </c>
      <c r="I391" s="5" t="str">
        <f t="shared" si="37"/>
        <v/>
      </c>
      <c r="J391" s="6">
        <f t="shared" si="38"/>
        <v>0</v>
      </c>
      <c r="K391" s="4" t="str">
        <f t="shared" si="39"/>
        <v/>
      </c>
      <c r="L391" s="4" t="str">
        <f t="shared" si="40"/>
        <v/>
      </c>
      <c r="M391" s="4" t="b" cm="1">
        <f t="array" ref="M391">IF(H391="",FALSE,SUMPRODUCT(--(H$1:H390=H391))&gt;0)</f>
        <v>0</v>
      </c>
      <c r="N391" s="36"/>
      <c r="P391" s="1" t="str">
        <f t="shared" si="41"/>
        <v/>
      </c>
    </row>
    <row r="392" spans="1:16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"&amp;L392,IF(AND(MAX(K$1:K391)&gt;0,N(K392)-MAX(K$1:K391)&gt;180),"⚠ Gap &gt; 3h",IF(_xlfn.LET(_xlpm.q,E392,_xlpm.tk,P392,_xlpm.ld,Log!$P$18,_xlpm.fx,IF(OR(_xlpm.ld="",_xlpm.ld="Full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"&amp;_xlpm.q,""))))&lt;&gt;"",IF(N392&lt;&gt;"","Load OK ✓ (checked)","⚠ "&amp;_xlfn.LET(_xlpm.q,E392,_xlpm.tk,P392,_xlpm.ld,Log!$P$18,_xlpm.fx,IF(OR(_xlpm.ld="",_xlpm.ld="Full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"&amp;_xlpm.q,""))))),IF(C392-I392&gt;=0.99,"next day",IF(C392-I392&gt;0.4,"12h → 24h","")))))))))))</f>
        <v/>
      </c>
      <c r="H392" s="4" t="str">
        <f t="shared" si="36"/>
        <v/>
      </c>
      <c r="I392" s="5" t="str">
        <f t="shared" si="37"/>
        <v/>
      </c>
      <c r="J392" s="6">
        <f t="shared" si="38"/>
        <v>0</v>
      </c>
      <c r="K392" s="4" t="str">
        <f t="shared" si="39"/>
        <v/>
      </c>
      <c r="L392" s="4" t="str">
        <f t="shared" si="40"/>
        <v/>
      </c>
      <c r="M392" s="4" t="b" cm="1">
        <f t="array" ref="M392">IF(H392="",FALSE,SUMPRODUCT(--(H$1:H391=H392))&gt;0)</f>
        <v>0</v>
      </c>
      <c r="N392" s="36"/>
      <c r="P392" s="1" t="str">
        <f t="shared" si="41"/>
        <v/>
      </c>
    </row>
    <row r="393" spans="1:16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"&amp;L393,IF(AND(MAX(K$1:K392)&gt;0,N(K393)-MAX(K$1:K392)&gt;180),"⚠ Gap &gt; 3h",IF(_xlfn.LET(_xlpm.q,E393,_xlpm.tk,P393,_xlpm.ld,Log!$P$18,_xlpm.fx,IF(OR(_xlpm.ld="",_xlpm.ld="Full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"&amp;_xlpm.q,""))))&lt;&gt;"",IF(N393&lt;&gt;"","Load OK ✓ (checked)","⚠ "&amp;_xlfn.LET(_xlpm.q,E393,_xlpm.tk,P393,_xlpm.ld,Log!$P$18,_xlpm.fx,IF(OR(_xlpm.ld="",_xlpm.ld="Full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"&amp;_xlpm.q,""))))),IF(C393-I393&gt;=0.99,"next day",IF(C393-I393&gt;0.4,"12h → 24h","")))))))))))</f>
        <v/>
      </c>
      <c r="H393" s="4" t="str">
        <f t="shared" si="36"/>
        <v/>
      </c>
      <c r="I393" s="5" t="str">
        <f t="shared" si="37"/>
        <v/>
      </c>
      <c r="J393" s="6">
        <f t="shared" si="38"/>
        <v>0</v>
      </c>
      <c r="K393" s="4" t="str">
        <f t="shared" si="39"/>
        <v/>
      </c>
      <c r="L393" s="4" t="str">
        <f t="shared" si="40"/>
        <v/>
      </c>
      <c r="M393" s="4" t="b" cm="1">
        <f t="array" ref="M393">IF(H393="",FALSE,SUMPRODUCT(--(H$1:H392=H393))&gt;0)</f>
        <v>0</v>
      </c>
      <c r="N393" s="36"/>
      <c r="P393" s="1" t="str">
        <f t="shared" si="41"/>
        <v/>
      </c>
    </row>
    <row r="394" spans="1:16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"&amp;L394,IF(AND(MAX(K$1:K393)&gt;0,N(K394)-MAX(K$1:K393)&gt;180),"⚠ Gap &gt; 3h",IF(_xlfn.LET(_xlpm.q,E394,_xlpm.tk,P394,_xlpm.ld,Log!$P$18,_xlpm.fx,IF(OR(_xlpm.ld="",_xlpm.ld="Full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"&amp;_xlpm.q,""))))&lt;&gt;"",IF(N394&lt;&gt;"","Load OK ✓ (checked)","⚠ "&amp;_xlfn.LET(_xlpm.q,E394,_xlpm.tk,P394,_xlpm.ld,Log!$P$18,_xlpm.fx,IF(OR(_xlpm.ld="",_xlpm.ld="Full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"&amp;_xlpm.q,""))))),IF(C394-I394&gt;=0.99,"next day",IF(C394-I394&gt;0.4,"12h → 24h","")))))))))))</f>
        <v/>
      </c>
      <c r="H394" s="4" t="str">
        <f t="shared" si="36"/>
        <v/>
      </c>
      <c r="I394" s="5" t="str">
        <f t="shared" si="37"/>
        <v/>
      </c>
      <c r="J394" s="6">
        <f t="shared" si="38"/>
        <v>0</v>
      </c>
      <c r="K394" s="4" t="str">
        <f t="shared" si="39"/>
        <v/>
      </c>
      <c r="L394" s="4" t="str">
        <f t="shared" si="40"/>
        <v/>
      </c>
      <c r="M394" s="4" t="b" cm="1">
        <f t="array" ref="M394">IF(H394="",FALSE,SUMPRODUCT(--(H$1:H393=H394))&gt;0)</f>
        <v>0</v>
      </c>
      <c r="N394" s="36"/>
      <c r="P394" s="1" t="str">
        <f t="shared" si="41"/>
        <v/>
      </c>
    </row>
    <row r="395" spans="1:16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"&amp;L395,IF(AND(MAX(K$1:K394)&gt;0,N(K395)-MAX(K$1:K394)&gt;180),"⚠ Gap &gt; 3h",IF(_xlfn.LET(_xlpm.q,E395,_xlpm.tk,P395,_xlpm.ld,Log!$P$18,_xlpm.fx,IF(OR(_xlpm.ld="",_xlpm.ld="Full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"&amp;_xlpm.q,""))))&lt;&gt;"",IF(N395&lt;&gt;"","Load OK ✓ (checked)","⚠ "&amp;_xlfn.LET(_xlpm.q,E395,_xlpm.tk,P395,_xlpm.ld,Log!$P$18,_xlpm.fx,IF(OR(_xlpm.ld="",_xlpm.ld="Full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"&amp;_xlpm.q,""))))),IF(C395-I395&gt;=0.99,"next day",IF(C395-I395&gt;0.4,"12h → 24h","")))))))))))</f>
        <v/>
      </c>
      <c r="H395" s="4" t="str">
        <f t="shared" si="36"/>
        <v/>
      </c>
      <c r="I395" s="5" t="str">
        <f t="shared" si="37"/>
        <v/>
      </c>
      <c r="J395" s="6">
        <f t="shared" si="38"/>
        <v>0</v>
      </c>
      <c r="K395" s="4" t="str">
        <f t="shared" si="39"/>
        <v/>
      </c>
      <c r="L395" s="4" t="str">
        <f t="shared" si="40"/>
        <v/>
      </c>
      <c r="M395" s="4" t="b" cm="1">
        <f t="array" ref="M395">IF(H395="",FALSE,SUMPRODUCT(--(H$1:H394=H395))&gt;0)</f>
        <v>0</v>
      </c>
      <c r="N395" s="36"/>
      <c r="P395" s="1" t="str">
        <f t="shared" si="41"/>
        <v/>
      </c>
    </row>
    <row r="396" spans="1:16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"&amp;L396,IF(AND(MAX(K$1:K395)&gt;0,N(K396)-MAX(K$1:K395)&gt;180),"⚠ Gap &gt; 3h",IF(_xlfn.LET(_xlpm.q,E396,_xlpm.tk,P396,_xlpm.ld,Log!$P$18,_xlpm.fx,IF(OR(_xlpm.ld="",_xlpm.ld="Full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"&amp;_xlpm.q,""))))&lt;&gt;"",IF(N396&lt;&gt;"","Load OK ✓ (checked)","⚠ "&amp;_xlfn.LET(_xlpm.q,E396,_xlpm.tk,P396,_xlpm.ld,Log!$P$18,_xlpm.fx,IF(OR(_xlpm.ld="",_xlpm.ld="Full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"&amp;_xlpm.q,""))))),IF(C396-I396&gt;=0.99,"next day",IF(C396-I396&gt;0.4,"12h → 24h","")))))))))))</f>
        <v/>
      </c>
      <c r="H396" s="4" t="str">
        <f t="shared" si="36"/>
        <v/>
      </c>
      <c r="I396" s="5" t="str">
        <f t="shared" si="37"/>
        <v/>
      </c>
      <c r="J396" s="6">
        <f t="shared" si="38"/>
        <v>0</v>
      </c>
      <c r="K396" s="4" t="str">
        <f t="shared" si="39"/>
        <v/>
      </c>
      <c r="L396" s="4" t="str">
        <f t="shared" si="40"/>
        <v/>
      </c>
      <c r="M396" s="4" t="b" cm="1">
        <f t="array" ref="M396">IF(H396="",FALSE,SUMPRODUCT(--(H$1:H395=H396))&gt;0)</f>
        <v>0</v>
      </c>
      <c r="N396" s="36"/>
      <c r="P396" s="1" t="str">
        <f t="shared" si="41"/>
        <v/>
      </c>
    </row>
    <row r="397" spans="1:16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"&amp;L397,IF(AND(MAX(K$1:K396)&gt;0,N(K397)-MAX(K$1:K396)&gt;180),"⚠ Gap &gt; 3h",IF(_xlfn.LET(_xlpm.q,E397,_xlpm.tk,P397,_xlpm.ld,Log!$P$18,_xlpm.fx,IF(OR(_xlpm.ld="",_xlpm.ld="Full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"&amp;_xlpm.q,""))))&lt;&gt;"",IF(N397&lt;&gt;"","Load OK ✓ (checked)","⚠ "&amp;_xlfn.LET(_xlpm.q,E397,_xlpm.tk,P397,_xlpm.ld,Log!$P$18,_xlpm.fx,IF(OR(_xlpm.ld="",_xlpm.ld="Full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"&amp;_xlpm.q,""))))),IF(C397-I397&gt;=0.99,"next day",IF(C397-I397&gt;0.4,"12h → 24h","")))))))))))</f>
        <v/>
      </c>
      <c r="H397" s="4" t="str">
        <f t="shared" si="36"/>
        <v/>
      </c>
      <c r="I397" s="5" t="str">
        <f t="shared" si="37"/>
        <v/>
      </c>
      <c r="J397" s="6">
        <f t="shared" si="38"/>
        <v>0</v>
      </c>
      <c r="K397" s="4" t="str">
        <f t="shared" si="39"/>
        <v/>
      </c>
      <c r="L397" s="4" t="str">
        <f t="shared" si="40"/>
        <v/>
      </c>
      <c r="M397" s="4" t="b" cm="1">
        <f t="array" ref="M397">IF(H397="",FALSE,SUMPRODUCT(--(H$1:H396=H397))&gt;0)</f>
        <v>0</v>
      </c>
      <c r="N397" s="36"/>
      <c r="P397" s="1" t="str">
        <f t="shared" si="41"/>
        <v/>
      </c>
    </row>
    <row r="398" spans="1:16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"&amp;L398,IF(AND(MAX(K$1:K397)&gt;0,N(K398)-MAX(K$1:K397)&gt;180),"⚠ Gap &gt; 3h",IF(_xlfn.LET(_xlpm.q,E398,_xlpm.tk,P398,_xlpm.ld,Log!$P$18,_xlpm.fx,IF(OR(_xlpm.ld="",_xlpm.ld="Full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"&amp;_xlpm.q,""))))&lt;&gt;"",IF(N398&lt;&gt;"","Load OK ✓ (checked)","⚠ "&amp;_xlfn.LET(_xlpm.q,E398,_xlpm.tk,P398,_xlpm.ld,Log!$P$18,_xlpm.fx,IF(OR(_xlpm.ld="",_xlpm.ld="Full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"&amp;_xlpm.q,""))))),IF(C398-I398&gt;=0.99,"next day",IF(C398-I398&gt;0.4,"12h → 24h","")))))))))))</f>
        <v/>
      </c>
      <c r="H398" s="4" t="str">
        <f t="shared" si="36"/>
        <v/>
      </c>
      <c r="I398" s="5" t="str">
        <f t="shared" si="37"/>
        <v/>
      </c>
      <c r="J398" s="6">
        <f t="shared" si="38"/>
        <v>0</v>
      </c>
      <c r="K398" s="4" t="str">
        <f t="shared" si="39"/>
        <v/>
      </c>
      <c r="L398" s="4" t="str">
        <f t="shared" si="40"/>
        <v/>
      </c>
      <c r="M398" s="4" t="b" cm="1">
        <f t="array" ref="M398">IF(H398="",FALSE,SUMPRODUCT(--(H$1:H397=H398))&gt;0)</f>
        <v>0</v>
      </c>
      <c r="N398" s="36"/>
      <c r="P398" s="1" t="str">
        <f t="shared" si="41"/>
        <v/>
      </c>
    </row>
    <row r="399" spans="1:16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"&amp;L399,IF(AND(MAX(K$1:K398)&gt;0,N(K399)-MAX(K$1:K398)&gt;180),"⚠ Gap &gt; 3h",IF(_xlfn.LET(_xlpm.q,E399,_xlpm.tk,P399,_xlpm.ld,Log!$P$18,_xlpm.fx,IF(OR(_xlpm.ld="",_xlpm.ld="Full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"&amp;_xlpm.q,""))))&lt;&gt;"",IF(N399&lt;&gt;"","Load OK ✓ (checked)","⚠ "&amp;_xlfn.LET(_xlpm.q,E399,_xlpm.tk,P399,_xlpm.ld,Log!$P$18,_xlpm.fx,IF(OR(_xlpm.ld="",_xlpm.ld="Full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"&amp;_xlpm.q,""))))),IF(C399-I399&gt;=0.99,"next day",IF(C399-I399&gt;0.4,"12h → 24h","")))))))))))</f>
        <v/>
      </c>
      <c r="H399" s="4" t="str">
        <f t="shared" si="36"/>
        <v/>
      </c>
      <c r="I399" s="5" t="str">
        <f t="shared" si="37"/>
        <v/>
      </c>
      <c r="J399" s="6">
        <f t="shared" si="38"/>
        <v>0</v>
      </c>
      <c r="K399" s="4" t="str">
        <f t="shared" si="39"/>
        <v/>
      </c>
      <c r="L399" s="4" t="str">
        <f t="shared" si="40"/>
        <v/>
      </c>
      <c r="M399" s="4" t="b" cm="1">
        <f t="array" ref="M399">IF(H399="",FALSE,SUMPRODUCT(--(H$1:H398=H399))&gt;0)</f>
        <v>0</v>
      </c>
      <c r="N399" s="36"/>
      <c r="P399" s="1" t="str">
        <f t="shared" si="41"/>
        <v/>
      </c>
    </row>
    <row r="400" spans="1:16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"&amp;L400,IF(AND(MAX(K$1:K399)&gt;0,N(K400)-MAX(K$1:K399)&gt;180),"⚠ Gap &gt; 3h",IF(_xlfn.LET(_xlpm.q,E400,_xlpm.tk,P400,_xlpm.ld,Log!$P$18,_xlpm.fx,IF(OR(_xlpm.ld="",_xlpm.ld="Full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"&amp;_xlpm.q,""))))&lt;&gt;"",IF(N400&lt;&gt;"","Load OK ✓ (checked)","⚠ "&amp;_xlfn.LET(_xlpm.q,E400,_xlpm.tk,P400,_xlpm.ld,Log!$P$18,_xlpm.fx,IF(OR(_xlpm.ld="",_xlpm.ld="Full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"&amp;_xlpm.q,""))))),IF(C400-I400&gt;=0.99,"next day",IF(C400-I400&gt;0.4,"12h → 24h","")))))))))))</f>
        <v/>
      </c>
      <c r="H400" s="4" t="str">
        <f t="shared" si="36"/>
        <v/>
      </c>
      <c r="I400" s="5" t="str">
        <f t="shared" si="37"/>
        <v/>
      </c>
      <c r="J400" s="6">
        <f t="shared" si="38"/>
        <v>0</v>
      </c>
      <c r="K400" s="4" t="str">
        <f t="shared" si="39"/>
        <v/>
      </c>
      <c r="L400" s="4" t="str">
        <f t="shared" si="40"/>
        <v/>
      </c>
      <c r="M400" s="4" t="b" cm="1">
        <f t="array" ref="M400">IF(H400="",FALSE,SUMPRODUCT(--(H$1:H399=H400))&gt;0)</f>
        <v>0</v>
      </c>
      <c r="N400" s="36"/>
      <c r="P400" s="1" t="str">
        <f t="shared" si="41"/>
        <v/>
      </c>
    </row>
    <row r="401" spans="1:16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"&amp;L401,IF(AND(MAX(K$1:K400)&gt;0,N(K401)-MAX(K$1:K400)&gt;180),"⚠ Gap &gt; 3h",IF(_xlfn.LET(_xlpm.q,E401,_xlpm.tk,P401,_xlpm.ld,Log!$P$18,_xlpm.fx,IF(OR(_xlpm.ld="",_xlpm.ld="Full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"&amp;_xlpm.q,""))))&lt;&gt;"",IF(N401&lt;&gt;"","Load OK ✓ (checked)","⚠ "&amp;_xlfn.LET(_xlpm.q,E401,_xlpm.tk,P401,_xlpm.ld,Log!$P$18,_xlpm.fx,IF(OR(_xlpm.ld="",_xlpm.ld="Full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"&amp;_xlpm.q,""))))),IF(C401-I401&gt;=0.99,"next day",IF(C401-I401&gt;0.4,"12h → 24h","")))))))))))</f>
        <v/>
      </c>
      <c r="H401" s="4" t="str">
        <f t="shared" si="36"/>
        <v/>
      </c>
      <c r="I401" s="5" t="str">
        <f t="shared" si="37"/>
        <v/>
      </c>
      <c r="J401" s="6">
        <f t="shared" si="38"/>
        <v>0</v>
      </c>
      <c r="K401" s="4" t="str">
        <f t="shared" si="39"/>
        <v/>
      </c>
      <c r="L401" s="4" t="str">
        <f t="shared" si="40"/>
        <v/>
      </c>
      <c r="M401" s="4" t="b" cm="1">
        <f t="array" ref="M401">IF(H401="",FALSE,SUMPRODUCT(--(H$1:H400=H401))&gt;0)</f>
        <v>0</v>
      </c>
      <c r="N401" s="36"/>
      <c r="P401" s="1" t="str">
        <f t="shared" si="41"/>
        <v/>
      </c>
    </row>
    <row r="402" spans="1:16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"&amp;L402,IF(AND(MAX(K$1:K401)&gt;0,N(K402)-MAX(K$1:K401)&gt;180),"⚠ Gap &gt; 3h",IF(_xlfn.LET(_xlpm.q,E402,_xlpm.tk,P402,_xlpm.ld,Log!$P$18,_xlpm.fx,IF(OR(_xlpm.ld="",_xlpm.ld="Full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"&amp;_xlpm.q,""))))&lt;&gt;"",IF(N402&lt;&gt;"","Load OK ✓ (checked)","⚠ "&amp;_xlfn.LET(_xlpm.q,E402,_xlpm.tk,P402,_xlpm.ld,Log!$P$18,_xlpm.fx,IF(OR(_xlpm.ld="",_xlpm.ld="Full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"&amp;_xlpm.q,""))))),IF(C402-I402&gt;=0.99,"next day",IF(C402-I402&gt;0.4,"12h → 24h","")))))))))))</f>
        <v/>
      </c>
      <c r="H402" s="4" t="str">
        <f t="shared" si="36"/>
        <v/>
      </c>
      <c r="I402" s="5" t="str">
        <f t="shared" si="37"/>
        <v/>
      </c>
      <c r="J402" s="6">
        <f t="shared" si="38"/>
        <v>0</v>
      </c>
      <c r="K402" s="4" t="str">
        <f t="shared" si="39"/>
        <v/>
      </c>
      <c r="L402" s="4" t="str">
        <f t="shared" si="40"/>
        <v/>
      </c>
      <c r="M402" s="4" t="b" cm="1">
        <f t="array" ref="M402">IF(H402="",FALSE,SUMPRODUCT(--(H$1:H401=H402))&gt;0)</f>
        <v>0</v>
      </c>
      <c r="N402" s="36"/>
      <c r="P402" s="1" t="str">
        <f t="shared" si="41"/>
        <v/>
      </c>
    </row>
    <row r="403" spans="1:16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"&amp;L403,IF(AND(MAX(K$1:K402)&gt;0,N(K403)-MAX(K$1:K402)&gt;180),"⚠ Gap &gt; 3h",IF(_xlfn.LET(_xlpm.q,E403,_xlpm.tk,P403,_xlpm.ld,Log!$P$18,_xlpm.fx,IF(OR(_xlpm.ld="",_xlpm.ld="Full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"&amp;_xlpm.q,""))))&lt;&gt;"",IF(N403&lt;&gt;"","Load OK ✓ (checked)","⚠ "&amp;_xlfn.LET(_xlpm.q,E403,_xlpm.tk,P403,_xlpm.ld,Log!$P$18,_xlpm.fx,IF(OR(_xlpm.ld="",_xlpm.ld="Full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"&amp;_xlpm.q,""))))),IF(C403-I403&gt;=0.99,"next day",IF(C403-I403&gt;0.4,"12h → 24h","")))))))))))</f>
        <v/>
      </c>
      <c r="H403" s="4" t="str">
        <f t="shared" si="36"/>
        <v/>
      </c>
      <c r="I403" s="5" t="str">
        <f t="shared" si="37"/>
        <v/>
      </c>
      <c r="J403" s="6">
        <f t="shared" si="38"/>
        <v>0</v>
      </c>
      <c r="K403" s="4" t="str">
        <f t="shared" si="39"/>
        <v/>
      </c>
      <c r="L403" s="4" t="str">
        <f t="shared" si="40"/>
        <v/>
      </c>
      <c r="M403" s="4" t="b" cm="1">
        <f t="array" ref="M403">IF(H403="",FALSE,SUMPRODUCT(--(H$1:H402=H403))&gt;0)</f>
        <v>0</v>
      </c>
      <c r="N403" s="36"/>
      <c r="P403" s="1" t="str">
        <f t="shared" si="41"/>
        <v/>
      </c>
    </row>
    <row r="404" spans="1:16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"&amp;L404,IF(AND(MAX(K$1:K403)&gt;0,N(K404)-MAX(K$1:K403)&gt;180),"⚠ Gap &gt; 3h",IF(_xlfn.LET(_xlpm.q,E404,_xlpm.tk,P404,_xlpm.ld,Log!$P$18,_xlpm.fx,IF(OR(_xlpm.ld="",_xlpm.ld="Full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"&amp;_xlpm.q,""))))&lt;&gt;"",IF(N404&lt;&gt;"","Load OK ✓ (checked)","⚠ "&amp;_xlfn.LET(_xlpm.q,E404,_xlpm.tk,P404,_xlpm.ld,Log!$P$18,_xlpm.fx,IF(OR(_xlpm.ld="",_xlpm.ld="Full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"&amp;_xlpm.q,""))))),IF(C404-I404&gt;=0.99,"next day",IF(C404-I404&gt;0.4,"12h → 24h","")))))))))))</f>
        <v/>
      </c>
      <c r="H404" s="4" t="str">
        <f t="shared" si="36"/>
        <v/>
      </c>
      <c r="I404" s="5" t="str">
        <f t="shared" si="37"/>
        <v/>
      </c>
      <c r="J404" s="6">
        <f t="shared" si="38"/>
        <v>0</v>
      </c>
      <c r="K404" s="4" t="str">
        <f t="shared" si="39"/>
        <v/>
      </c>
      <c r="L404" s="4" t="str">
        <f t="shared" si="40"/>
        <v/>
      </c>
      <c r="M404" s="4" t="b" cm="1">
        <f t="array" ref="M404">IF(H404="",FALSE,SUMPRODUCT(--(H$1:H403=H404))&gt;0)</f>
        <v>0</v>
      </c>
      <c r="N404" s="36"/>
      <c r="P404" s="1" t="str">
        <f t="shared" si="41"/>
        <v/>
      </c>
    </row>
    <row r="405" spans="1:16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"&amp;L405,IF(AND(MAX(K$1:K404)&gt;0,N(K405)-MAX(K$1:K404)&gt;180),"⚠ Gap &gt; 3h",IF(_xlfn.LET(_xlpm.q,E405,_xlpm.tk,P405,_xlpm.ld,Log!$P$18,_xlpm.fx,IF(OR(_xlpm.ld="",_xlpm.ld="Full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"&amp;_xlpm.q,""))))&lt;&gt;"",IF(N405&lt;&gt;"","Load OK ✓ (checked)","⚠ "&amp;_xlfn.LET(_xlpm.q,E405,_xlpm.tk,P405,_xlpm.ld,Log!$P$18,_xlpm.fx,IF(OR(_xlpm.ld="",_xlpm.ld="Full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"&amp;_xlpm.q,""))))),IF(C405-I405&gt;=0.99,"next day",IF(C405-I405&gt;0.4,"12h → 24h","")))))))))))</f>
        <v/>
      </c>
      <c r="H405" s="4" t="str">
        <f t="shared" si="36"/>
        <v/>
      </c>
      <c r="I405" s="5" t="str">
        <f t="shared" si="37"/>
        <v/>
      </c>
      <c r="J405" s="6">
        <f t="shared" si="38"/>
        <v>0</v>
      </c>
      <c r="K405" s="4" t="str">
        <f t="shared" si="39"/>
        <v/>
      </c>
      <c r="L405" s="4" t="str">
        <f t="shared" si="40"/>
        <v/>
      </c>
      <c r="M405" s="4" t="b" cm="1">
        <f t="array" ref="M405">IF(H405="",FALSE,SUMPRODUCT(--(H$1:H404=H405))&gt;0)</f>
        <v>0</v>
      </c>
      <c r="N405" s="36"/>
      <c r="P405" s="1" t="str">
        <f t="shared" si="41"/>
        <v/>
      </c>
    </row>
    <row r="406" spans="1:16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"&amp;L406,IF(AND(MAX(K$1:K405)&gt;0,N(K406)-MAX(K$1:K405)&gt;180),"⚠ Gap &gt; 3h",IF(_xlfn.LET(_xlpm.q,E406,_xlpm.tk,P406,_xlpm.ld,Log!$P$18,_xlpm.fx,IF(OR(_xlpm.ld="",_xlpm.ld="Full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"&amp;_xlpm.q,""))))&lt;&gt;"",IF(N406&lt;&gt;"","Load OK ✓ (checked)","⚠ "&amp;_xlfn.LET(_xlpm.q,E406,_xlpm.tk,P406,_xlpm.ld,Log!$P$18,_xlpm.fx,IF(OR(_xlpm.ld="",_xlpm.ld="Full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"&amp;_xlpm.q,""))))),IF(C406-I406&gt;=0.99,"next day",IF(C406-I406&gt;0.4,"12h → 24h","")))))))))))</f>
        <v/>
      </c>
      <c r="H406" s="4" t="str">
        <f t="shared" si="36"/>
        <v/>
      </c>
      <c r="I406" s="5" t="str">
        <f t="shared" si="37"/>
        <v/>
      </c>
      <c r="J406" s="6">
        <f t="shared" si="38"/>
        <v>0</v>
      </c>
      <c r="K406" s="4" t="str">
        <f t="shared" si="39"/>
        <v/>
      </c>
      <c r="L406" s="4" t="str">
        <f t="shared" si="40"/>
        <v/>
      </c>
      <c r="M406" s="4" t="b" cm="1">
        <f t="array" ref="M406">IF(H406="",FALSE,SUMPRODUCT(--(H$1:H405=H406))&gt;0)</f>
        <v>0</v>
      </c>
      <c r="N406" s="36"/>
      <c r="P406" s="1" t="str">
        <f t="shared" si="41"/>
        <v/>
      </c>
    </row>
    <row r="407" spans="1:16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"&amp;L407,IF(AND(MAX(K$1:K406)&gt;0,N(K407)-MAX(K$1:K406)&gt;180),"⚠ Gap &gt; 3h",IF(_xlfn.LET(_xlpm.q,E407,_xlpm.tk,P407,_xlpm.ld,Log!$P$18,_xlpm.fx,IF(OR(_xlpm.ld="",_xlpm.ld="Full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"&amp;_xlpm.q,""))))&lt;&gt;"",IF(N407&lt;&gt;"","Load OK ✓ (checked)","⚠ "&amp;_xlfn.LET(_xlpm.q,E407,_xlpm.tk,P407,_xlpm.ld,Log!$P$18,_xlpm.fx,IF(OR(_xlpm.ld="",_xlpm.ld="Full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"&amp;_xlpm.q,""))))),IF(C407-I407&gt;=0.99,"next day",IF(C407-I407&gt;0.4,"12h → 24h","")))))))))))</f>
        <v/>
      </c>
      <c r="H407" s="4" t="str">
        <f t="shared" si="36"/>
        <v/>
      </c>
      <c r="I407" s="5" t="str">
        <f t="shared" si="37"/>
        <v/>
      </c>
      <c r="J407" s="6">
        <f t="shared" si="38"/>
        <v>0</v>
      </c>
      <c r="K407" s="4" t="str">
        <f t="shared" si="39"/>
        <v/>
      </c>
      <c r="L407" s="4" t="str">
        <f t="shared" si="40"/>
        <v/>
      </c>
      <c r="M407" s="4" t="b" cm="1">
        <f t="array" ref="M407">IF(H407="",FALSE,SUMPRODUCT(--(H$1:H406=H407))&gt;0)</f>
        <v>0</v>
      </c>
      <c r="N407" s="36"/>
      <c r="P407" s="1" t="str">
        <f t="shared" si="41"/>
        <v/>
      </c>
    </row>
    <row r="408" spans="1:16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"&amp;L408,IF(AND(MAX(K$1:K407)&gt;0,N(K408)-MAX(K$1:K407)&gt;180),"⚠ Gap &gt; 3h",IF(_xlfn.LET(_xlpm.q,E408,_xlpm.tk,P408,_xlpm.ld,Log!$P$18,_xlpm.fx,IF(OR(_xlpm.ld="",_xlpm.ld="Full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"&amp;_xlpm.q,""))))&lt;&gt;"",IF(N408&lt;&gt;"","Load OK ✓ (checked)","⚠ "&amp;_xlfn.LET(_xlpm.q,E408,_xlpm.tk,P408,_xlpm.ld,Log!$P$18,_xlpm.fx,IF(OR(_xlpm.ld="",_xlpm.ld="Full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"&amp;_xlpm.q,""))))),IF(C408-I408&gt;=0.99,"next day",IF(C408-I408&gt;0.4,"12h → 24h","")))))))))))</f>
        <v/>
      </c>
      <c r="H408" s="4" t="str">
        <f t="shared" si="36"/>
        <v/>
      </c>
      <c r="I408" s="5" t="str">
        <f t="shared" si="37"/>
        <v/>
      </c>
      <c r="J408" s="6">
        <f t="shared" si="38"/>
        <v>0</v>
      </c>
      <c r="K408" s="4" t="str">
        <f t="shared" si="39"/>
        <v/>
      </c>
      <c r="L408" s="4" t="str">
        <f t="shared" si="40"/>
        <v/>
      </c>
      <c r="M408" s="4" t="b" cm="1">
        <f t="array" ref="M408">IF(H408="",FALSE,SUMPRODUCT(--(H$1:H407=H408))&gt;0)</f>
        <v>0</v>
      </c>
      <c r="N408" s="36"/>
      <c r="P408" s="1" t="str">
        <f t="shared" si="41"/>
        <v/>
      </c>
    </row>
    <row r="409" spans="1:16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"&amp;L409,IF(AND(MAX(K$1:K408)&gt;0,N(K409)-MAX(K$1:K408)&gt;180),"⚠ Gap &gt; 3h",IF(_xlfn.LET(_xlpm.q,E409,_xlpm.tk,P409,_xlpm.ld,Log!$P$18,_xlpm.fx,IF(OR(_xlpm.ld="",_xlpm.ld="Full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"&amp;_xlpm.q,""))))&lt;&gt;"",IF(N409&lt;&gt;"","Load OK ✓ (checked)","⚠ "&amp;_xlfn.LET(_xlpm.q,E409,_xlpm.tk,P409,_xlpm.ld,Log!$P$18,_xlpm.fx,IF(OR(_xlpm.ld="",_xlpm.ld="Full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"&amp;_xlpm.q,""))))),IF(C409-I409&gt;=0.99,"next day",IF(C409-I409&gt;0.4,"12h → 24h","")))))))))))</f>
        <v/>
      </c>
      <c r="H409" s="4" t="str">
        <f t="shared" si="36"/>
        <v/>
      </c>
      <c r="I409" s="5" t="str">
        <f t="shared" si="37"/>
        <v/>
      </c>
      <c r="J409" s="6">
        <f t="shared" si="38"/>
        <v>0</v>
      </c>
      <c r="K409" s="4" t="str">
        <f t="shared" si="39"/>
        <v/>
      </c>
      <c r="L409" s="4" t="str">
        <f t="shared" si="40"/>
        <v/>
      </c>
      <c r="M409" s="4" t="b" cm="1">
        <f t="array" ref="M409">IF(H409="",FALSE,SUMPRODUCT(--(H$1:H408=H409))&gt;0)</f>
        <v>0</v>
      </c>
      <c r="N409" s="36"/>
      <c r="P409" s="1" t="str">
        <f t="shared" si="41"/>
        <v/>
      </c>
    </row>
    <row r="410" spans="1:16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"&amp;L410,IF(AND(MAX(K$1:K409)&gt;0,N(K410)-MAX(K$1:K409)&gt;180),"⚠ Gap &gt; 3h",IF(_xlfn.LET(_xlpm.q,E410,_xlpm.tk,P410,_xlpm.ld,Log!$P$18,_xlpm.fx,IF(OR(_xlpm.ld="",_xlpm.ld="Full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"&amp;_xlpm.q,""))))&lt;&gt;"",IF(N410&lt;&gt;"","Load OK ✓ (checked)","⚠ "&amp;_xlfn.LET(_xlpm.q,E410,_xlpm.tk,P410,_xlpm.ld,Log!$P$18,_xlpm.fx,IF(OR(_xlpm.ld="",_xlpm.ld="Full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"&amp;_xlpm.q,""))))),IF(C410-I410&gt;=0.99,"next day",IF(C410-I410&gt;0.4,"12h → 24h","")))))))))))</f>
        <v/>
      </c>
      <c r="H410" s="4" t="str">
        <f t="shared" si="36"/>
        <v/>
      </c>
      <c r="I410" s="5" t="str">
        <f t="shared" si="37"/>
        <v/>
      </c>
      <c r="J410" s="6">
        <f t="shared" si="38"/>
        <v>0</v>
      </c>
      <c r="K410" s="4" t="str">
        <f t="shared" si="39"/>
        <v/>
      </c>
      <c r="L410" s="4" t="str">
        <f t="shared" si="40"/>
        <v/>
      </c>
      <c r="M410" s="4" t="b" cm="1">
        <f t="array" ref="M410">IF(H410="",FALSE,SUMPRODUCT(--(H$1:H409=H410))&gt;0)</f>
        <v>0</v>
      </c>
      <c r="N410" s="36"/>
      <c r="P410" s="1" t="str">
        <f t="shared" si="41"/>
        <v/>
      </c>
    </row>
    <row r="411" spans="1:16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"&amp;L411,IF(AND(MAX(K$1:K410)&gt;0,N(K411)-MAX(K$1:K410)&gt;180),"⚠ Gap &gt; 3h",IF(_xlfn.LET(_xlpm.q,E411,_xlpm.tk,P411,_xlpm.ld,Log!$P$18,_xlpm.fx,IF(OR(_xlpm.ld="",_xlpm.ld="Full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"&amp;_xlpm.q,""))))&lt;&gt;"",IF(N411&lt;&gt;"","Load OK ✓ (checked)","⚠ "&amp;_xlfn.LET(_xlpm.q,E411,_xlpm.tk,P411,_xlpm.ld,Log!$P$18,_xlpm.fx,IF(OR(_xlpm.ld="",_xlpm.ld="Full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"&amp;_xlpm.q,""))))),IF(C411-I411&gt;=0.99,"next day",IF(C411-I411&gt;0.4,"12h → 24h","")))))))))))</f>
        <v/>
      </c>
      <c r="H411" s="4" t="str">
        <f t="shared" si="36"/>
        <v/>
      </c>
      <c r="I411" s="5" t="str">
        <f t="shared" si="37"/>
        <v/>
      </c>
      <c r="J411" s="6">
        <f t="shared" si="38"/>
        <v>0</v>
      </c>
      <c r="K411" s="4" t="str">
        <f t="shared" si="39"/>
        <v/>
      </c>
      <c r="L411" s="4" t="str">
        <f t="shared" si="40"/>
        <v/>
      </c>
      <c r="M411" s="4" t="b" cm="1">
        <f t="array" ref="M411">IF(H411="",FALSE,SUMPRODUCT(--(H$1:H410=H411))&gt;0)</f>
        <v>0</v>
      </c>
      <c r="N411" s="36"/>
      <c r="P411" s="1" t="str">
        <f t="shared" si="41"/>
        <v/>
      </c>
    </row>
    <row r="412" spans="1:16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"&amp;L412,IF(AND(MAX(K$1:K411)&gt;0,N(K412)-MAX(K$1:K411)&gt;180),"⚠ Gap &gt; 3h",IF(_xlfn.LET(_xlpm.q,E412,_xlpm.tk,P412,_xlpm.ld,Log!$P$18,_xlpm.fx,IF(OR(_xlpm.ld="",_xlpm.ld="Full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"&amp;_xlpm.q,""))))&lt;&gt;"",IF(N412&lt;&gt;"","Load OK ✓ (checked)","⚠ "&amp;_xlfn.LET(_xlpm.q,E412,_xlpm.tk,P412,_xlpm.ld,Log!$P$18,_xlpm.fx,IF(OR(_xlpm.ld="",_xlpm.ld="Full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"&amp;_xlpm.q,""))))),IF(C412-I412&gt;=0.99,"next day",IF(C412-I412&gt;0.4,"12h → 24h","")))))))))))</f>
        <v/>
      </c>
      <c r="H412" s="4" t="str">
        <f t="shared" si="36"/>
        <v/>
      </c>
      <c r="I412" s="5" t="str">
        <f t="shared" si="37"/>
        <v/>
      </c>
      <c r="J412" s="6">
        <f t="shared" si="38"/>
        <v>0</v>
      </c>
      <c r="K412" s="4" t="str">
        <f t="shared" si="39"/>
        <v/>
      </c>
      <c r="L412" s="4" t="str">
        <f t="shared" si="40"/>
        <v/>
      </c>
      <c r="M412" s="4" t="b" cm="1">
        <f t="array" ref="M412">IF(H412="",FALSE,SUMPRODUCT(--(H$1:H411=H412))&gt;0)</f>
        <v>0</v>
      </c>
      <c r="N412" s="36"/>
      <c r="P412" s="1" t="str">
        <f t="shared" si="41"/>
        <v/>
      </c>
    </row>
    <row r="413" spans="1:16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"&amp;L413,IF(AND(MAX(K$1:K412)&gt;0,N(K413)-MAX(K$1:K412)&gt;180),"⚠ Gap &gt; 3h",IF(_xlfn.LET(_xlpm.q,E413,_xlpm.tk,P413,_xlpm.ld,Log!$P$18,_xlpm.fx,IF(OR(_xlpm.ld="",_xlpm.ld="Full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"&amp;_xlpm.q,""))))&lt;&gt;"",IF(N413&lt;&gt;"","Load OK ✓ (checked)","⚠ "&amp;_xlfn.LET(_xlpm.q,E413,_xlpm.tk,P413,_xlpm.ld,Log!$P$18,_xlpm.fx,IF(OR(_xlpm.ld="",_xlpm.ld="Full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"&amp;_xlpm.q,""))))),IF(C413-I413&gt;=0.99,"next day",IF(C413-I413&gt;0.4,"12h → 24h","")))))))))))</f>
        <v/>
      </c>
      <c r="H413" s="4" t="str">
        <f t="shared" si="36"/>
        <v/>
      </c>
      <c r="I413" s="5" t="str">
        <f t="shared" si="37"/>
        <v/>
      </c>
      <c r="J413" s="6">
        <f t="shared" si="38"/>
        <v>0</v>
      </c>
      <c r="K413" s="4" t="str">
        <f t="shared" si="39"/>
        <v/>
      </c>
      <c r="L413" s="4" t="str">
        <f t="shared" si="40"/>
        <v/>
      </c>
      <c r="M413" s="4" t="b" cm="1">
        <f t="array" ref="M413">IF(H413="",FALSE,SUMPRODUCT(--(H$1:H412=H413))&gt;0)</f>
        <v>0</v>
      </c>
      <c r="N413" s="36"/>
      <c r="P413" s="1" t="str">
        <f t="shared" si="41"/>
        <v/>
      </c>
    </row>
    <row r="414" spans="1:16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"&amp;L414,IF(AND(MAX(K$1:K413)&gt;0,N(K414)-MAX(K$1:K413)&gt;180),"⚠ Gap &gt; 3h",IF(_xlfn.LET(_xlpm.q,E414,_xlpm.tk,P414,_xlpm.ld,Log!$P$18,_xlpm.fx,IF(OR(_xlpm.ld="",_xlpm.ld="Full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"&amp;_xlpm.q,""))))&lt;&gt;"",IF(N414&lt;&gt;"","Load OK ✓ (checked)","⚠ "&amp;_xlfn.LET(_xlpm.q,E414,_xlpm.tk,P414,_xlpm.ld,Log!$P$18,_xlpm.fx,IF(OR(_xlpm.ld="",_xlpm.ld="Full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"&amp;_xlpm.q,""))))),IF(C414-I414&gt;=0.99,"next day",IF(C414-I414&gt;0.4,"12h → 24h","")))))))))))</f>
        <v/>
      </c>
      <c r="H414" s="4" t="str">
        <f t="shared" si="36"/>
        <v/>
      </c>
      <c r="I414" s="5" t="str">
        <f t="shared" si="37"/>
        <v/>
      </c>
      <c r="J414" s="6">
        <f t="shared" si="38"/>
        <v>0</v>
      </c>
      <c r="K414" s="4" t="str">
        <f t="shared" si="39"/>
        <v/>
      </c>
      <c r="L414" s="4" t="str">
        <f t="shared" si="40"/>
        <v/>
      </c>
      <c r="M414" s="4" t="b" cm="1">
        <f t="array" ref="M414">IF(H414="",FALSE,SUMPRODUCT(--(H$1:H413=H414))&gt;0)</f>
        <v>0</v>
      </c>
      <c r="N414" s="36"/>
      <c r="P414" s="1" t="str">
        <f t="shared" si="41"/>
        <v/>
      </c>
    </row>
    <row r="415" spans="1:16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"&amp;L415,IF(AND(MAX(K$1:K414)&gt;0,N(K415)-MAX(K$1:K414)&gt;180),"⚠ Gap &gt; 3h",IF(_xlfn.LET(_xlpm.q,E415,_xlpm.tk,P415,_xlpm.ld,Log!$P$18,_xlpm.fx,IF(OR(_xlpm.ld="",_xlpm.ld="Full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"&amp;_xlpm.q,""))))&lt;&gt;"",IF(N415&lt;&gt;"","Load OK ✓ (checked)","⚠ "&amp;_xlfn.LET(_xlpm.q,E415,_xlpm.tk,P415,_xlpm.ld,Log!$P$18,_xlpm.fx,IF(OR(_xlpm.ld="",_xlpm.ld="Full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"&amp;_xlpm.q,""))))),IF(C415-I415&gt;=0.99,"next day",IF(C415-I415&gt;0.4,"12h → 24h","")))))))))))</f>
        <v/>
      </c>
      <c r="H415" s="4" t="str">
        <f t="shared" si="36"/>
        <v/>
      </c>
      <c r="I415" s="5" t="str">
        <f t="shared" si="37"/>
        <v/>
      </c>
      <c r="J415" s="6">
        <f t="shared" si="38"/>
        <v>0</v>
      </c>
      <c r="K415" s="4" t="str">
        <f t="shared" si="39"/>
        <v/>
      </c>
      <c r="L415" s="4" t="str">
        <f t="shared" si="40"/>
        <v/>
      </c>
      <c r="M415" s="4" t="b" cm="1">
        <f t="array" ref="M415">IF(H415="",FALSE,SUMPRODUCT(--(H$1:H414=H415))&gt;0)</f>
        <v>0</v>
      </c>
      <c r="N415" s="36"/>
      <c r="P415" s="1" t="str">
        <f t="shared" si="41"/>
        <v/>
      </c>
    </row>
    <row r="416" spans="1:16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"&amp;L416,IF(AND(MAX(K$1:K415)&gt;0,N(K416)-MAX(K$1:K415)&gt;180),"⚠ Gap &gt; 3h",IF(_xlfn.LET(_xlpm.q,E416,_xlpm.tk,P416,_xlpm.ld,Log!$P$18,_xlpm.fx,IF(OR(_xlpm.ld="",_xlpm.ld="Full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"&amp;_xlpm.q,""))))&lt;&gt;"",IF(N416&lt;&gt;"","Load OK ✓ (checked)","⚠ "&amp;_xlfn.LET(_xlpm.q,E416,_xlpm.tk,P416,_xlpm.ld,Log!$P$18,_xlpm.fx,IF(OR(_xlpm.ld="",_xlpm.ld="Full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"&amp;_xlpm.q,""))))),IF(C416-I416&gt;=0.99,"next day",IF(C416-I416&gt;0.4,"12h → 24h","")))))))))))</f>
        <v/>
      </c>
      <c r="H416" s="4" t="str">
        <f t="shared" si="36"/>
        <v/>
      </c>
      <c r="I416" s="5" t="str">
        <f t="shared" si="37"/>
        <v/>
      </c>
      <c r="J416" s="6">
        <f t="shared" si="38"/>
        <v>0</v>
      </c>
      <c r="K416" s="4" t="str">
        <f t="shared" si="39"/>
        <v/>
      </c>
      <c r="L416" s="4" t="str">
        <f t="shared" si="40"/>
        <v/>
      </c>
      <c r="M416" s="4" t="b" cm="1">
        <f t="array" ref="M416">IF(H416="",FALSE,SUMPRODUCT(--(H$1:H415=H416))&gt;0)</f>
        <v>0</v>
      </c>
      <c r="N416" s="36"/>
      <c r="P416" s="1" t="str">
        <f t="shared" si="41"/>
        <v/>
      </c>
    </row>
    <row r="417" spans="1:16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"&amp;L417,IF(AND(MAX(K$1:K416)&gt;0,N(K417)-MAX(K$1:K416)&gt;180),"⚠ Gap &gt; 3h",IF(_xlfn.LET(_xlpm.q,E417,_xlpm.tk,P417,_xlpm.ld,Log!$P$18,_xlpm.fx,IF(OR(_xlpm.ld="",_xlpm.ld="Full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"&amp;_xlpm.q,""))))&lt;&gt;"",IF(N417&lt;&gt;"","Load OK ✓ (checked)","⚠ "&amp;_xlfn.LET(_xlpm.q,E417,_xlpm.tk,P417,_xlpm.ld,Log!$P$18,_xlpm.fx,IF(OR(_xlpm.ld="",_xlpm.ld="Full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"&amp;_xlpm.q,""))))),IF(C417-I417&gt;=0.99,"next day",IF(C417-I417&gt;0.4,"12h → 24h","")))))))))))</f>
        <v/>
      </c>
      <c r="H417" s="4" t="str">
        <f t="shared" si="36"/>
        <v/>
      </c>
      <c r="I417" s="5" t="str">
        <f t="shared" si="37"/>
        <v/>
      </c>
      <c r="J417" s="6">
        <f t="shared" si="38"/>
        <v>0</v>
      </c>
      <c r="K417" s="4" t="str">
        <f t="shared" si="39"/>
        <v/>
      </c>
      <c r="L417" s="4" t="str">
        <f t="shared" si="40"/>
        <v/>
      </c>
      <c r="M417" s="4" t="b" cm="1">
        <f t="array" ref="M417">IF(H417="",FALSE,SUMPRODUCT(--(H$1:H416=H417))&gt;0)</f>
        <v>0</v>
      </c>
      <c r="N417" s="36"/>
      <c r="P417" s="1" t="str">
        <f t="shared" si="41"/>
        <v/>
      </c>
    </row>
    <row r="418" spans="1:16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"&amp;L418,IF(AND(MAX(K$1:K417)&gt;0,N(K418)-MAX(K$1:K417)&gt;180),"⚠ Gap &gt; 3h",IF(_xlfn.LET(_xlpm.q,E418,_xlpm.tk,P418,_xlpm.ld,Log!$P$18,_xlpm.fx,IF(OR(_xlpm.ld="",_xlpm.ld="Full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"&amp;_xlpm.q,""))))&lt;&gt;"",IF(N418&lt;&gt;"","Load OK ✓ (checked)","⚠ "&amp;_xlfn.LET(_xlpm.q,E418,_xlpm.tk,P418,_xlpm.ld,Log!$P$18,_xlpm.fx,IF(OR(_xlpm.ld="",_xlpm.ld="Full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"&amp;_xlpm.q,""))))),IF(C418-I418&gt;=0.99,"next day",IF(C418-I418&gt;0.4,"12h → 24h","")))))))))))</f>
        <v/>
      </c>
      <c r="H418" s="4" t="str">
        <f t="shared" si="36"/>
        <v/>
      </c>
      <c r="I418" s="5" t="str">
        <f t="shared" si="37"/>
        <v/>
      </c>
      <c r="J418" s="6">
        <f t="shared" si="38"/>
        <v>0</v>
      </c>
      <c r="K418" s="4" t="str">
        <f t="shared" si="39"/>
        <v/>
      </c>
      <c r="L418" s="4" t="str">
        <f t="shared" si="40"/>
        <v/>
      </c>
      <c r="M418" s="4" t="b" cm="1">
        <f t="array" ref="M418">IF(H418="",FALSE,SUMPRODUCT(--(H$1:H417=H418))&gt;0)</f>
        <v>0</v>
      </c>
      <c r="N418" s="36"/>
      <c r="P418" s="1" t="str">
        <f t="shared" si="41"/>
        <v/>
      </c>
    </row>
    <row r="419" spans="1:16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"&amp;L419,IF(AND(MAX(K$1:K418)&gt;0,N(K419)-MAX(K$1:K418)&gt;180),"⚠ Gap &gt; 3h",IF(_xlfn.LET(_xlpm.q,E419,_xlpm.tk,P419,_xlpm.ld,Log!$P$18,_xlpm.fx,IF(OR(_xlpm.ld="",_xlpm.ld="Full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"&amp;_xlpm.q,""))))&lt;&gt;"",IF(N419&lt;&gt;"","Load OK ✓ (checked)","⚠ "&amp;_xlfn.LET(_xlpm.q,E419,_xlpm.tk,P419,_xlpm.ld,Log!$P$18,_xlpm.fx,IF(OR(_xlpm.ld="",_xlpm.ld="Full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"&amp;_xlpm.q,""))))),IF(C419-I419&gt;=0.99,"next day",IF(C419-I419&gt;0.4,"12h → 24h","")))))))))))</f>
        <v/>
      </c>
      <c r="H419" s="4" t="str">
        <f t="shared" si="36"/>
        <v/>
      </c>
      <c r="I419" s="5" t="str">
        <f t="shared" si="37"/>
        <v/>
      </c>
      <c r="J419" s="6">
        <f t="shared" si="38"/>
        <v>0</v>
      </c>
      <c r="K419" s="4" t="str">
        <f t="shared" si="39"/>
        <v/>
      </c>
      <c r="L419" s="4" t="str">
        <f t="shared" si="40"/>
        <v/>
      </c>
      <c r="M419" s="4" t="b" cm="1">
        <f t="array" ref="M419">IF(H419="",FALSE,SUMPRODUCT(--(H$1:H418=H419))&gt;0)</f>
        <v>0</v>
      </c>
      <c r="N419" s="36"/>
      <c r="P419" s="1" t="str">
        <f t="shared" si="41"/>
        <v/>
      </c>
    </row>
    <row r="420" spans="1:16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"&amp;L420,IF(AND(MAX(K$1:K419)&gt;0,N(K420)-MAX(K$1:K419)&gt;180),"⚠ Gap &gt; 3h",IF(_xlfn.LET(_xlpm.q,E420,_xlpm.tk,P420,_xlpm.ld,Log!$P$18,_xlpm.fx,IF(OR(_xlpm.ld="",_xlpm.ld="Full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"&amp;_xlpm.q,""))))&lt;&gt;"",IF(N420&lt;&gt;"","Load OK ✓ (checked)","⚠ "&amp;_xlfn.LET(_xlpm.q,E420,_xlpm.tk,P420,_xlpm.ld,Log!$P$18,_xlpm.fx,IF(OR(_xlpm.ld="",_xlpm.ld="Full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"&amp;_xlpm.q,""))))),IF(C420-I420&gt;=0.99,"next day",IF(C420-I420&gt;0.4,"12h → 24h","")))))))))))</f>
        <v/>
      </c>
      <c r="H420" s="4" t="str">
        <f t="shared" si="36"/>
        <v/>
      </c>
      <c r="I420" s="5" t="str">
        <f t="shared" si="37"/>
        <v/>
      </c>
      <c r="J420" s="6">
        <f t="shared" si="38"/>
        <v>0</v>
      </c>
      <c r="K420" s="4" t="str">
        <f t="shared" si="39"/>
        <v/>
      </c>
      <c r="L420" s="4" t="str">
        <f t="shared" si="40"/>
        <v/>
      </c>
      <c r="M420" s="4" t="b" cm="1">
        <f t="array" ref="M420">IF(H420="",FALSE,SUMPRODUCT(--(H$1:H419=H420))&gt;0)</f>
        <v>0</v>
      </c>
      <c r="N420" s="36"/>
      <c r="P420" s="1" t="str">
        <f t="shared" si="41"/>
        <v/>
      </c>
    </row>
    <row r="421" spans="1:16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"&amp;L421,IF(AND(MAX(K$1:K420)&gt;0,N(K421)-MAX(K$1:K420)&gt;180),"⚠ Gap &gt; 3h",IF(_xlfn.LET(_xlpm.q,E421,_xlpm.tk,P421,_xlpm.ld,Log!$P$18,_xlpm.fx,IF(OR(_xlpm.ld="",_xlpm.ld="Full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"&amp;_xlpm.q,""))))&lt;&gt;"",IF(N421&lt;&gt;"","Load OK ✓ (checked)","⚠ "&amp;_xlfn.LET(_xlpm.q,E421,_xlpm.tk,P421,_xlpm.ld,Log!$P$18,_xlpm.fx,IF(OR(_xlpm.ld="",_xlpm.ld="Full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"&amp;_xlpm.q,""))))),IF(C421-I421&gt;=0.99,"next day",IF(C421-I421&gt;0.4,"12h → 24h","")))))))))))</f>
        <v/>
      </c>
      <c r="H421" s="4" t="str">
        <f t="shared" si="36"/>
        <v/>
      </c>
      <c r="I421" s="5" t="str">
        <f t="shared" si="37"/>
        <v/>
      </c>
      <c r="J421" s="6">
        <f t="shared" si="38"/>
        <v>0</v>
      </c>
      <c r="K421" s="4" t="str">
        <f t="shared" si="39"/>
        <v/>
      </c>
      <c r="L421" s="4" t="str">
        <f t="shared" si="40"/>
        <v/>
      </c>
      <c r="M421" s="4" t="b" cm="1">
        <f t="array" ref="M421">IF(H421="",FALSE,SUMPRODUCT(--(H$1:H420=H421))&gt;0)</f>
        <v>0</v>
      </c>
      <c r="N421" s="36"/>
      <c r="P421" s="1" t="str">
        <f t="shared" si="41"/>
        <v/>
      </c>
    </row>
    <row r="422" spans="1:16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"&amp;L422,IF(AND(MAX(K$1:K421)&gt;0,N(K422)-MAX(K$1:K421)&gt;180),"⚠ Gap &gt; 3h",IF(_xlfn.LET(_xlpm.q,E422,_xlpm.tk,P422,_xlpm.ld,Log!$P$18,_xlpm.fx,IF(OR(_xlpm.ld="",_xlpm.ld="Full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"&amp;_xlpm.q,""))))&lt;&gt;"",IF(N422&lt;&gt;"","Load OK ✓ (checked)","⚠ "&amp;_xlfn.LET(_xlpm.q,E422,_xlpm.tk,P422,_xlpm.ld,Log!$P$18,_xlpm.fx,IF(OR(_xlpm.ld="",_xlpm.ld="Full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"&amp;_xlpm.q,""))))),IF(C422-I422&gt;=0.99,"next day",IF(C422-I422&gt;0.4,"12h → 24h","")))))))))))</f>
        <v/>
      </c>
      <c r="H422" s="4" t="str">
        <f t="shared" si="36"/>
        <v/>
      </c>
      <c r="I422" s="5" t="str">
        <f t="shared" si="37"/>
        <v/>
      </c>
      <c r="J422" s="6">
        <f t="shared" si="38"/>
        <v>0</v>
      </c>
      <c r="K422" s="4" t="str">
        <f t="shared" si="39"/>
        <v/>
      </c>
      <c r="L422" s="4" t="str">
        <f t="shared" si="40"/>
        <v/>
      </c>
      <c r="M422" s="4" t="b" cm="1">
        <f t="array" ref="M422">IF(H422="",FALSE,SUMPRODUCT(--(H$1:H421=H422))&gt;0)</f>
        <v>0</v>
      </c>
      <c r="N422" s="36"/>
      <c r="P422" s="1" t="str">
        <f t="shared" si="41"/>
        <v/>
      </c>
    </row>
    <row r="423" spans="1:16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"&amp;L423,IF(AND(MAX(K$1:K422)&gt;0,N(K423)-MAX(K$1:K422)&gt;180),"⚠ Gap &gt; 3h",IF(_xlfn.LET(_xlpm.q,E423,_xlpm.tk,P423,_xlpm.ld,Log!$P$18,_xlpm.fx,IF(OR(_xlpm.ld="",_xlpm.ld="Full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"&amp;_xlpm.q,""))))&lt;&gt;"",IF(N423&lt;&gt;"","Load OK ✓ (checked)","⚠ "&amp;_xlfn.LET(_xlpm.q,E423,_xlpm.tk,P423,_xlpm.ld,Log!$P$18,_xlpm.fx,IF(OR(_xlpm.ld="",_xlpm.ld="Full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"&amp;_xlpm.q,""))))),IF(C423-I423&gt;=0.99,"next day",IF(C423-I423&gt;0.4,"12h → 24h","")))))))))))</f>
        <v/>
      </c>
      <c r="H423" s="4" t="str">
        <f t="shared" si="36"/>
        <v/>
      </c>
      <c r="I423" s="5" t="str">
        <f t="shared" si="37"/>
        <v/>
      </c>
      <c r="J423" s="6">
        <f t="shared" si="38"/>
        <v>0</v>
      </c>
      <c r="K423" s="4" t="str">
        <f t="shared" si="39"/>
        <v/>
      </c>
      <c r="L423" s="4" t="str">
        <f t="shared" si="40"/>
        <v/>
      </c>
      <c r="M423" s="4" t="b" cm="1">
        <f t="array" ref="M423">IF(H423="",FALSE,SUMPRODUCT(--(H$1:H422=H423))&gt;0)</f>
        <v>0</v>
      </c>
      <c r="N423" s="36"/>
      <c r="P423" s="1" t="str">
        <f t="shared" si="41"/>
        <v/>
      </c>
    </row>
    <row r="424" spans="1:16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"&amp;L424,IF(AND(MAX(K$1:K423)&gt;0,N(K424)-MAX(K$1:K423)&gt;180),"⚠ Gap &gt; 3h",IF(_xlfn.LET(_xlpm.q,E424,_xlpm.tk,P424,_xlpm.ld,Log!$P$18,_xlpm.fx,IF(OR(_xlpm.ld="",_xlpm.ld="Full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"&amp;_xlpm.q,""))))&lt;&gt;"",IF(N424&lt;&gt;"","Load OK ✓ (checked)","⚠ "&amp;_xlfn.LET(_xlpm.q,E424,_xlpm.tk,P424,_xlpm.ld,Log!$P$18,_xlpm.fx,IF(OR(_xlpm.ld="",_xlpm.ld="Full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"&amp;_xlpm.q,""))))),IF(C424-I424&gt;=0.99,"next day",IF(C424-I424&gt;0.4,"12h → 24h","")))))))))))</f>
        <v/>
      </c>
      <c r="H424" s="4" t="str">
        <f t="shared" si="36"/>
        <v/>
      </c>
      <c r="I424" s="5" t="str">
        <f t="shared" si="37"/>
        <v/>
      </c>
      <c r="J424" s="6">
        <f t="shared" si="38"/>
        <v>0</v>
      </c>
      <c r="K424" s="4" t="str">
        <f t="shared" si="39"/>
        <v/>
      </c>
      <c r="L424" s="4" t="str">
        <f t="shared" si="40"/>
        <v/>
      </c>
      <c r="M424" s="4" t="b" cm="1">
        <f t="array" ref="M424">IF(H424="",FALSE,SUMPRODUCT(--(H$1:H423=H424))&gt;0)</f>
        <v>0</v>
      </c>
      <c r="N424" s="36"/>
      <c r="P424" s="1" t="str">
        <f t="shared" si="41"/>
        <v/>
      </c>
    </row>
    <row r="425" spans="1:16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"&amp;L425,IF(AND(MAX(K$1:K424)&gt;0,N(K425)-MAX(K$1:K424)&gt;180),"⚠ Gap &gt; 3h",IF(_xlfn.LET(_xlpm.q,E425,_xlpm.tk,P425,_xlpm.ld,Log!$P$18,_xlpm.fx,IF(OR(_xlpm.ld="",_xlpm.ld="Full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"&amp;_xlpm.q,""))))&lt;&gt;"",IF(N425&lt;&gt;"","Load OK ✓ (checked)","⚠ "&amp;_xlfn.LET(_xlpm.q,E425,_xlpm.tk,P425,_xlpm.ld,Log!$P$18,_xlpm.fx,IF(OR(_xlpm.ld="",_xlpm.ld="Full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"&amp;_xlpm.q,""))))),IF(C425-I425&gt;=0.99,"next day",IF(C425-I425&gt;0.4,"12h → 24h","")))))))))))</f>
        <v/>
      </c>
      <c r="H425" s="4" t="str">
        <f t="shared" si="36"/>
        <v/>
      </c>
      <c r="I425" s="5" t="str">
        <f t="shared" si="37"/>
        <v/>
      </c>
      <c r="J425" s="6">
        <f t="shared" si="38"/>
        <v>0</v>
      </c>
      <c r="K425" s="4" t="str">
        <f t="shared" si="39"/>
        <v/>
      </c>
      <c r="L425" s="4" t="str">
        <f t="shared" si="40"/>
        <v/>
      </c>
      <c r="M425" s="4" t="b" cm="1">
        <f t="array" ref="M425">IF(H425="",FALSE,SUMPRODUCT(--(H$1:H424=H425))&gt;0)</f>
        <v>0</v>
      </c>
      <c r="N425" s="36"/>
      <c r="P425" s="1" t="str">
        <f t="shared" si="41"/>
        <v/>
      </c>
    </row>
    <row r="426" spans="1:16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"&amp;L426,IF(AND(MAX(K$1:K425)&gt;0,N(K426)-MAX(K$1:K425)&gt;180),"⚠ Gap &gt; 3h",IF(_xlfn.LET(_xlpm.q,E426,_xlpm.tk,P426,_xlpm.ld,Log!$P$18,_xlpm.fx,IF(OR(_xlpm.ld="",_xlpm.ld="Full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"&amp;_xlpm.q,""))))&lt;&gt;"",IF(N426&lt;&gt;"","Load OK ✓ (checked)","⚠ "&amp;_xlfn.LET(_xlpm.q,E426,_xlpm.tk,P426,_xlpm.ld,Log!$P$18,_xlpm.fx,IF(OR(_xlpm.ld="",_xlpm.ld="Full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"&amp;_xlpm.q,""))))),IF(C426-I426&gt;=0.99,"next day",IF(C426-I426&gt;0.4,"12h → 24h","")))))))))))</f>
        <v/>
      </c>
      <c r="H426" s="4" t="str">
        <f t="shared" si="36"/>
        <v/>
      </c>
      <c r="I426" s="5" t="str">
        <f t="shared" si="37"/>
        <v/>
      </c>
      <c r="J426" s="6">
        <f t="shared" si="38"/>
        <v>0</v>
      </c>
      <c r="K426" s="4" t="str">
        <f t="shared" si="39"/>
        <v/>
      </c>
      <c r="L426" s="4" t="str">
        <f t="shared" si="40"/>
        <v/>
      </c>
      <c r="M426" s="4" t="b" cm="1">
        <f t="array" ref="M426">IF(H426="",FALSE,SUMPRODUCT(--(H$1:H425=H426))&gt;0)</f>
        <v>0</v>
      </c>
      <c r="N426" s="36"/>
      <c r="P426" s="1" t="str">
        <f t="shared" si="41"/>
        <v/>
      </c>
    </row>
    <row r="427" spans="1:16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"&amp;L427,IF(AND(MAX(K$1:K426)&gt;0,N(K427)-MAX(K$1:K426)&gt;180),"⚠ Gap &gt; 3h",IF(_xlfn.LET(_xlpm.q,E427,_xlpm.tk,P427,_xlpm.ld,Log!$P$18,_xlpm.fx,IF(OR(_xlpm.ld="",_xlpm.ld="Full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"&amp;_xlpm.q,""))))&lt;&gt;"",IF(N427&lt;&gt;"","Load OK ✓ (checked)","⚠ "&amp;_xlfn.LET(_xlpm.q,E427,_xlpm.tk,P427,_xlpm.ld,Log!$P$18,_xlpm.fx,IF(OR(_xlpm.ld="",_xlpm.ld="Full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"&amp;_xlpm.q,""))))),IF(C427-I427&gt;=0.99,"next day",IF(C427-I427&gt;0.4,"12h → 24h","")))))))))))</f>
        <v/>
      </c>
      <c r="H427" s="4" t="str">
        <f t="shared" si="36"/>
        <v/>
      </c>
      <c r="I427" s="5" t="str">
        <f t="shared" si="37"/>
        <v/>
      </c>
      <c r="J427" s="6">
        <f t="shared" si="38"/>
        <v>0</v>
      </c>
      <c r="K427" s="4" t="str">
        <f t="shared" si="39"/>
        <v/>
      </c>
      <c r="L427" s="4" t="str">
        <f t="shared" si="40"/>
        <v/>
      </c>
      <c r="M427" s="4" t="b" cm="1">
        <f t="array" ref="M427">IF(H427="",FALSE,SUMPRODUCT(--(H$1:H426=H427))&gt;0)</f>
        <v>0</v>
      </c>
      <c r="N427" s="36"/>
      <c r="P427" s="1" t="str">
        <f t="shared" si="41"/>
        <v/>
      </c>
    </row>
    <row r="428" spans="1:16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"&amp;L428,IF(AND(MAX(K$1:K427)&gt;0,N(K428)-MAX(K$1:K427)&gt;180),"⚠ Gap &gt; 3h",IF(_xlfn.LET(_xlpm.q,E428,_xlpm.tk,P428,_xlpm.ld,Log!$P$18,_xlpm.fx,IF(OR(_xlpm.ld="",_xlpm.ld="Full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"&amp;_xlpm.q,""))))&lt;&gt;"",IF(N428&lt;&gt;"","Load OK ✓ (checked)","⚠ "&amp;_xlfn.LET(_xlpm.q,E428,_xlpm.tk,P428,_xlpm.ld,Log!$P$18,_xlpm.fx,IF(OR(_xlpm.ld="",_xlpm.ld="Full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"&amp;_xlpm.q,""))))),IF(C428-I428&gt;=0.99,"next day",IF(C428-I428&gt;0.4,"12h → 24h","")))))))))))</f>
        <v/>
      </c>
      <c r="H428" s="4" t="str">
        <f t="shared" si="36"/>
        <v/>
      </c>
      <c r="I428" s="5" t="str">
        <f t="shared" si="37"/>
        <v/>
      </c>
      <c r="J428" s="6">
        <f t="shared" si="38"/>
        <v>0</v>
      </c>
      <c r="K428" s="4" t="str">
        <f t="shared" si="39"/>
        <v/>
      </c>
      <c r="L428" s="4" t="str">
        <f t="shared" si="40"/>
        <v/>
      </c>
      <c r="M428" s="4" t="b" cm="1">
        <f t="array" ref="M428">IF(H428="",FALSE,SUMPRODUCT(--(H$1:H427=H428))&gt;0)</f>
        <v>0</v>
      </c>
      <c r="N428" s="36"/>
      <c r="P428" s="1" t="str">
        <f t="shared" si="41"/>
        <v/>
      </c>
    </row>
    <row r="429" spans="1:16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"&amp;L429,IF(AND(MAX(K$1:K428)&gt;0,N(K429)-MAX(K$1:K428)&gt;180),"⚠ Gap &gt; 3h",IF(_xlfn.LET(_xlpm.q,E429,_xlpm.tk,P429,_xlpm.ld,Log!$P$18,_xlpm.fx,IF(OR(_xlpm.ld="",_xlpm.ld="Full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"&amp;_xlpm.q,""))))&lt;&gt;"",IF(N429&lt;&gt;"","Load OK ✓ (checked)","⚠ "&amp;_xlfn.LET(_xlpm.q,E429,_xlpm.tk,P429,_xlpm.ld,Log!$P$18,_xlpm.fx,IF(OR(_xlpm.ld="",_xlpm.ld="Full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"&amp;_xlpm.q,""))))),IF(C429-I429&gt;=0.99,"next day",IF(C429-I429&gt;0.4,"12h → 24h","")))))))))))</f>
        <v/>
      </c>
      <c r="H429" s="4" t="str">
        <f t="shared" si="36"/>
        <v/>
      </c>
      <c r="I429" s="5" t="str">
        <f t="shared" si="37"/>
        <v/>
      </c>
      <c r="J429" s="6">
        <f t="shared" si="38"/>
        <v>0</v>
      </c>
      <c r="K429" s="4" t="str">
        <f t="shared" si="39"/>
        <v/>
      </c>
      <c r="L429" s="4" t="str">
        <f t="shared" si="40"/>
        <v/>
      </c>
      <c r="M429" s="4" t="b" cm="1">
        <f t="array" ref="M429">IF(H429="",FALSE,SUMPRODUCT(--(H$1:H428=H429))&gt;0)</f>
        <v>0</v>
      </c>
      <c r="N429" s="36"/>
      <c r="P429" s="1" t="str">
        <f t="shared" si="41"/>
        <v/>
      </c>
    </row>
    <row r="430" spans="1:16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"&amp;L430,IF(AND(MAX(K$1:K429)&gt;0,N(K430)-MAX(K$1:K429)&gt;180),"⚠ Gap &gt; 3h",IF(_xlfn.LET(_xlpm.q,E430,_xlpm.tk,P430,_xlpm.ld,Log!$P$18,_xlpm.fx,IF(OR(_xlpm.ld="",_xlpm.ld="Full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"&amp;_xlpm.q,""))))&lt;&gt;"",IF(N430&lt;&gt;"","Load OK ✓ (checked)","⚠ "&amp;_xlfn.LET(_xlpm.q,E430,_xlpm.tk,P430,_xlpm.ld,Log!$P$18,_xlpm.fx,IF(OR(_xlpm.ld="",_xlpm.ld="Full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"&amp;_xlpm.q,""))))),IF(C430-I430&gt;=0.99,"next day",IF(C430-I430&gt;0.4,"12h → 24h","")))))))))))</f>
        <v/>
      </c>
      <c r="H430" s="4" t="str">
        <f t="shared" si="36"/>
        <v/>
      </c>
      <c r="I430" s="5" t="str">
        <f t="shared" si="37"/>
        <v/>
      </c>
      <c r="J430" s="6">
        <f t="shared" si="38"/>
        <v>0</v>
      </c>
      <c r="K430" s="4" t="str">
        <f t="shared" si="39"/>
        <v/>
      </c>
      <c r="L430" s="4" t="str">
        <f t="shared" si="40"/>
        <v/>
      </c>
      <c r="M430" s="4" t="b" cm="1">
        <f t="array" ref="M430">IF(H430="",FALSE,SUMPRODUCT(--(H$1:H429=H430))&gt;0)</f>
        <v>0</v>
      </c>
      <c r="N430" s="36"/>
      <c r="P430" s="1" t="str">
        <f t="shared" si="41"/>
        <v/>
      </c>
    </row>
    <row r="431" spans="1:16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"&amp;L431,IF(AND(MAX(K$1:K430)&gt;0,N(K431)-MAX(K$1:K430)&gt;180),"⚠ Gap &gt; 3h",IF(_xlfn.LET(_xlpm.q,E431,_xlpm.tk,P431,_xlpm.ld,Log!$P$18,_xlpm.fx,IF(OR(_xlpm.ld="",_xlpm.ld="Full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"&amp;_xlpm.q,""))))&lt;&gt;"",IF(N431&lt;&gt;"","Load OK ✓ (checked)","⚠ "&amp;_xlfn.LET(_xlpm.q,E431,_xlpm.tk,P431,_xlpm.ld,Log!$P$18,_xlpm.fx,IF(OR(_xlpm.ld="",_xlpm.ld="Full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"&amp;_xlpm.q,""))))),IF(C431-I431&gt;=0.99,"next day",IF(C431-I431&gt;0.4,"12h → 24h","")))))))))))</f>
        <v/>
      </c>
      <c r="H431" s="4" t="str">
        <f t="shared" si="36"/>
        <v/>
      </c>
      <c r="I431" s="5" t="str">
        <f t="shared" si="37"/>
        <v/>
      </c>
      <c r="J431" s="6">
        <f t="shared" si="38"/>
        <v>0</v>
      </c>
      <c r="K431" s="4" t="str">
        <f t="shared" si="39"/>
        <v/>
      </c>
      <c r="L431" s="4" t="str">
        <f t="shared" si="40"/>
        <v/>
      </c>
      <c r="M431" s="4" t="b" cm="1">
        <f t="array" ref="M431">IF(H431="",FALSE,SUMPRODUCT(--(H$1:H430=H431))&gt;0)</f>
        <v>0</v>
      </c>
      <c r="N431" s="36"/>
      <c r="P431" s="1" t="str">
        <f t="shared" si="41"/>
        <v/>
      </c>
    </row>
    <row r="432" spans="1:16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"&amp;L432,IF(AND(MAX(K$1:K431)&gt;0,N(K432)-MAX(K$1:K431)&gt;180),"⚠ Gap &gt; 3h",IF(_xlfn.LET(_xlpm.q,E432,_xlpm.tk,P432,_xlpm.ld,Log!$P$18,_xlpm.fx,IF(OR(_xlpm.ld="",_xlpm.ld="Full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"&amp;_xlpm.q,""))))&lt;&gt;"",IF(N432&lt;&gt;"","Load OK ✓ (checked)","⚠ "&amp;_xlfn.LET(_xlpm.q,E432,_xlpm.tk,P432,_xlpm.ld,Log!$P$18,_xlpm.fx,IF(OR(_xlpm.ld="",_xlpm.ld="Full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"&amp;_xlpm.q,""))))),IF(C432-I432&gt;=0.99,"next day",IF(C432-I432&gt;0.4,"12h → 24h","")))))))))))</f>
        <v/>
      </c>
      <c r="H432" s="4" t="str">
        <f t="shared" si="36"/>
        <v/>
      </c>
      <c r="I432" s="5" t="str">
        <f t="shared" si="37"/>
        <v/>
      </c>
      <c r="J432" s="6">
        <f t="shared" si="38"/>
        <v>0</v>
      </c>
      <c r="K432" s="4" t="str">
        <f t="shared" si="39"/>
        <v/>
      </c>
      <c r="L432" s="4" t="str">
        <f t="shared" si="40"/>
        <v/>
      </c>
      <c r="M432" s="4" t="b" cm="1">
        <f t="array" ref="M432">IF(H432="",FALSE,SUMPRODUCT(--(H$1:H431=H432))&gt;0)</f>
        <v>0</v>
      </c>
      <c r="N432" s="36"/>
      <c r="P432" s="1" t="str">
        <f t="shared" si="41"/>
        <v/>
      </c>
    </row>
    <row r="433" spans="1:16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"&amp;L433,IF(AND(MAX(K$1:K432)&gt;0,N(K433)-MAX(K$1:K432)&gt;180),"⚠ Gap &gt; 3h",IF(_xlfn.LET(_xlpm.q,E433,_xlpm.tk,P433,_xlpm.ld,Log!$P$18,_xlpm.fx,IF(OR(_xlpm.ld="",_xlpm.ld="Full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"&amp;_xlpm.q,""))))&lt;&gt;"",IF(N433&lt;&gt;"","Load OK ✓ (checked)","⚠ "&amp;_xlfn.LET(_xlpm.q,E433,_xlpm.tk,P433,_xlpm.ld,Log!$P$18,_xlpm.fx,IF(OR(_xlpm.ld="",_xlpm.ld="Full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"&amp;_xlpm.q,""))))),IF(C433-I433&gt;=0.99,"next day",IF(C433-I433&gt;0.4,"12h → 24h","")))))))))))</f>
        <v/>
      </c>
      <c r="H433" s="4" t="str">
        <f t="shared" si="36"/>
        <v/>
      </c>
      <c r="I433" s="5" t="str">
        <f t="shared" si="37"/>
        <v/>
      </c>
      <c r="J433" s="6">
        <f t="shared" si="38"/>
        <v>0</v>
      </c>
      <c r="K433" s="4" t="str">
        <f t="shared" si="39"/>
        <v/>
      </c>
      <c r="L433" s="4" t="str">
        <f t="shared" si="40"/>
        <v/>
      </c>
      <c r="M433" s="4" t="b" cm="1">
        <f t="array" ref="M433">IF(H433="",FALSE,SUMPRODUCT(--(H$1:H432=H433))&gt;0)</f>
        <v>0</v>
      </c>
      <c r="N433" s="36"/>
      <c r="P433" s="1" t="str">
        <f t="shared" si="41"/>
        <v/>
      </c>
    </row>
    <row r="434" spans="1:16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"&amp;L434,IF(AND(MAX(K$1:K433)&gt;0,N(K434)-MAX(K$1:K433)&gt;180),"⚠ Gap &gt; 3h",IF(_xlfn.LET(_xlpm.q,E434,_xlpm.tk,P434,_xlpm.ld,Log!$P$18,_xlpm.fx,IF(OR(_xlpm.ld="",_xlpm.ld="Full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"&amp;_xlpm.q,""))))&lt;&gt;"",IF(N434&lt;&gt;"","Load OK ✓ (checked)","⚠ "&amp;_xlfn.LET(_xlpm.q,E434,_xlpm.tk,P434,_xlpm.ld,Log!$P$18,_xlpm.fx,IF(OR(_xlpm.ld="",_xlpm.ld="Full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"&amp;_xlpm.q,""))))),IF(C434-I434&gt;=0.99,"next day",IF(C434-I434&gt;0.4,"12h → 24h","")))))))))))</f>
        <v/>
      </c>
      <c r="H434" s="4" t="str">
        <f t="shared" si="36"/>
        <v/>
      </c>
      <c r="I434" s="5" t="str">
        <f t="shared" si="37"/>
        <v/>
      </c>
      <c r="J434" s="6">
        <f t="shared" si="38"/>
        <v>0</v>
      </c>
      <c r="K434" s="4" t="str">
        <f t="shared" si="39"/>
        <v/>
      </c>
      <c r="L434" s="4" t="str">
        <f t="shared" si="40"/>
        <v/>
      </c>
      <c r="M434" s="4" t="b" cm="1">
        <f t="array" ref="M434">IF(H434="",FALSE,SUMPRODUCT(--(H$1:H433=H434))&gt;0)</f>
        <v>0</v>
      </c>
      <c r="N434" s="36"/>
      <c r="P434" s="1" t="str">
        <f t="shared" si="41"/>
        <v/>
      </c>
    </row>
    <row r="435" spans="1:16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"&amp;L435,IF(AND(MAX(K$1:K434)&gt;0,N(K435)-MAX(K$1:K434)&gt;180),"⚠ Gap &gt; 3h",IF(_xlfn.LET(_xlpm.q,E435,_xlpm.tk,P435,_xlpm.ld,Log!$P$18,_xlpm.fx,IF(OR(_xlpm.ld="",_xlpm.ld="Full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"&amp;_xlpm.q,""))))&lt;&gt;"",IF(N435&lt;&gt;"","Load OK ✓ (checked)","⚠ "&amp;_xlfn.LET(_xlpm.q,E435,_xlpm.tk,P435,_xlpm.ld,Log!$P$18,_xlpm.fx,IF(OR(_xlpm.ld="",_xlpm.ld="Full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"&amp;_xlpm.q,""))))),IF(C435-I435&gt;=0.99,"next day",IF(C435-I435&gt;0.4,"12h → 24h","")))))))))))</f>
        <v/>
      </c>
      <c r="H435" s="4" t="str">
        <f t="shared" si="36"/>
        <v/>
      </c>
      <c r="I435" s="5" t="str">
        <f t="shared" si="37"/>
        <v/>
      </c>
      <c r="J435" s="6">
        <f t="shared" si="38"/>
        <v>0</v>
      </c>
      <c r="K435" s="4" t="str">
        <f t="shared" si="39"/>
        <v/>
      </c>
      <c r="L435" s="4" t="str">
        <f t="shared" si="40"/>
        <v/>
      </c>
      <c r="M435" s="4" t="b" cm="1">
        <f t="array" ref="M435">IF(H435="",FALSE,SUMPRODUCT(--(H$1:H434=H435))&gt;0)</f>
        <v>0</v>
      </c>
      <c r="N435" s="36"/>
      <c r="P435" s="1" t="str">
        <f t="shared" si="41"/>
        <v/>
      </c>
    </row>
    <row r="436" spans="1:16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"&amp;L436,IF(AND(MAX(K$1:K435)&gt;0,N(K436)-MAX(K$1:K435)&gt;180),"⚠ Gap &gt; 3h",IF(_xlfn.LET(_xlpm.q,E436,_xlpm.tk,P436,_xlpm.ld,Log!$P$18,_xlpm.fx,IF(OR(_xlpm.ld="",_xlpm.ld="Full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"&amp;_xlpm.q,""))))&lt;&gt;"",IF(N436&lt;&gt;"","Load OK ✓ (checked)","⚠ "&amp;_xlfn.LET(_xlpm.q,E436,_xlpm.tk,P436,_xlpm.ld,Log!$P$18,_xlpm.fx,IF(OR(_xlpm.ld="",_xlpm.ld="Full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"&amp;_xlpm.q,""))))),IF(C436-I436&gt;=0.99,"next day",IF(C436-I436&gt;0.4,"12h → 24h","")))))))))))</f>
        <v/>
      </c>
      <c r="H436" s="4" t="str">
        <f t="shared" si="36"/>
        <v/>
      </c>
      <c r="I436" s="5" t="str">
        <f t="shared" si="37"/>
        <v/>
      </c>
      <c r="J436" s="6">
        <f t="shared" si="38"/>
        <v>0</v>
      </c>
      <c r="K436" s="4" t="str">
        <f t="shared" si="39"/>
        <v/>
      </c>
      <c r="L436" s="4" t="str">
        <f t="shared" si="40"/>
        <v/>
      </c>
      <c r="M436" s="4" t="b" cm="1">
        <f t="array" ref="M436">IF(H436="",FALSE,SUMPRODUCT(--(H$1:H435=H436))&gt;0)</f>
        <v>0</v>
      </c>
      <c r="N436" s="36"/>
      <c r="P436" s="1" t="str">
        <f t="shared" si="41"/>
        <v/>
      </c>
    </row>
    <row r="437" spans="1:16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"&amp;L437,IF(AND(MAX(K$1:K436)&gt;0,N(K437)-MAX(K$1:K436)&gt;180),"⚠ Gap &gt; 3h",IF(_xlfn.LET(_xlpm.q,E437,_xlpm.tk,P437,_xlpm.ld,Log!$P$18,_xlpm.fx,IF(OR(_xlpm.ld="",_xlpm.ld="Full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"&amp;_xlpm.q,""))))&lt;&gt;"",IF(N437&lt;&gt;"","Load OK ✓ (checked)","⚠ "&amp;_xlfn.LET(_xlpm.q,E437,_xlpm.tk,P437,_xlpm.ld,Log!$P$18,_xlpm.fx,IF(OR(_xlpm.ld="",_xlpm.ld="Full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"&amp;_xlpm.q,""))))),IF(C437-I437&gt;=0.99,"next day",IF(C437-I437&gt;0.4,"12h → 24h","")))))))))))</f>
        <v/>
      </c>
      <c r="H437" s="4" t="str">
        <f t="shared" si="36"/>
        <v/>
      </c>
      <c r="I437" s="5" t="str">
        <f t="shared" si="37"/>
        <v/>
      </c>
      <c r="J437" s="6">
        <f t="shared" si="38"/>
        <v>0</v>
      </c>
      <c r="K437" s="4" t="str">
        <f t="shared" si="39"/>
        <v/>
      </c>
      <c r="L437" s="4" t="str">
        <f t="shared" si="40"/>
        <v/>
      </c>
      <c r="M437" s="4" t="b" cm="1">
        <f t="array" ref="M437">IF(H437="",FALSE,SUMPRODUCT(--(H$1:H436=H437))&gt;0)</f>
        <v>0</v>
      </c>
      <c r="N437" s="36"/>
      <c r="P437" s="1" t="str">
        <f t="shared" si="41"/>
        <v/>
      </c>
    </row>
    <row r="438" spans="1:16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"&amp;L438,IF(AND(MAX(K$1:K437)&gt;0,N(K438)-MAX(K$1:K437)&gt;180),"⚠ Gap &gt; 3h",IF(_xlfn.LET(_xlpm.q,E438,_xlpm.tk,P438,_xlpm.ld,Log!$P$18,_xlpm.fx,IF(OR(_xlpm.ld="",_xlpm.ld="Full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"&amp;_xlpm.q,""))))&lt;&gt;"",IF(N438&lt;&gt;"","Load OK ✓ (checked)","⚠ "&amp;_xlfn.LET(_xlpm.q,E438,_xlpm.tk,P438,_xlpm.ld,Log!$P$18,_xlpm.fx,IF(OR(_xlpm.ld="",_xlpm.ld="Full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"&amp;_xlpm.q,""))))),IF(C438-I438&gt;=0.99,"next day",IF(C438-I438&gt;0.4,"12h → 24h","")))))))))))</f>
        <v/>
      </c>
      <c r="H438" s="4" t="str">
        <f t="shared" si="36"/>
        <v/>
      </c>
      <c r="I438" s="5" t="str">
        <f t="shared" si="37"/>
        <v/>
      </c>
      <c r="J438" s="6">
        <f t="shared" si="38"/>
        <v>0</v>
      </c>
      <c r="K438" s="4" t="str">
        <f t="shared" si="39"/>
        <v/>
      </c>
      <c r="L438" s="4" t="str">
        <f t="shared" si="40"/>
        <v/>
      </c>
      <c r="M438" s="4" t="b" cm="1">
        <f t="array" ref="M438">IF(H438="",FALSE,SUMPRODUCT(--(H$1:H437=H438))&gt;0)</f>
        <v>0</v>
      </c>
      <c r="N438" s="36"/>
      <c r="P438" s="1" t="str">
        <f t="shared" si="41"/>
        <v/>
      </c>
    </row>
    <row r="439" spans="1:16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"&amp;L439,IF(AND(MAX(K$1:K438)&gt;0,N(K439)-MAX(K$1:K438)&gt;180),"⚠ Gap &gt; 3h",IF(_xlfn.LET(_xlpm.q,E439,_xlpm.tk,P439,_xlpm.ld,Log!$P$18,_xlpm.fx,IF(OR(_xlpm.ld="",_xlpm.ld="Full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"&amp;_xlpm.q,""))))&lt;&gt;"",IF(N439&lt;&gt;"","Load OK ✓ (checked)","⚠ "&amp;_xlfn.LET(_xlpm.q,E439,_xlpm.tk,P439,_xlpm.ld,Log!$P$18,_xlpm.fx,IF(OR(_xlpm.ld="",_xlpm.ld="Full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"&amp;_xlpm.q,""))))),IF(C439-I439&gt;=0.99,"next day",IF(C439-I439&gt;0.4,"12h → 24h","")))))))))))</f>
        <v/>
      </c>
      <c r="H439" s="4" t="str">
        <f t="shared" si="36"/>
        <v/>
      </c>
      <c r="I439" s="5" t="str">
        <f t="shared" si="37"/>
        <v/>
      </c>
      <c r="J439" s="6">
        <f t="shared" si="38"/>
        <v>0</v>
      </c>
      <c r="K439" s="4" t="str">
        <f t="shared" si="39"/>
        <v/>
      </c>
      <c r="L439" s="4" t="str">
        <f t="shared" si="40"/>
        <v/>
      </c>
      <c r="M439" s="4" t="b" cm="1">
        <f t="array" ref="M439">IF(H439="",FALSE,SUMPRODUCT(--(H$1:H438=H439))&gt;0)</f>
        <v>0</v>
      </c>
      <c r="N439" s="36"/>
      <c r="P439" s="1" t="str">
        <f t="shared" si="41"/>
        <v/>
      </c>
    </row>
    <row r="440" spans="1:16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"&amp;L440,IF(AND(MAX(K$1:K439)&gt;0,N(K440)-MAX(K$1:K439)&gt;180),"⚠ Gap &gt; 3h",IF(_xlfn.LET(_xlpm.q,E440,_xlpm.tk,P440,_xlpm.ld,Log!$P$18,_xlpm.fx,IF(OR(_xlpm.ld="",_xlpm.ld="Full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"&amp;_xlpm.q,""))))&lt;&gt;"",IF(N440&lt;&gt;"","Load OK ✓ (checked)","⚠ "&amp;_xlfn.LET(_xlpm.q,E440,_xlpm.tk,P440,_xlpm.ld,Log!$P$18,_xlpm.fx,IF(OR(_xlpm.ld="",_xlpm.ld="Full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"&amp;_xlpm.q,""))))),IF(C440-I440&gt;=0.99,"next day",IF(C440-I440&gt;0.4,"12h → 24h","")))))))))))</f>
        <v/>
      </c>
      <c r="H440" s="4" t="str">
        <f t="shared" si="36"/>
        <v/>
      </c>
      <c r="I440" s="5" t="str">
        <f t="shared" si="37"/>
        <v/>
      </c>
      <c r="J440" s="6">
        <f t="shared" si="38"/>
        <v>0</v>
      </c>
      <c r="K440" s="4" t="str">
        <f t="shared" si="39"/>
        <v/>
      </c>
      <c r="L440" s="4" t="str">
        <f t="shared" si="40"/>
        <v/>
      </c>
      <c r="M440" s="4" t="b" cm="1">
        <f t="array" ref="M440">IF(H440="",FALSE,SUMPRODUCT(--(H$1:H439=H440))&gt;0)</f>
        <v>0</v>
      </c>
      <c r="N440" s="36"/>
      <c r="P440" s="1" t="str">
        <f t="shared" si="41"/>
        <v/>
      </c>
    </row>
    <row r="441" spans="1:16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"&amp;L441,IF(AND(MAX(K$1:K440)&gt;0,N(K441)-MAX(K$1:K440)&gt;180),"⚠ Gap &gt; 3h",IF(_xlfn.LET(_xlpm.q,E441,_xlpm.tk,P441,_xlpm.ld,Log!$P$18,_xlpm.fx,IF(OR(_xlpm.ld="",_xlpm.ld="Full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"&amp;_xlpm.q,""))))&lt;&gt;"",IF(N441&lt;&gt;"","Load OK ✓ (checked)","⚠ "&amp;_xlfn.LET(_xlpm.q,E441,_xlpm.tk,P441,_xlpm.ld,Log!$P$18,_xlpm.fx,IF(OR(_xlpm.ld="",_xlpm.ld="Full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"&amp;_xlpm.q,""))))),IF(C441-I441&gt;=0.99,"next day",IF(C441-I441&gt;0.4,"12h → 24h","")))))))))))</f>
        <v/>
      </c>
      <c r="H441" s="4" t="str">
        <f t="shared" si="36"/>
        <v/>
      </c>
      <c r="I441" s="5" t="str">
        <f t="shared" si="37"/>
        <v/>
      </c>
      <c r="J441" s="6">
        <f t="shared" si="38"/>
        <v>0</v>
      </c>
      <c r="K441" s="4" t="str">
        <f t="shared" si="39"/>
        <v/>
      </c>
      <c r="L441" s="4" t="str">
        <f t="shared" si="40"/>
        <v/>
      </c>
      <c r="M441" s="4" t="b" cm="1">
        <f t="array" ref="M441">IF(H441="",FALSE,SUMPRODUCT(--(H$1:H440=H441))&gt;0)</f>
        <v>0</v>
      </c>
      <c r="N441" s="36"/>
      <c r="P441" s="1" t="str">
        <f t="shared" si="41"/>
        <v/>
      </c>
    </row>
    <row r="442" spans="1:16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"&amp;L442,IF(AND(MAX(K$1:K441)&gt;0,N(K442)-MAX(K$1:K441)&gt;180),"⚠ Gap &gt; 3h",IF(_xlfn.LET(_xlpm.q,E442,_xlpm.tk,P442,_xlpm.ld,Log!$P$18,_xlpm.fx,IF(OR(_xlpm.ld="",_xlpm.ld="Full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"&amp;_xlpm.q,""))))&lt;&gt;"",IF(N442&lt;&gt;"","Load OK ✓ (checked)","⚠ "&amp;_xlfn.LET(_xlpm.q,E442,_xlpm.tk,P442,_xlpm.ld,Log!$P$18,_xlpm.fx,IF(OR(_xlpm.ld="",_xlpm.ld="Full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"&amp;_xlpm.q,""))))),IF(C442-I442&gt;=0.99,"next day",IF(C442-I442&gt;0.4,"12h → 24h","")))))))))))</f>
        <v/>
      </c>
      <c r="H442" s="4" t="str">
        <f t="shared" si="36"/>
        <v/>
      </c>
      <c r="I442" s="5" t="str">
        <f t="shared" si="37"/>
        <v/>
      </c>
      <c r="J442" s="6">
        <f t="shared" si="38"/>
        <v>0</v>
      </c>
      <c r="K442" s="4" t="str">
        <f t="shared" si="39"/>
        <v/>
      </c>
      <c r="L442" s="4" t="str">
        <f t="shared" si="40"/>
        <v/>
      </c>
      <c r="M442" s="4" t="b" cm="1">
        <f t="array" ref="M442">IF(H442="",FALSE,SUMPRODUCT(--(H$1:H441=H442))&gt;0)</f>
        <v>0</v>
      </c>
      <c r="N442" s="36"/>
      <c r="P442" s="1" t="str">
        <f t="shared" si="41"/>
        <v/>
      </c>
    </row>
    <row r="443" spans="1:16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"&amp;L443,IF(AND(MAX(K$1:K442)&gt;0,N(K443)-MAX(K$1:K442)&gt;180),"⚠ Gap &gt; 3h",IF(_xlfn.LET(_xlpm.q,E443,_xlpm.tk,P443,_xlpm.ld,Log!$P$18,_xlpm.fx,IF(OR(_xlpm.ld="",_xlpm.ld="Full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"&amp;_xlpm.q,""))))&lt;&gt;"",IF(N443&lt;&gt;"","Load OK ✓ (checked)","⚠ "&amp;_xlfn.LET(_xlpm.q,E443,_xlpm.tk,P443,_xlpm.ld,Log!$P$18,_xlpm.fx,IF(OR(_xlpm.ld="",_xlpm.ld="Full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"&amp;_xlpm.q,""))))),IF(C443-I443&gt;=0.99,"next day",IF(C443-I443&gt;0.4,"12h → 24h","")))))))))))</f>
        <v/>
      </c>
      <c r="H443" s="4" t="str">
        <f t="shared" si="36"/>
        <v/>
      </c>
      <c r="I443" s="5" t="str">
        <f t="shared" si="37"/>
        <v/>
      </c>
      <c r="J443" s="6">
        <f t="shared" si="38"/>
        <v>0</v>
      </c>
      <c r="K443" s="4" t="str">
        <f t="shared" si="39"/>
        <v/>
      </c>
      <c r="L443" s="4" t="str">
        <f t="shared" si="40"/>
        <v/>
      </c>
      <c r="M443" s="4" t="b" cm="1">
        <f t="array" ref="M443">IF(H443="",FALSE,SUMPRODUCT(--(H$1:H442=H443))&gt;0)</f>
        <v>0</v>
      </c>
      <c r="N443" s="36"/>
      <c r="P443" s="1" t="str">
        <f t="shared" si="41"/>
        <v/>
      </c>
    </row>
    <row r="444" spans="1:16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"&amp;L444,IF(AND(MAX(K$1:K443)&gt;0,N(K444)-MAX(K$1:K443)&gt;180),"⚠ Gap &gt; 3h",IF(_xlfn.LET(_xlpm.q,E444,_xlpm.tk,P444,_xlpm.ld,Log!$P$18,_xlpm.fx,IF(OR(_xlpm.ld="",_xlpm.ld="Full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"&amp;_xlpm.q,""))))&lt;&gt;"",IF(N444&lt;&gt;"","Load OK ✓ (checked)","⚠ "&amp;_xlfn.LET(_xlpm.q,E444,_xlpm.tk,P444,_xlpm.ld,Log!$P$18,_xlpm.fx,IF(OR(_xlpm.ld="",_xlpm.ld="Full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"&amp;_xlpm.q,""))))),IF(C444-I444&gt;=0.99,"next day",IF(C444-I444&gt;0.4,"12h → 24h","")))))))))))</f>
        <v/>
      </c>
      <c r="H444" s="4" t="str">
        <f t="shared" si="36"/>
        <v/>
      </c>
      <c r="I444" s="5" t="str">
        <f t="shared" si="37"/>
        <v/>
      </c>
      <c r="J444" s="6">
        <f t="shared" si="38"/>
        <v>0</v>
      </c>
      <c r="K444" s="4" t="str">
        <f t="shared" si="39"/>
        <v/>
      </c>
      <c r="L444" s="4" t="str">
        <f t="shared" si="40"/>
        <v/>
      </c>
      <c r="M444" s="4" t="b" cm="1">
        <f t="array" ref="M444">IF(H444="",FALSE,SUMPRODUCT(--(H$1:H443=H444))&gt;0)</f>
        <v>0</v>
      </c>
      <c r="N444" s="36"/>
      <c r="P444" s="1" t="str">
        <f t="shared" si="41"/>
        <v/>
      </c>
    </row>
    <row r="445" spans="1:16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"&amp;L445,IF(AND(MAX(K$1:K444)&gt;0,N(K445)-MAX(K$1:K444)&gt;180),"⚠ Gap &gt; 3h",IF(_xlfn.LET(_xlpm.q,E445,_xlpm.tk,P445,_xlpm.ld,Log!$P$18,_xlpm.fx,IF(OR(_xlpm.ld="",_xlpm.ld="Full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"&amp;_xlpm.q,""))))&lt;&gt;"",IF(N445&lt;&gt;"","Load OK ✓ (checked)","⚠ "&amp;_xlfn.LET(_xlpm.q,E445,_xlpm.tk,P445,_xlpm.ld,Log!$P$18,_xlpm.fx,IF(OR(_xlpm.ld="",_xlpm.ld="Full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"&amp;_xlpm.q,""))))),IF(C445-I445&gt;=0.99,"next day",IF(C445-I445&gt;0.4,"12h → 24h","")))))))))))</f>
        <v/>
      </c>
      <c r="H445" s="4" t="str">
        <f t="shared" si="36"/>
        <v/>
      </c>
      <c r="I445" s="5" t="str">
        <f t="shared" si="37"/>
        <v/>
      </c>
      <c r="J445" s="6">
        <f t="shared" si="38"/>
        <v>0</v>
      </c>
      <c r="K445" s="4" t="str">
        <f t="shared" si="39"/>
        <v/>
      </c>
      <c r="L445" s="4" t="str">
        <f t="shared" si="40"/>
        <v/>
      </c>
      <c r="M445" s="4" t="b" cm="1">
        <f t="array" ref="M445">IF(H445="",FALSE,SUMPRODUCT(--(H$1:H444=H445))&gt;0)</f>
        <v>0</v>
      </c>
      <c r="N445" s="36"/>
      <c r="P445" s="1" t="str">
        <f t="shared" si="41"/>
        <v/>
      </c>
    </row>
    <row r="446" spans="1:16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"&amp;L446,IF(AND(MAX(K$1:K445)&gt;0,N(K446)-MAX(K$1:K445)&gt;180),"⚠ Gap &gt; 3h",IF(_xlfn.LET(_xlpm.q,E446,_xlpm.tk,P446,_xlpm.ld,Log!$P$18,_xlpm.fx,IF(OR(_xlpm.ld="",_xlpm.ld="Full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"&amp;_xlpm.q,""))))&lt;&gt;"",IF(N446&lt;&gt;"","Load OK ✓ (checked)","⚠ "&amp;_xlfn.LET(_xlpm.q,E446,_xlpm.tk,P446,_xlpm.ld,Log!$P$18,_xlpm.fx,IF(OR(_xlpm.ld="",_xlpm.ld="Full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"&amp;_xlpm.q,""))))),IF(C446-I446&gt;=0.99,"next day",IF(C446-I446&gt;0.4,"12h → 24h","")))))))))))</f>
        <v/>
      </c>
      <c r="H446" s="4" t="str">
        <f t="shared" si="36"/>
        <v/>
      </c>
      <c r="I446" s="5" t="str">
        <f t="shared" si="37"/>
        <v/>
      </c>
      <c r="J446" s="6">
        <f t="shared" si="38"/>
        <v>0</v>
      </c>
      <c r="K446" s="4" t="str">
        <f t="shared" si="39"/>
        <v/>
      </c>
      <c r="L446" s="4" t="str">
        <f t="shared" si="40"/>
        <v/>
      </c>
      <c r="M446" s="4" t="b" cm="1">
        <f t="array" ref="M446">IF(H446="",FALSE,SUMPRODUCT(--(H$1:H445=H446))&gt;0)</f>
        <v>0</v>
      </c>
      <c r="N446" s="36"/>
      <c r="P446" s="1" t="str">
        <f t="shared" si="41"/>
        <v/>
      </c>
    </row>
    <row r="447" spans="1:16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"&amp;L447,IF(AND(MAX(K$1:K446)&gt;0,N(K447)-MAX(K$1:K446)&gt;180),"⚠ Gap &gt; 3h",IF(_xlfn.LET(_xlpm.q,E447,_xlpm.tk,P447,_xlpm.ld,Log!$P$18,_xlpm.fx,IF(OR(_xlpm.ld="",_xlpm.ld="Full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"&amp;_xlpm.q,""))))&lt;&gt;"",IF(N447&lt;&gt;"","Load OK ✓ (checked)","⚠ "&amp;_xlfn.LET(_xlpm.q,E447,_xlpm.tk,P447,_xlpm.ld,Log!$P$18,_xlpm.fx,IF(OR(_xlpm.ld="",_xlpm.ld="Full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"&amp;_xlpm.q,""))))),IF(C447-I447&gt;=0.99,"next day",IF(C447-I447&gt;0.4,"12h → 24h","")))))))))))</f>
        <v/>
      </c>
      <c r="H447" s="4" t="str">
        <f t="shared" si="36"/>
        <v/>
      </c>
      <c r="I447" s="5" t="str">
        <f t="shared" si="37"/>
        <v/>
      </c>
      <c r="J447" s="6">
        <f t="shared" si="38"/>
        <v>0</v>
      </c>
      <c r="K447" s="4" t="str">
        <f t="shared" si="39"/>
        <v/>
      </c>
      <c r="L447" s="4" t="str">
        <f t="shared" si="40"/>
        <v/>
      </c>
      <c r="M447" s="4" t="b" cm="1">
        <f t="array" ref="M447">IF(H447="",FALSE,SUMPRODUCT(--(H$1:H446=H447))&gt;0)</f>
        <v>0</v>
      </c>
      <c r="N447" s="36"/>
      <c r="P447" s="1" t="str">
        <f t="shared" si="41"/>
        <v/>
      </c>
    </row>
    <row r="448" spans="1:16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"&amp;L448,IF(AND(MAX(K$1:K447)&gt;0,N(K448)-MAX(K$1:K447)&gt;180),"⚠ Gap &gt; 3h",IF(_xlfn.LET(_xlpm.q,E448,_xlpm.tk,P448,_xlpm.ld,Log!$P$18,_xlpm.fx,IF(OR(_xlpm.ld="",_xlpm.ld="Full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"&amp;_xlpm.q,""))))&lt;&gt;"",IF(N448&lt;&gt;"","Load OK ✓ (checked)","⚠ "&amp;_xlfn.LET(_xlpm.q,E448,_xlpm.tk,P448,_xlpm.ld,Log!$P$18,_xlpm.fx,IF(OR(_xlpm.ld="",_xlpm.ld="Full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"&amp;_xlpm.q,""))))),IF(C448-I448&gt;=0.99,"next day",IF(C448-I448&gt;0.4,"12h → 24h","")))))))))))</f>
        <v/>
      </c>
      <c r="H448" s="4" t="str">
        <f t="shared" si="36"/>
        <v/>
      </c>
      <c r="I448" s="5" t="str">
        <f t="shared" si="37"/>
        <v/>
      </c>
      <c r="J448" s="6">
        <f t="shared" si="38"/>
        <v>0</v>
      </c>
      <c r="K448" s="4" t="str">
        <f t="shared" si="39"/>
        <v/>
      </c>
      <c r="L448" s="4" t="str">
        <f t="shared" si="40"/>
        <v/>
      </c>
      <c r="M448" s="4" t="b" cm="1">
        <f t="array" ref="M448">IF(H448="",FALSE,SUMPRODUCT(--(H$1:H447=H448))&gt;0)</f>
        <v>0</v>
      </c>
      <c r="N448" s="36"/>
      <c r="P448" s="1" t="str">
        <f t="shared" si="41"/>
        <v/>
      </c>
    </row>
    <row r="449" spans="1:16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"&amp;L449,IF(AND(MAX(K$1:K448)&gt;0,N(K449)-MAX(K$1:K448)&gt;180),"⚠ Gap &gt; 3h",IF(_xlfn.LET(_xlpm.q,E449,_xlpm.tk,P449,_xlpm.ld,Log!$P$18,_xlpm.fx,IF(OR(_xlpm.ld="",_xlpm.ld="Full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"&amp;_xlpm.q,""))))&lt;&gt;"",IF(N449&lt;&gt;"","Load OK ✓ (checked)","⚠ "&amp;_xlfn.LET(_xlpm.q,E449,_xlpm.tk,P449,_xlpm.ld,Log!$P$18,_xlpm.fx,IF(OR(_xlpm.ld="",_xlpm.ld="Full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"&amp;_xlpm.q,""))))),IF(C449-I449&gt;=0.99,"next day",IF(C449-I449&gt;0.4,"12h → 24h","")))))))))))</f>
        <v/>
      </c>
      <c r="H449" s="4" t="str">
        <f t="shared" si="36"/>
        <v/>
      </c>
      <c r="I449" s="5" t="str">
        <f t="shared" si="37"/>
        <v/>
      </c>
      <c r="J449" s="6">
        <f t="shared" si="38"/>
        <v>0</v>
      </c>
      <c r="K449" s="4" t="str">
        <f t="shared" si="39"/>
        <v/>
      </c>
      <c r="L449" s="4" t="str">
        <f t="shared" si="40"/>
        <v/>
      </c>
      <c r="M449" s="4" t="b" cm="1">
        <f t="array" ref="M449">IF(H449="",FALSE,SUMPRODUCT(--(H$1:H448=H449))&gt;0)</f>
        <v>0</v>
      </c>
      <c r="N449" s="36"/>
      <c r="P449" s="1" t="str">
        <f t="shared" si="41"/>
        <v/>
      </c>
    </row>
    <row r="450" spans="1:16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"&amp;L450,IF(AND(MAX(K$1:K449)&gt;0,N(K450)-MAX(K$1:K449)&gt;180),"⚠ Gap &gt; 3h",IF(_xlfn.LET(_xlpm.q,E450,_xlpm.tk,P450,_xlpm.ld,Log!$P$18,_xlpm.fx,IF(OR(_xlpm.ld="",_xlpm.ld="Full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"&amp;_xlpm.q,""))))&lt;&gt;"",IF(N450&lt;&gt;"","Load OK ✓ (checked)","⚠ "&amp;_xlfn.LET(_xlpm.q,E450,_xlpm.tk,P450,_xlpm.ld,Log!$P$18,_xlpm.fx,IF(OR(_xlpm.ld="",_xlpm.ld="Full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"&amp;_xlpm.q,""))))),IF(C450-I450&gt;=0.99,"next day",IF(C450-I450&gt;0.4,"12h → 24h","")))))))))))</f>
        <v/>
      </c>
      <c r="H450" s="4" t="str">
        <f t="shared" ref="H450:H513" si="42">IF(B450="","",_xlfn.LET(_xlpm.t,TRIM(B450),IF(LEFT(_xlpm.t,1)="[",IFERROR(TRIM(MID(_xlpm.t,FIND(": ",_xlpm.t,FIND("]",_xlpm.t))+2,500)),_xlpm.t),_xlpm.t)))</f>
        <v/>
      </c>
      <c r="I450" s="5" t="str">
        <f t="shared" ref="I450:I513" si="43">IF(H450="","",IFERROR(TIMEVALUE(TRIM(SUBSTITUTE(SUBSTITUTE(MID(H450,SEARCH(":",H450)-2,5),".",""),"*",""))),""))</f>
        <v/>
      </c>
      <c r="J450" s="6">
        <f t="shared" ref="J450:J513" si="44">IF(OR(B450="",F450="",M450),0,IF(ISNUMBER(F450),F450,N(E450)))</f>
        <v>0</v>
      </c>
      <c r="K450" s="4" t="str">
        <f t="shared" ref="K450:K513" si="45">IF(OR(C450="",M450),"",ROUND(C450*1440,0))</f>
        <v/>
      </c>
      <c r="L450" s="4" t="str">
        <f t="shared" ref="L450:L513" si="46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  <c r="N450" s="36"/>
      <c r="P450" s="1" t="str">
        <f t="shared" ref="P450:P513" si="47">IF(OR(H450="",NOT(ISNUMBER(L450))),"",IFERROR(_xlfn.LET(_xlpm.t,TRIM(SUBSTITUTE(SUBSTITUTE(SUBSTITUTE(H450,"*",""),"_",""),"."," ")),_xlpm.s,TRIM(MID(SUBSTITUTE(_xlpm.t," ",REPT(" ",100)),101,100)),IF(AND(LEN(_xlpm.s)=3,ISNUMBER(--_xlpm.s)),--_xlpm.s,"")),""))</f>
        <v/>
      </c>
    </row>
    <row r="451" spans="1:16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"&amp;L451,IF(AND(MAX(K$1:K450)&gt;0,N(K451)-MAX(K$1:K450)&gt;180),"⚠ Gap &gt; 3h",IF(_xlfn.LET(_xlpm.q,E451,_xlpm.tk,P451,_xlpm.ld,Log!$P$18,_xlpm.fx,IF(OR(_xlpm.ld="",_xlpm.ld="Full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"&amp;_xlpm.q,""))))&lt;&gt;"",IF(N451&lt;&gt;"","Load OK ✓ (checked)","⚠ "&amp;_xlfn.LET(_xlpm.q,E451,_xlpm.tk,P451,_xlpm.ld,Log!$P$18,_xlpm.fx,IF(OR(_xlpm.ld="",_xlpm.ld="Full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"&amp;_xlpm.q,""))))),IF(C451-I451&gt;=0.99,"next day",IF(C451-I451&gt;0.4,"12h → 24h","")))))))))))</f>
        <v/>
      </c>
      <c r="H451" s="4" t="str">
        <f t="shared" si="42"/>
        <v/>
      </c>
      <c r="I451" s="5" t="str">
        <f t="shared" si="43"/>
        <v/>
      </c>
      <c r="J451" s="6">
        <f t="shared" si="44"/>
        <v>0</v>
      </c>
      <c r="K451" s="4" t="str">
        <f t="shared" si="45"/>
        <v/>
      </c>
      <c r="L451" s="4" t="str">
        <f t="shared" si="46"/>
        <v/>
      </c>
      <c r="M451" s="4" t="b" cm="1">
        <f t="array" ref="M451">IF(H451="",FALSE,SUMPRODUCT(--(H$1:H450=H451))&gt;0)</f>
        <v>0</v>
      </c>
      <c r="N451" s="36"/>
      <c r="P451" s="1" t="str">
        <f t="shared" si="47"/>
        <v/>
      </c>
    </row>
    <row r="452" spans="1:16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"&amp;L452,IF(AND(MAX(K$1:K451)&gt;0,N(K452)-MAX(K$1:K451)&gt;180),"⚠ Gap &gt; 3h",IF(_xlfn.LET(_xlpm.q,E452,_xlpm.tk,P452,_xlpm.ld,Log!$P$18,_xlpm.fx,IF(OR(_xlpm.ld="",_xlpm.ld="Full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"&amp;_xlpm.q,""))))&lt;&gt;"",IF(N452&lt;&gt;"","Load OK ✓ (checked)","⚠ "&amp;_xlfn.LET(_xlpm.q,E452,_xlpm.tk,P452,_xlpm.ld,Log!$P$18,_xlpm.fx,IF(OR(_xlpm.ld="",_xlpm.ld="Full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"&amp;_xlpm.q,""))))),IF(C452-I452&gt;=0.99,"next day",IF(C452-I452&gt;0.4,"12h → 24h","")))))))))))</f>
        <v/>
      </c>
      <c r="H452" s="4" t="str">
        <f t="shared" si="42"/>
        <v/>
      </c>
      <c r="I452" s="5" t="str">
        <f t="shared" si="43"/>
        <v/>
      </c>
      <c r="J452" s="6">
        <f t="shared" si="44"/>
        <v>0</v>
      </c>
      <c r="K452" s="4" t="str">
        <f t="shared" si="45"/>
        <v/>
      </c>
      <c r="L452" s="4" t="str">
        <f t="shared" si="46"/>
        <v/>
      </c>
      <c r="M452" s="4" t="b" cm="1">
        <f t="array" ref="M452">IF(H452="",FALSE,SUMPRODUCT(--(H$1:H451=H452))&gt;0)</f>
        <v>0</v>
      </c>
      <c r="N452" s="36"/>
      <c r="P452" s="1" t="str">
        <f t="shared" si="47"/>
        <v/>
      </c>
    </row>
    <row r="453" spans="1:16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"&amp;L453,IF(AND(MAX(K$1:K452)&gt;0,N(K453)-MAX(K$1:K452)&gt;180),"⚠ Gap &gt; 3h",IF(_xlfn.LET(_xlpm.q,E453,_xlpm.tk,P453,_xlpm.ld,Log!$P$18,_xlpm.fx,IF(OR(_xlpm.ld="",_xlpm.ld="Full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"&amp;_xlpm.q,""))))&lt;&gt;"",IF(N453&lt;&gt;"","Load OK ✓ (checked)","⚠ "&amp;_xlfn.LET(_xlpm.q,E453,_xlpm.tk,P453,_xlpm.ld,Log!$P$18,_xlpm.fx,IF(OR(_xlpm.ld="",_xlpm.ld="Full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"&amp;_xlpm.q,""))))),IF(C453-I453&gt;=0.99,"next day",IF(C453-I453&gt;0.4,"12h → 24h","")))))))))))</f>
        <v/>
      </c>
      <c r="H453" s="4" t="str">
        <f t="shared" si="42"/>
        <v/>
      </c>
      <c r="I453" s="5" t="str">
        <f t="shared" si="43"/>
        <v/>
      </c>
      <c r="J453" s="6">
        <f t="shared" si="44"/>
        <v>0</v>
      </c>
      <c r="K453" s="4" t="str">
        <f t="shared" si="45"/>
        <v/>
      </c>
      <c r="L453" s="4" t="str">
        <f t="shared" si="46"/>
        <v/>
      </c>
      <c r="M453" s="4" t="b" cm="1">
        <f t="array" ref="M453">IF(H453="",FALSE,SUMPRODUCT(--(H$1:H452=H453))&gt;0)</f>
        <v>0</v>
      </c>
      <c r="N453" s="36"/>
      <c r="P453" s="1" t="str">
        <f t="shared" si="47"/>
        <v/>
      </c>
    </row>
    <row r="454" spans="1:16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"&amp;L454,IF(AND(MAX(K$1:K453)&gt;0,N(K454)-MAX(K$1:K453)&gt;180),"⚠ Gap &gt; 3h",IF(_xlfn.LET(_xlpm.q,E454,_xlpm.tk,P454,_xlpm.ld,Log!$P$18,_xlpm.fx,IF(OR(_xlpm.ld="",_xlpm.ld="Full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"&amp;_xlpm.q,""))))&lt;&gt;"",IF(N454&lt;&gt;"","Load OK ✓ (checked)","⚠ "&amp;_xlfn.LET(_xlpm.q,E454,_xlpm.tk,P454,_xlpm.ld,Log!$P$18,_xlpm.fx,IF(OR(_xlpm.ld="",_xlpm.ld="Full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"&amp;_xlpm.q,""))))),IF(C454-I454&gt;=0.99,"next day",IF(C454-I454&gt;0.4,"12h → 24h","")))))))))))</f>
        <v/>
      </c>
      <c r="H454" s="4" t="str">
        <f t="shared" si="42"/>
        <v/>
      </c>
      <c r="I454" s="5" t="str">
        <f t="shared" si="43"/>
        <v/>
      </c>
      <c r="J454" s="6">
        <f t="shared" si="44"/>
        <v>0</v>
      </c>
      <c r="K454" s="4" t="str">
        <f t="shared" si="45"/>
        <v/>
      </c>
      <c r="L454" s="4" t="str">
        <f t="shared" si="46"/>
        <v/>
      </c>
      <c r="M454" s="4" t="b" cm="1">
        <f t="array" ref="M454">IF(H454="",FALSE,SUMPRODUCT(--(H$1:H453=H454))&gt;0)</f>
        <v>0</v>
      </c>
      <c r="N454" s="36"/>
      <c r="P454" s="1" t="str">
        <f t="shared" si="47"/>
        <v/>
      </c>
    </row>
    <row r="455" spans="1:16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"&amp;L455,IF(AND(MAX(K$1:K454)&gt;0,N(K455)-MAX(K$1:K454)&gt;180),"⚠ Gap &gt; 3h",IF(_xlfn.LET(_xlpm.q,E455,_xlpm.tk,P455,_xlpm.ld,Log!$P$18,_xlpm.fx,IF(OR(_xlpm.ld="",_xlpm.ld="Full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"&amp;_xlpm.q,""))))&lt;&gt;"",IF(N455&lt;&gt;"","Load OK ✓ (checked)","⚠ "&amp;_xlfn.LET(_xlpm.q,E455,_xlpm.tk,P455,_xlpm.ld,Log!$P$18,_xlpm.fx,IF(OR(_xlpm.ld="",_xlpm.ld="Full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"&amp;_xlpm.q,""))))),IF(C455-I455&gt;=0.99,"next day",IF(C455-I455&gt;0.4,"12h → 24h","")))))))))))</f>
        <v/>
      </c>
      <c r="H455" s="4" t="str">
        <f t="shared" si="42"/>
        <v/>
      </c>
      <c r="I455" s="5" t="str">
        <f t="shared" si="43"/>
        <v/>
      </c>
      <c r="J455" s="6">
        <f t="shared" si="44"/>
        <v>0</v>
      </c>
      <c r="K455" s="4" t="str">
        <f t="shared" si="45"/>
        <v/>
      </c>
      <c r="L455" s="4" t="str">
        <f t="shared" si="46"/>
        <v/>
      </c>
      <c r="M455" s="4" t="b" cm="1">
        <f t="array" ref="M455">IF(H455="",FALSE,SUMPRODUCT(--(H$1:H454=H455))&gt;0)</f>
        <v>0</v>
      </c>
      <c r="N455" s="36"/>
      <c r="P455" s="1" t="str">
        <f t="shared" si="47"/>
        <v/>
      </c>
    </row>
    <row r="456" spans="1:16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"&amp;L456,IF(AND(MAX(K$1:K455)&gt;0,N(K456)-MAX(K$1:K455)&gt;180),"⚠ Gap &gt; 3h",IF(_xlfn.LET(_xlpm.q,E456,_xlpm.tk,P456,_xlpm.ld,Log!$P$18,_xlpm.fx,IF(OR(_xlpm.ld="",_xlpm.ld="Full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"&amp;_xlpm.q,""))))&lt;&gt;"",IF(N456&lt;&gt;"","Load OK ✓ (checked)","⚠ "&amp;_xlfn.LET(_xlpm.q,E456,_xlpm.tk,P456,_xlpm.ld,Log!$P$18,_xlpm.fx,IF(OR(_xlpm.ld="",_xlpm.ld="Full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"&amp;_xlpm.q,""))))),IF(C456-I456&gt;=0.99,"next day",IF(C456-I456&gt;0.4,"12h → 24h","")))))))))))</f>
        <v/>
      </c>
      <c r="H456" s="4" t="str">
        <f t="shared" si="42"/>
        <v/>
      </c>
      <c r="I456" s="5" t="str">
        <f t="shared" si="43"/>
        <v/>
      </c>
      <c r="J456" s="6">
        <f t="shared" si="44"/>
        <v>0</v>
      </c>
      <c r="K456" s="4" t="str">
        <f t="shared" si="45"/>
        <v/>
      </c>
      <c r="L456" s="4" t="str">
        <f t="shared" si="46"/>
        <v/>
      </c>
      <c r="M456" s="4" t="b" cm="1">
        <f t="array" ref="M456">IF(H456="",FALSE,SUMPRODUCT(--(H$1:H455=H456))&gt;0)</f>
        <v>0</v>
      </c>
      <c r="N456" s="36"/>
      <c r="P456" s="1" t="str">
        <f t="shared" si="47"/>
        <v/>
      </c>
    </row>
    <row r="457" spans="1:16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"&amp;L457,IF(AND(MAX(K$1:K456)&gt;0,N(K457)-MAX(K$1:K456)&gt;180),"⚠ Gap &gt; 3h",IF(_xlfn.LET(_xlpm.q,E457,_xlpm.tk,P457,_xlpm.ld,Log!$P$18,_xlpm.fx,IF(OR(_xlpm.ld="",_xlpm.ld="Full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"&amp;_xlpm.q,""))))&lt;&gt;"",IF(N457&lt;&gt;"","Load OK ✓ (checked)","⚠ "&amp;_xlfn.LET(_xlpm.q,E457,_xlpm.tk,P457,_xlpm.ld,Log!$P$18,_xlpm.fx,IF(OR(_xlpm.ld="",_xlpm.ld="Full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"&amp;_xlpm.q,""))))),IF(C457-I457&gt;=0.99,"next day",IF(C457-I457&gt;0.4,"12h → 24h","")))))))))))</f>
        <v/>
      </c>
      <c r="H457" s="4" t="str">
        <f t="shared" si="42"/>
        <v/>
      </c>
      <c r="I457" s="5" t="str">
        <f t="shared" si="43"/>
        <v/>
      </c>
      <c r="J457" s="6">
        <f t="shared" si="44"/>
        <v>0</v>
      </c>
      <c r="K457" s="4" t="str">
        <f t="shared" si="45"/>
        <v/>
      </c>
      <c r="L457" s="4" t="str">
        <f t="shared" si="46"/>
        <v/>
      </c>
      <c r="M457" s="4" t="b" cm="1">
        <f t="array" ref="M457">IF(H457="",FALSE,SUMPRODUCT(--(H$1:H456=H457))&gt;0)</f>
        <v>0</v>
      </c>
      <c r="N457" s="36"/>
      <c r="P457" s="1" t="str">
        <f t="shared" si="47"/>
        <v/>
      </c>
    </row>
    <row r="458" spans="1:16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"&amp;L458,IF(AND(MAX(K$1:K457)&gt;0,N(K458)-MAX(K$1:K457)&gt;180),"⚠ Gap &gt; 3h",IF(_xlfn.LET(_xlpm.q,E458,_xlpm.tk,P458,_xlpm.ld,Log!$P$18,_xlpm.fx,IF(OR(_xlpm.ld="",_xlpm.ld="Full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"&amp;_xlpm.q,""))))&lt;&gt;"",IF(N458&lt;&gt;"","Load OK ✓ (checked)","⚠ "&amp;_xlfn.LET(_xlpm.q,E458,_xlpm.tk,P458,_xlpm.ld,Log!$P$18,_xlpm.fx,IF(OR(_xlpm.ld="",_xlpm.ld="Full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"&amp;_xlpm.q,""))))),IF(C458-I458&gt;=0.99,"next day",IF(C458-I458&gt;0.4,"12h → 24h","")))))))))))</f>
        <v/>
      </c>
      <c r="H458" s="4" t="str">
        <f t="shared" si="42"/>
        <v/>
      </c>
      <c r="I458" s="5" t="str">
        <f t="shared" si="43"/>
        <v/>
      </c>
      <c r="J458" s="6">
        <f t="shared" si="44"/>
        <v>0</v>
      </c>
      <c r="K458" s="4" t="str">
        <f t="shared" si="45"/>
        <v/>
      </c>
      <c r="L458" s="4" t="str">
        <f t="shared" si="46"/>
        <v/>
      </c>
      <c r="M458" s="4" t="b" cm="1">
        <f t="array" ref="M458">IF(H458="",FALSE,SUMPRODUCT(--(H$1:H457=H458))&gt;0)</f>
        <v>0</v>
      </c>
      <c r="N458" s="36"/>
      <c r="P458" s="1" t="str">
        <f t="shared" si="47"/>
        <v/>
      </c>
    </row>
    <row r="459" spans="1:16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"&amp;L459,IF(AND(MAX(K$1:K458)&gt;0,N(K459)-MAX(K$1:K458)&gt;180),"⚠ Gap &gt; 3h",IF(_xlfn.LET(_xlpm.q,E459,_xlpm.tk,P459,_xlpm.ld,Log!$P$18,_xlpm.fx,IF(OR(_xlpm.ld="",_xlpm.ld="Full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"&amp;_xlpm.q,""))))&lt;&gt;"",IF(N459&lt;&gt;"","Load OK ✓ (checked)","⚠ "&amp;_xlfn.LET(_xlpm.q,E459,_xlpm.tk,P459,_xlpm.ld,Log!$P$18,_xlpm.fx,IF(OR(_xlpm.ld="",_xlpm.ld="Full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"&amp;_xlpm.q,""))))),IF(C459-I459&gt;=0.99,"next day",IF(C459-I459&gt;0.4,"12h → 24h","")))))))))))</f>
        <v/>
      </c>
      <c r="H459" s="4" t="str">
        <f t="shared" si="42"/>
        <v/>
      </c>
      <c r="I459" s="5" t="str">
        <f t="shared" si="43"/>
        <v/>
      </c>
      <c r="J459" s="6">
        <f t="shared" si="44"/>
        <v>0</v>
      </c>
      <c r="K459" s="4" t="str">
        <f t="shared" si="45"/>
        <v/>
      </c>
      <c r="L459" s="4" t="str">
        <f t="shared" si="46"/>
        <v/>
      </c>
      <c r="M459" s="4" t="b" cm="1">
        <f t="array" ref="M459">IF(H459="",FALSE,SUMPRODUCT(--(H$1:H458=H459))&gt;0)</f>
        <v>0</v>
      </c>
      <c r="N459" s="36"/>
      <c r="P459" s="1" t="str">
        <f t="shared" si="47"/>
        <v/>
      </c>
    </row>
    <row r="460" spans="1:16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"&amp;L460,IF(AND(MAX(K$1:K459)&gt;0,N(K460)-MAX(K$1:K459)&gt;180),"⚠ Gap &gt; 3h",IF(_xlfn.LET(_xlpm.q,E460,_xlpm.tk,P460,_xlpm.ld,Log!$P$18,_xlpm.fx,IF(OR(_xlpm.ld="",_xlpm.ld="Full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"&amp;_xlpm.q,""))))&lt;&gt;"",IF(N460&lt;&gt;"","Load OK ✓ (checked)","⚠ "&amp;_xlfn.LET(_xlpm.q,E460,_xlpm.tk,P460,_xlpm.ld,Log!$P$18,_xlpm.fx,IF(OR(_xlpm.ld="",_xlpm.ld="Full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"&amp;_xlpm.q,""))))),IF(C460-I460&gt;=0.99,"next day",IF(C460-I460&gt;0.4,"12h → 24h","")))))))))))</f>
        <v/>
      </c>
      <c r="H460" s="4" t="str">
        <f t="shared" si="42"/>
        <v/>
      </c>
      <c r="I460" s="5" t="str">
        <f t="shared" si="43"/>
        <v/>
      </c>
      <c r="J460" s="6">
        <f t="shared" si="44"/>
        <v>0</v>
      </c>
      <c r="K460" s="4" t="str">
        <f t="shared" si="45"/>
        <v/>
      </c>
      <c r="L460" s="4" t="str">
        <f t="shared" si="46"/>
        <v/>
      </c>
      <c r="M460" s="4" t="b" cm="1">
        <f t="array" ref="M460">IF(H460="",FALSE,SUMPRODUCT(--(H$1:H459=H460))&gt;0)</f>
        <v>0</v>
      </c>
      <c r="N460" s="36"/>
      <c r="P460" s="1" t="str">
        <f t="shared" si="47"/>
        <v/>
      </c>
    </row>
    <row r="461" spans="1:16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"&amp;L461,IF(AND(MAX(K$1:K460)&gt;0,N(K461)-MAX(K$1:K460)&gt;180),"⚠ Gap &gt; 3h",IF(_xlfn.LET(_xlpm.q,E461,_xlpm.tk,P461,_xlpm.ld,Log!$P$18,_xlpm.fx,IF(OR(_xlpm.ld="",_xlpm.ld="Full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"&amp;_xlpm.q,""))))&lt;&gt;"",IF(N461&lt;&gt;"","Load OK ✓ (checked)","⚠ "&amp;_xlfn.LET(_xlpm.q,E461,_xlpm.tk,P461,_xlpm.ld,Log!$P$18,_xlpm.fx,IF(OR(_xlpm.ld="",_xlpm.ld="Full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"&amp;_xlpm.q,""))))),IF(C461-I461&gt;=0.99,"next day",IF(C461-I461&gt;0.4,"12h → 24h","")))))))))))</f>
        <v/>
      </c>
      <c r="H461" s="4" t="str">
        <f t="shared" si="42"/>
        <v/>
      </c>
      <c r="I461" s="5" t="str">
        <f t="shared" si="43"/>
        <v/>
      </c>
      <c r="J461" s="6">
        <f t="shared" si="44"/>
        <v>0</v>
      </c>
      <c r="K461" s="4" t="str">
        <f t="shared" si="45"/>
        <v/>
      </c>
      <c r="L461" s="4" t="str">
        <f t="shared" si="46"/>
        <v/>
      </c>
      <c r="M461" s="4" t="b" cm="1">
        <f t="array" ref="M461">IF(H461="",FALSE,SUMPRODUCT(--(H$1:H460=H461))&gt;0)</f>
        <v>0</v>
      </c>
      <c r="N461" s="36"/>
      <c r="P461" s="1" t="str">
        <f t="shared" si="47"/>
        <v/>
      </c>
    </row>
    <row r="462" spans="1:16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"&amp;L462,IF(AND(MAX(K$1:K461)&gt;0,N(K462)-MAX(K$1:K461)&gt;180),"⚠ Gap &gt; 3h",IF(_xlfn.LET(_xlpm.q,E462,_xlpm.tk,P462,_xlpm.ld,Log!$P$18,_xlpm.fx,IF(OR(_xlpm.ld="",_xlpm.ld="Full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"&amp;_xlpm.q,""))))&lt;&gt;"",IF(N462&lt;&gt;"","Load OK ✓ (checked)","⚠ "&amp;_xlfn.LET(_xlpm.q,E462,_xlpm.tk,P462,_xlpm.ld,Log!$P$18,_xlpm.fx,IF(OR(_xlpm.ld="",_xlpm.ld="Full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"&amp;_xlpm.q,""))))),IF(C462-I462&gt;=0.99,"next day",IF(C462-I462&gt;0.4,"12h → 24h","")))))))))))</f>
        <v/>
      </c>
      <c r="H462" s="4" t="str">
        <f t="shared" si="42"/>
        <v/>
      </c>
      <c r="I462" s="5" t="str">
        <f t="shared" si="43"/>
        <v/>
      </c>
      <c r="J462" s="6">
        <f t="shared" si="44"/>
        <v>0</v>
      </c>
      <c r="K462" s="4" t="str">
        <f t="shared" si="45"/>
        <v/>
      </c>
      <c r="L462" s="4" t="str">
        <f t="shared" si="46"/>
        <v/>
      </c>
      <c r="M462" s="4" t="b" cm="1">
        <f t="array" ref="M462">IF(H462="",FALSE,SUMPRODUCT(--(H$1:H461=H462))&gt;0)</f>
        <v>0</v>
      </c>
      <c r="N462" s="36"/>
      <c r="P462" s="1" t="str">
        <f t="shared" si="47"/>
        <v/>
      </c>
    </row>
    <row r="463" spans="1:16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"&amp;L463,IF(AND(MAX(K$1:K462)&gt;0,N(K463)-MAX(K$1:K462)&gt;180),"⚠ Gap &gt; 3h",IF(_xlfn.LET(_xlpm.q,E463,_xlpm.tk,P463,_xlpm.ld,Log!$P$18,_xlpm.fx,IF(OR(_xlpm.ld="",_xlpm.ld="Full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"&amp;_xlpm.q,""))))&lt;&gt;"",IF(N463&lt;&gt;"","Load OK ✓ (checked)","⚠ "&amp;_xlfn.LET(_xlpm.q,E463,_xlpm.tk,P463,_xlpm.ld,Log!$P$18,_xlpm.fx,IF(OR(_xlpm.ld="",_xlpm.ld="Full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"&amp;_xlpm.q,""))))),IF(C463-I463&gt;=0.99,"next day",IF(C463-I463&gt;0.4,"12h → 24h","")))))))))))</f>
        <v/>
      </c>
      <c r="H463" s="4" t="str">
        <f t="shared" si="42"/>
        <v/>
      </c>
      <c r="I463" s="5" t="str">
        <f t="shared" si="43"/>
        <v/>
      </c>
      <c r="J463" s="6">
        <f t="shared" si="44"/>
        <v>0</v>
      </c>
      <c r="K463" s="4" t="str">
        <f t="shared" si="45"/>
        <v/>
      </c>
      <c r="L463" s="4" t="str">
        <f t="shared" si="46"/>
        <v/>
      </c>
      <c r="M463" s="4" t="b" cm="1">
        <f t="array" ref="M463">IF(H463="",FALSE,SUMPRODUCT(--(H$1:H462=H463))&gt;0)</f>
        <v>0</v>
      </c>
      <c r="N463" s="36"/>
      <c r="P463" s="1" t="str">
        <f t="shared" si="47"/>
        <v/>
      </c>
    </row>
    <row r="464" spans="1:16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"&amp;L464,IF(AND(MAX(K$1:K463)&gt;0,N(K464)-MAX(K$1:K463)&gt;180),"⚠ Gap &gt; 3h",IF(_xlfn.LET(_xlpm.q,E464,_xlpm.tk,P464,_xlpm.ld,Log!$P$18,_xlpm.fx,IF(OR(_xlpm.ld="",_xlpm.ld="Full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"&amp;_xlpm.q,""))))&lt;&gt;"",IF(N464&lt;&gt;"","Load OK ✓ (checked)","⚠ "&amp;_xlfn.LET(_xlpm.q,E464,_xlpm.tk,P464,_xlpm.ld,Log!$P$18,_xlpm.fx,IF(OR(_xlpm.ld="",_xlpm.ld="Full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"&amp;_xlpm.q,""))))),IF(C464-I464&gt;=0.99,"next day",IF(C464-I464&gt;0.4,"12h → 24h","")))))))))))</f>
        <v/>
      </c>
      <c r="H464" s="4" t="str">
        <f t="shared" si="42"/>
        <v/>
      </c>
      <c r="I464" s="5" t="str">
        <f t="shared" si="43"/>
        <v/>
      </c>
      <c r="J464" s="6">
        <f t="shared" si="44"/>
        <v>0</v>
      </c>
      <c r="K464" s="4" t="str">
        <f t="shared" si="45"/>
        <v/>
      </c>
      <c r="L464" s="4" t="str">
        <f t="shared" si="46"/>
        <v/>
      </c>
      <c r="M464" s="4" t="b" cm="1">
        <f t="array" ref="M464">IF(H464="",FALSE,SUMPRODUCT(--(H$1:H463=H464))&gt;0)</f>
        <v>0</v>
      </c>
      <c r="N464" s="36"/>
      <c r="P464" s="1" t="str">
        <f t="shared" si="47"/>
        <v/>
      </c>
    </row>
    <row r="465" spans="1:16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"&amp;L465,IF(AND(MAX(K$1:K464)&gt;0,N(K465)-MAX(K$1:K464)&gt;180),"⚠ Gap &gt; 3h",IF(_xlfn.LET(_xlpm.q,E465,_xlpm.tk,P465,_xlpm.ld,Log!$P$18,_xlpm.fx,IF(OR(_xlpm.ld="",_xlpm.ld="Full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"&amp;_xlpm.q,""))))&lt;&gt;"",IF(N465&lt;&gt;"","Load OK ✓ (checked)","⚠ "&amp;_xlfn.LET(_xlpm.q,E465,_xlpm.tk,P465,_xlpm.ld,Log!$P$18,_xlpm.fx,IF(OR(_xlpm.ld="",_xlpm.ld="Full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"&amp;_xlpm.q,""))))),IF(C465-I465&gt;=0.99,"next day",IF(C465-I465&gt;0.4,"12h → 24h","")))))))))))</f>
        <v/>
      </c>
      <c r="H465" s="4" t="str">
        <f t="shared" si="42"/>
        <v/>
      </c>
      <c r="I465" s="5" t="str">
        <f t="shared" si="43"/>
        <v/>
      </c>
      <c r="J465" s="6">
        <f t="shared" si="44"/>
        <v>0</v>
      </c>
      <c r="K465" s="4" t="str">
        <f t="shared" si="45"/>
        <v/>
      </c>
      <c r="L465" s="4" t="str">
        <f t="shared" si="46"/>
        <v/>
      </c>
      <c r="M465" s="4" t="b" cm="1">
        <f t="array" ref="M465">IF(H465="",FALSE,SUMPRODUCT(--(H$1:H464=H465))&gt;0)</f>
        <v>0</v>
      </c>
      <c r="N465" s="36"/>
      <c r="P465" s="1" t="str">
        <f t="shared" si="47"/>
        <v/>
      </c>
    </row>
    <row r="466" spans="1:16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"&amp;L466,IF(AND(MAX(K$1:K465)&gt;0,N(K466)-MAX(K$1:K465)&gt;180),"⚠ Gap &gt; 3h",IF(_xlfn.LET(_xlpm.q,E466,_xlpm.tk,P466,_xlpm.ld,Log!$P$18,_xlpm.fx,IF(OR(_xlpm.ld="",_xlpm.ld="Full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"&amp;_xlpm.q,""))))&lt;&gt;"",IF(N466&lt;&gt;"","Load OK ✓ (checked)","⚠ "&amp;_xlfn.LET(_xlpm.q,E466,_xlpm.tk,P466,_xlpm.ld,Log!$P$18,_xlpm.fx,IF(OR(_xlpm.ld="",_xlpm.ld="Full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"&amp;_xlpm.q,""))))),IF(C466-I466&gt;=0.99,"next day",IF(C466-I466&gt;0.4,"12h → 24h","")))))))))))</f>
        <v/>
      </c>
      <c r="H466" s="4" t="str">
        <f t="shared" si="42"/>
        <v/>
      </c>
      <c r="I466" s="5" t="str">
        <f t="shared" si="43"/>
        <v/>
      </c>
      <c r="J466" s="6">
        <f t="shared" si="44"/>
        <v>0</v>
      </c>
      <c r="K466" s="4" t="str">
        <f t="shared" si="45"/>
        <v/>
      </c>
      <c r="L466" s="4" t="str">
        <f t="shared" si="46"/>
        <v/>
      </c>
      <c r="M466" s="4" t="b" cm="1">
        <f t="array" ref="M466">IF(H466="",FALSE,SUMPRODUCT(--(H$1:H465=H466))&gt;0)</f>
        <v>0</v>
      </c>
      <c r="N466" s="36"/>
      <c r="P466" s="1" t="str">
        <f t="shared" si="47"/>
        <v/>
      </c>
    </row>
    <row r="467" spans="1:16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"&amp;L467,IF(AND(MAX(K$1:K466)&gt;0,N(K467)-MAX(K$1:K466)&gt;180),"⚠ Gap &gt; 3h",IF(_xlfn.LET(_xlpm.q,E467,_xlpm.tk,P467,_xlpm.ld,Log!$P$18,_xlpm.fx,IF(OR(_xlpm.ld="",_xlpm.ld="Full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"&amp;_xlpm.q,""))))&lt;&gt;"",IF(N467&lt;&gt;"","Load OK ✓ (checked)","⚠ "&amp;_xlfn.LET(_xlpm.q,E467,_xlpm.tk,P467,_xlpm.ld,Log!$P$18,_xlpm.fx,IF(OR(_xlpm.ld="",_xlpm.ld="Full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"&amp;_xlpm.q,""))))),IF(C467-I467&gt;=0.99,"next day",IF(C467-I467&gt;0.4,"12h → 24h","")))))))))))</f>
        <v/>
      </c>
      <c r="H467" s="4" t="str">
        <f t="shared" si="42"/>
        <v/>
      </c>
      <c r="I467" s="5" t="str">
        <f t="shared" si="43"/>
        <v/>
      </c>
      <c r="J467" s="6">
        <f t="shared" si="44"/>
        <v>0</v>
      </c>
      <c r="K467" s="4" t="str">
        <f t="shared" si="45"/>
        <v/>
      </c>
      <c r="L467" s="4" t="str">
        <f t="shared" si="46"/>
        <v/>
      </c>
      <c r="M467" s="4" t="b" cm="1">
        <f t="array" ref="M467">IF(H467="",FALSE,SUMPRODUCT(--(H$1:H466=H467))&gt;0)</f>
        <v>0</v>
      </c>
      <c r="N467" s="36"/>
      <c r="P467" s="1" t="str">
        <f t="shared" si="47"/>
        <v/>
      </c>
    </row>
    <row r="468" spans="1:16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"&amp;L468,IF(AND(MAX(K$1:K467)&gt;0,N(K468)-MAX(K$1:K467)&gt;180),"⚠ Gap &gt; 3h",IF(_xlfn.LET(_xlpm.q,E468,_xlpm.tk,P468,_xlpm.ld,Log!$P$18,_xlpm.fx,IF(OR(_xlpm.ld="",_xlpm.ld="Full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"&amp;_xlpm.q,""))))&lt;&gt;"",IF(N468&lt;&gt;"","Load OK ✓ (checked)","⚠ "&amp;_xlfn.LET(_xlpm.q,E468,_xlpm.tk,P468,_xlpm.ld,Log!$P$18,_xlpm.fx,IF(OR(_xlpm.ld="",_xlpm.ld="Full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"&amp;_xlpm.q,""))))),IF(C468-I468&gt;=0.99,"next day",IF(C468-I468&gt;0.4,"12h → 24h","")))))))))))</f>
        <v/>
      </c>
      <c r="H468" s="4" t="str">
        <f t="shared" si="42"/>
        <v/>
      </c>
      <c r="I468" s="5" t="str">
        <f t="shared" si="43"/>
        <v/>
      </c>
      <c r="J468" s="6">
        <f t="shared" si="44"/>
        <v>0</v>
      </c>
      <c r="K468" s="4" t="str">
        <f t="shared" si="45"/>
        <v/>
      </c>
      <c r="L468" s="4" t="str">
        <f t="shared" si="46"/>
        <v/>
      </c>
      <c r="M468" s="4" t="b" cm="1">
        <f t="array" ref="M468">IF(H468="",FALSE,SUMPRODUCT(--(H$1:H467=H468))&gt;0)</f>
        <v>0</v>
      </c>
      <c r="N468" s="36"/>
      <c r="P468" s="1" t="str">
        <f t="shared" si="47"/>
        <v/>
      </c>
    </row>
    <row r="469" spans="1:16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"&amp;L469,IF(AND(MAX(K$1:K468)&gt;0,N(K469)-MAX(K$1:K468)&gt;180),"⚠ Gap &gt; 3h",IF(_xlfn.LET(_xlpm.q,E469,_xlpm.tk,P469,_xlpm.ld,Log!$P$18,_xlpm.fx,IF(OR(_xlpm.ld="",_xlpm.ld="Full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"&amp;_xlpm.q,""))))&lt;&gt;"",IF(N469&lt;&gt;"","Load OK ✓ (checked)","⚠ "&amp;_xlfn.LET(_xlpm.q,E469,_xlpm.tk,P469,_xlpm.ld,Log!$P$18,_xlpm.fx,IF(OR(_xlpm.ld="",_xlpm.ld="Full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"&amp;_xlpm.q,""))))),IF(C469-I469&gt;=0.99,"next day",IF(C469-I469&gt;0.4,"12h → 24h","")))))))))))</f>
        <v/>
      </c>
      <c r="H469" s="4" t="str">
        <f t="shared" si="42"/>
        <v/>
      </c>
      <c r="I469" s="5" t="str">
        <f t="shared" si="43"/>
        <v/>
      </c>
      <c r="J469" s="6">
        <f t="shared" si="44"/>
        <v>0</v>
      </c>
      <c r="K469" s="4" t="str">
        <f t="shared" si="45"/>
        <v/>
      </c>
      <c r="L469" s="4" t="str">
        <f t="shared" si="46"/>
        <v/>
      </c>
      <c r="M469" s="4" t="b" cm="1">
        <f t="array" ref="M469">IF(H469="",FALSE,SUMPRODUCT(--(H$1:H468=H469))&gt;0)</f>
        <v>0</v>
      </c>
      <c r="N469" s="36"/>
      <c r="P469" s="1" t="str">
        <f t="shared" si="47"/>
        <v/>
      </c>
    </row>
    <row r="470" spans="1:16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"&amp;L470,IF(AND(MAX(K$1:K469)&gt;0,N(K470)-MAX(K$1:K469)&gt;180),"⚠ Gap &gt; 3h",IF(_xlfn.LET(_xlpm.q,E470,_xlpm.tk,P470,_xlpm.ld,Log!$P$18,_xlpm.fx,IF(OR(_xlpm.ld="",_xlpm.ld="Full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"&amp;_xlpm.q,""))))&lt;&gt;"",IF(N470&lt;&gt;"","Load OK ✓ (checked)","⚠ "&amp;_xlfn.LET(_xlpm.q,E470,_xlpm.tk,P470,_xlpm.ld,Log!$P$18,_xlpm.fx,IF(OR(_xlpm.ld="",_xlpm.ld="Full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"&amp;_xlpm.q,""))))),IF(C470-I470&gt;=0.99,"next day",IF(C470-I470&gt;0.4,"12h → 24h","")))))))))))</f>
        <v/>
      </c>
      <c r="H470" s="4" t="str">
        <f t="shared" si="42"/>
        <v/>
      </c>
      <c r="I470" s="5" t="str">
        <f t="shared" si="43"/>
        <v/>
      </c>
      <c r="J470" s="6">
        <f t="shared" si="44"/>
        <v>0</v>
      </c>
      <c r="K470" s="4" t="str">
        <f t="shared" si="45"/>
        <v/>
      </c>
      <c r="L470" s="4" t="str">
        <f t="shared" si="46"/>
        <v/>
      </c>
      <c r="M470" s="4" t="b" cm="1">
        <f t="array" ref="M470">IF(H470="",FALSE,SUMPRODUCT(--(H$1:H469=H470))&gt;0)</f>
        <v>0</v>
      </c>
      <c r="N470" s="36"/>
      <c r="P470" s="1" t="str">
        <f t="shared" si="47"/>
        <v/>
      </c>
    </row>
    <row r="471" spans="1:16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"&amp;L471,IF(AND(MAX(K$1:K470)&gt;0,N(K471)-MAX(K$1:K470)&gt;180),"⚠ Gap &gt; 3h",IF(_xlfn.LET(_xlpm.q,E471,_xlpm.tk,P471,_xlpm.ld,Log!$P$18,_xlpm.fx,IF(OR(_xlpm.ld="",_xlpm.ld="Full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"&amp;_xlpm.q,""))))&lt;&gt;"",IF(N471&lt;&gt;"","Load OK ✓ (checked)","⚠ "&amp;_xlfn.LET(_xlpm.q,E471,_xlpm.tk,P471,_xlpm.ld,Log!$P$18,_xlpm.fx,IF(OR(_xlpm.ld="",_xlpm.ld="Full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"&amp;_xlpm.q,""))))),IF(C471-I471&gt;=0.99,"next day",IF(C471-I471&gt;0.4,"12h → 24h","")))))))))))</f>
        <v/>
      </c>
      <c r="H471" s="4" t="str">
        <f t="shared" si="42"/>
        <v/>
      </c>
      <c r="I471" s="5" t="str">
        <f t="shared" si="43"/>
        <v/>
      </c>
      <c r="J471" s="6">
        <f t="shared" si="44"/>
        <v>0</v>
      </c>
      <c r="K471" s="4" t="str">
        <f t="shared" si="45"/>
        <v/>
      </c>
      <c r="L471" s="4" t="str">
        <f t="shared" si="46"/>
        <v/>
      </c>
      <c r="M471" s="4" t="b" cm="1">
        <f t="array" ref="M471">IF(H471="",FALSE,SUMPRODUCT(--(H$1:H470=H471))&gt;0)</f>
        <v>0</v>
      </c>
      <c r="N471" s="36"/>
      <c r="P471" s="1" t="str">
        <f t="shared" si="47"/>
        <v/>
      </c>
    </row>
    <row r="472" spans="1:16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"&amp;L472,IF(AND(MAX(K$1:K471)&gt;0,N(K472)-MAX(K$1:K471)&gt;180),"⚠ Gap &gt; 3h",IF(_xlfn.LET(_xlpm.q,E472,_xlpm.tk,P472,_xlpm.ld,Log!$P$18,_xlpm.fx,IF(OR(_xlpm.ld="",_xlpm.ld="Full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"&amp;_xlpm.q,""))))&lt;&gt;"",IF(N472&lt;&gt;"","Load OK ✓ (checked)","⚠ "&amp;_xlfn.LET(_xlpm.q,E472,_xlpm.tk,P472,_xlpm.ld,Log!$P$18,_xlpm.fx,IF(OR(_xlpm.ld="",_xlpm.ld="Full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"&amp;_xlpm.q,""))))),IF(C472-I472&gt;=0.99,"next day",IF(C472-I472&gt;0.4,"12h → 24h","")))))))))))</f>
        <v/>
      </c>
      <c r="H472" s="4" t="str">
        <f t="shared" si="42"/>
        <v/>
      </c>
      <c r="I472" s="5" t="str">
        <f t="shared" si="43"/>
        <v/>
      </c>
      <c r="J472" s="6">
        <f t="shared" si="44"/>
        <v>0</v>
      </c>
      <c r="K472" s="4" t="str">
        <f t="shared" si="45"/>
        <v/>
      </c>
      <c r="L472" s="4" t="str">
        <f t="shared" si="46"/>
        <v/>
      </c>
      <c r="M472" s="4" t="b" cm="1">
        <f t="array" ref="M472">IF(H472="",FALSE,SUMPRODUCT(--(H$1:H471=H472))&gt;0)</f>
        <v>0</v>
      </c>
      <c r="N472" s="36"/>
      <c r="P472" s="1" t="str">
        <f t="shared" si="47"/>
        <v/>
      </c>
    </row>
    <row r="473" spans="1:16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"&amp;L473,IF(AND(MAX(K$1:K472)&gt;0,N(K473)-MAX(K$1:K472)&gt;180),"⚠ Gap &gt; 3h",IF(_xlfn.LET(_xlpm.q,E473,_xlpm.tk,P473,_xlpm.ld,Log!$P$18,_xlpm.fx,IF(OR(_xlpm.ld="",_xlpm.ld="Full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"&amp;_xlpm.q,""))))&lt;&gt;"",IF(N473&lt;&gt;"","Load OK ✓ (checked)","⚠ "&amp;_xlfn.LET(_xlpm.q,E473,_xlpm.tk,P473,_xlpm.ld,Log!$P$18,_xlpm.fx,IF(OR(_xlpm.ld="",_xlpm.ld="Full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"&amp;_xlpm.q,""))))),IF(C473-I473&gt;=0.99,"next day",IF(C473-I473&gt;0.4,"12h → 24h","")))))))))))</f>
        <v/>
      </c>
      <c r="H473" s="4" t="str">
        <f t="shared" si="42"/>
        <v/>
      </c>
      <c r="I473" s="5" t="str">
        <f t="shared" si="43"/>
        <v/>
      </c>
      <c r="J473" s="6">
        <f t="shared" si="44"/>
        <v>0</v>
      </c>
      <c r="K473" s="4" t="str">
        <f t="shared" si="45"/>
        <v/>
      </c>
      <c r="L473" s="4" t="str">
        <f t="shared" si="46"/>
        <v/>
      </c>
      <c r="M473" s="4" t="b" cm="1">
        <f t="array" ref="M473">IF(H473="",FALSE,SUMPRODUCT(--(H$1:H472=H473))&gt;0)</f>
        <v>0</v>
      </c>
      <c r="N473" s="36"/>
      <c r="P473" s="1" t="str">
        <f t="shared" si="47"/>
        <v/>
      </c>
    </row>
    <row r="474" spans="1:16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"&amp;L474,IF(AND(MAX(K$1:K473)&gt;0,N(K474)-MAX(K$1:K473)&gt;180),"⚠ Gap &gt; 3h",IF(_xlfn.LET(_xlpm.q,E474,_xlpm.tk,P474,_xlpm.ld,Log!$P$18,_xlpm.fx,IF(OR(_xlpm.ld="",_xlpm.ld="Full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"&amp;_xlpm.q,""))))&lt;&gt;"",IF(N474&lt;&gt;"","Load OK ✓ (checked)","⚠ "&amp;_xlfn.LET(_xlpm.q,E474,_xlpm.tk,P474,_xlpm.ld,Log!$P$18,_xlpm.fx,IF(OR(_xlpm.ld="",_xlpm.ld="Full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"&amp;_xlpm.q,""))))),IF(C474-I474&gt;=0.99,"next day",IF(C474-I474&gt;0.4,"12h → 24h","")))))))))))</f>
        <v/>
      </c>
      <c r="H474" s="4" t="str">
        <f t="shared" si="42"/>
        <v/>
      </c>
      <c r="I474" s="5" t="str">
        <f t="shared" si="43"/>
        <v/>
      </c>
      <c r="J474" s="6">
        <f t="shared" si="44"/>
        <v>0</v>
      </c>
      <c r="K474" s="4" t="str">
        <f t="shared" si="45"/>
        <v/>
      </c>
      <c r="L474" s="4" t="str">
        <f t="shared" si="46"/>
        <v/>
      </c>
      <c r="M474" s="4" t="b" cm="1">
        <f t="array" ref="M474">IF(H474="",FALSE,SUMPRODUCT(--(H$1:H473=H474))&gt;0)</f>
        <v>0</v>
      </c>
      <c r="N474" s="36"/>
      <c r="P474" s="1" t="str">
        <f t="shared" si="47"/>
        <v/>
      </c>
    </row>
    <row r="475" spans="1:16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"&amp;L475,IF(AND(MAX(K$1:K474)&gt;0,N(K475)-MAX(K$1:K474)&gt;180),"⚠ Gap &gt; 3h",IF(_xlfn.LET(_xlpm.q,E475,_xlpm.tk,P475,_xlpm.ld,Log!$P$18,_xlpm.fx,IF(OR(_xlpm.ld="",_xlpm.ld="Full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"&amp;_xlpm.q,""))))&lt;&gt;"",IF(N475&lt;&gt;"","Load OK ✓ (checked)","⚠ "&amp;_xlfn.LET(_xlpm.q,E475,_xlpm.tk,P475,_xlpm.ld,Log!$P$18,_xlpm.fx,IF(OR(_xlpm.ld="",_xlpm.ld="Full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"&amp;_xlpm.q,""))))),IF(C475-I475&gt;=0.99,"next day",IF(C475-I475&gt;0.4,"12h → 24h","")))))))))))</f>
        <v/>
      </c>
      <c r="H475" s="4" t="str">
        <f t="shared" si="42"/>
        <v/>
      </c>
      <c r="I475" s="5" t="str">
        <f t="shared" si="43"/>
        <v/>
      </c>
      <c r="J475" s="6">
        <f t="shared" si="44"/>
        <v>0</v>
      </c>
      <c r="K475" s="4" t="str">
        <f t="shared" si="45"/>
        <v/>
      </c>
      <c r="L475" s="4" t="str">
        <f t="shared" si="46"/>
        <v/>
      </c>
      <c r="M475" s="4" t="b" cm="1">
        <f t="array" ref="M475">IF(H475="",FALSE,SUMPRODUCT(--(H$1:H474=H475))&gt;0)</f>
        <v>0</v>
      </c>
      <c r="N475" s="36"/>
      <c r="P475" s="1" t="str">
        <f t="shared" si="47"/>
        <v/>
      </c>
    </row>
    <row r="476" spans="1:16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"&amp;L476,IF(AND(MAX(K$1:K475)&gt;0,N(K476)-MAX(K$1:K475)&gt;180),"⚠ Gap &gt; 3h",IF(_xlfn.LET(_xlpm.q,E476,_xlpm.tk,P476,_xlpm.ld,Log!$P$18,_xlpm.fx,IF(OR(_xlpm.ld="",_xlpm.ld="Full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"&amp;_xlpm.q,""))))&lt;&gt;"",IF(N476&lt;&gt;"","Load OK ✓ (checked)","⚠ "&amp;_xlfn.LET(_xlpm.q,E476,_xlpm.tk,P476,_xlpm.ld,Log!$P$18,_xlpm.fx,IF(OR(_xlpm.ld="",_xlpm.ld="Full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"&amp;_xlpm.q,""))))),IF(C476-I476&gt;=0.99,"next day",IF(C476-I476&gt;0.4,"12h → 24h","")))))))))))</f>
        <v/>
      </c>
      <c r="H476" s="4" t="str">
        <f t="shared" si="42"/>
        <v/>
      </c>
      <c r="I476" s="5" t="str">
        <f t="shared" si="43"/>
        <v/>
      </c>
      <c r="J476" s="6">
        <f t="shared" si="44"/>
        <v>0</v>
      </c>
      <c r="K476" s="4" t="str">
        <f t="shared" si="45"/>
        <v/>
      </c>
      <c r="L476" s="4" t="str">
        <f t="shared" si="46"/>
        <v/>
      </c>
      <c r="M476" s="4" t="b" cm="1">
        <f t="array" ref="M476">IF(H476="",FALSE,SUMPRODUCT(--(H$1:H475=H476))&gt;0)</f>
        <v>0</v>
      </c>
      <c r="N476" s="36"/>
      <c r="P476" s="1" t="str">
        <f t="shared" si="47"/>
        <v/>
      </c>
    </row>
    <row r="477" spans="1:16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"&amp;L477,IF(AND(MAX(K$1:K476)&gt;0,N(K477)-MAX(K$1:K476)&gt;180),"⚠ Gap &gt; 3h",IF(_xlfn.LET(_xlpm.q,E477,_xlpm.tk,P477,_xlpm.ld,Log!$P$18,_xlpm.fx,IF(OR(_xlpm.ld="",_xlpm.ld="Full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"&amp;_xlpm.q,""))))&lt;&gt;"",IF(N477&lt;&gt;"","Load OK ✓ (checked)","⚠ "&amp;_xlfn.LET(_xlpm.q,E477,_xlpm.tk,P477,_xlpm.ld,Log!$P$18,_xlpm.fx,IF(OR(_xlpm.ld="",_xlpm.ld="Full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"&amp;_xlpm.q,""))))),IF(C477-I477&gt;=0.99,"next day",IF(C477-I477&gt;0.4,"12h → 24h","")))))))))))</f>
        <v/>
      </c>
      <c r="H477" s="4" t="str">
        <f t="shared" si="42"/>
        <v/>
      </c>
      <c r="I477" s="5" t="str">
        <f t="shared" si="43"/>
        <v/>
      </c>
      <c r="J477" s="6">
        <f t="shared" si="44"/>
        <v>0</v>
      </c>
      <c r="K477" s="4" t="str">
        <f t="shared" si="45"/>
        <v/>
      </c>
      <c r="L477" s="4" t="str">
        <f t="shared" si="46"/>
        <v/>
      </c>
      <c r="M477" s="4" t="b" cm="1">
        <f t="array" ref="M477">IF(H477="",FALSE,SUMPRODUCT(--(H$1:H476=H477))&gt;0)</f>
        <v>0</v>
      </c>
      <c r="N477" s="36"/>
      <c r="P477" s="1" t="str">
        <f t="shared" si="47"/>
        <v/>
      </c>
    </row>
    <row r="478" spans="1:16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"&amp;L478,IF(AND(MAX(K$1:K477)&gt;0,N(K478)-MAX(K$1:K477)&gt;180),"⚠ Gap &gt; 3h",IF(_xlfn.LET(_xlpm.q,E478,_xlpm.tk,P478,_xlpm.ld,Log!$P$18,_xlpm.fx,IF(OR(_xlpm.ld="",_xlpm.ld="Full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"&amp;_xlpm.q,""))))&lt;&gt;"",IF(N478&lt;&gt;"","Load OK ✓ (checked)","⚠ "&amp;_xlfn.LET(_xlpm.q,E478,_xlpm.tk,P478,_xlpm.ld,Log!$P$18,_xlpm.fx,IF(OR(_xlpm.ld="",_xlpm.ld="Full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"&amp;_xlpm.q,""))))),IF(C478-I478&gt;=0.99,"next day",IF(C478-I478&gt;0.4,"12h → 24h","")))))))))))</f>
        <v/>
      </c>
      <c r="H478" s="4" t="str">
        <f t="shared" si="42"/>
        <v/>
      </c>
      <c r="I478" s="5" t="str">
        <f t="shared" si="43"/>
        <v/>
      </c>
      <c r="J478" s="6">
        <f t="shared" si="44"/>
        <v>0</v>
      </c>
      <c r="K478" s="4" t="str">
        <f t="shared" si="45"/>
        <v/>
      </c>
      <c r="L478" s="4" t="str">
        <f t="shared" si="46"/>
        <v/>
      </c>
      <c r="M478" s="4" t="b" cm="1">
        <f t="array" ref="M478">IF(H478="",FALSE,SUMPRODUCT(--(H$1:H477=H478))&gt;0)</f>
        <v>0</v>
      </c>
      <c r="N478" s="36"/>
      <c r="P478" s="1" t="str">
        <f t="shared" si="47"/>
        <v/>
      </c>
    </row>
    <row r="479" spans="1:16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"&amp;L479,IF(AND(MAX(K$1:K478)&gt;0,N(K479)-MAX(K$1:K478)&gt;180),"⚠ Gap &gt; 3h",IF(_xlfn.LET(_xlpm.q,E479,_xlpm.tk,P479,_xlpm.ld,Log!$P$18,_xlpm.fx,IF(OR(_xlpm.ld="",_xlpm.ld="Full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"&amp;_xlpm.q,""))))&lt;&gt;"",IF(N479&lt;&gt;"","Load OK ✓ (checked)","⚠ "&amp;_xlfn.LET(_xlpm.q,E479,_xlpm.tk,P479,_xlpm.ld,Log!$P$18,_xlpm.fx,IF(OR(_xlpm.ld="",_xlpm.ld="Full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"&amp;_xlpm.q,""))))),IF(C479-I479&gt;=0.99,"next day",IF(C479-I479&gt;0.4,"12h → 24h","")))))))))))</f>
        <v/>
      </c>
      <c r="H479" s="4" t="str">
        <f t="shared" si="42"/>
        <v/>
      </c>
      <c r="I479" s="5" t="str">
        <f t="shared" si="43"/>
        <v/>
      </c>
      <c r="J479" s="6">
        <f t="shared" si="44"/>
        <v>0</v>
      </c>
      <c r="K479" s="4" t="str">
        <f t="shared" si="45"/>
        <v/>
      </c>
      <c r="L479" s="4" t="str">
        <f t="shared" si="46"/>
        <v/>
      </c>
      <c r="M479" s="4" t="b" cm="1">
        <f t="array" ref="M479">IF(H479="",FALSE,SUMPRODUCT(--(H$1:H478=H479))&gt;0)</f>
        <v>0</v>
      </c>
      <c r="N479" s="36"/>
      <c r="P479" s="1" t="str">
        <f t="shared" si="47"/>
        <v/>
      </c>
    </row>
    <row r="480" spans="1:16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"&amp;L480,IF(AND(MAX(K$1:K479)&gt;0,N(K480)-MAX(K$1:K479)&gt;180),"⚠ Gap &gt; 3h",IF(_xlfn.LET(_xlpm.q,E480,_xlpm.tk,P480,_xlpm.ld,Log!$P$18,_xlpm.fx,IF(OR(_xlpm.ld="",_xlpm.ld="Full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"&amp;_xlpm.q,""))))&lt;&gt;"",IF(N480&lt;&gt;"","Load OK ✓ (checked)","⚠ "&amp;_xlfn.LET(_xlpm.q,E480,_xlpm.tk,P480,_xlpm.ld,Log!$P$18,_xlpm.fx,IF(OR(_xlpm.ld="",_xlpm.ld="Full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"&amp;_xlpm.q,""))))),IF(C480-I480&gt;=0.99,"next day",IF(C480-I480&gt;0.4,"12h → 24h","")))))))))))</f>
        <v/>
      </c>
      <c r="H480" s="4" t="str">
        <f t="shared" si="42"/>
        <v/>
      </c>
      <c r="I480" s="5" t="str">
        <f t="shared" si="43"/>
        <v/>
      </c>
      <c r="J480" s="6">
        <f t="shared" si="44"/>
        <v>0</v>
      </c>
      <c r="K480" s="4" t="str">
        <f t="shared" si="45"/>
        <v/>
      </c>
      <c r="L480" s="4" t="str">
        <f t="shared" si="46"/>
        <v/>
      </c>
      <c r="M480" s="4" t="b" cm="1">
        <f t="array" ref="M480">IF(H480="",FALSE,SUMPRODUCT(--(H$1:H479=H480))&gt;0)</f>
        <v>0</v>
      </c>
      <c r="N480" s="36"/>
      <c r="P480" s="1" t="str">
        <f t="shared" si="47"/>
        <v/>
      </c>
    </row>
    <row r="481" spans="1:16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"&amp;L481,IF(AND(MAX(K$1:K480)&gt;0,N(K481)-MAX(K$1:K480)&gt;180),"⚠ Gap &gt; 3h",IF(_xlfn.LET(_xlpm.q,E481,_xlpm.tk,P481,_xlpm.ld,Log!$P$18,_xlpm.fx,IF(OR(_xlpm.ld="",_xlpm.ld="Full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"&amp;_xlpm.q,""))))&lt;&gt;"",IF(N481&lt;&gt;"","Load OK ✓ (checked)","⚠ "&amp;_xlfn.LET(_xlpm.q,E481,_xlpm.tk,P481,_xlpm.ld,Log!$P$18,_xlpm.fx,IF(OR(_xlpm.ld="",_xlpm.ld="Full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"&amp;_xlpm.q,""))))),IF(C481-I481&gt;=0.99,"next day",IF(C481-I481&gt;0.4,"12h → 24h","")))))))))))</f>
        <v/>
      </c>
      <c r="H481" s="4" t="str">
        <f t="shared" si="42"/>
        <v/>
      </c>
      <c r="I481" s="5" t="str">
        <f t="shared" si="43"/>
        <v/>
      </c>
      <c r="J481" s="6">
        <f t="shared" si="44"/>
        <v>0</v>
      </c>
      <c r="K481" s="4" t="str">
        <f t="shared" si="45"/>
        <v/>
      </c>
      <c r="L481" s="4" t="str">
        <f t="shared" si="46"/>
        <v/>
      </c>
      <c r="M481" s="4" t="b" cm="1">
        <f t="array" ref="M481">IF(H481="",FALSE,SUMPRODUCT(--(H$1:H480=H481))&gt;0)</f>
        <v>0</v>
      </c>
      <c r="N481" s="36"/>
      <c r="P481" s="1" t="str">
        <f t="shared" si="47"/>
        <v/>
      </c>
    </row>
    <row r="482" spans="1:16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"&amp;L482,IF(AND(MAX(K$1:K481)&gt;0,N(K482)-MAX(K$1:K481)&gt;180),"⚠ Gap &gt; 3h",IF(_xlfn.LET(_xlpm.q,E482,_xlpm.tk,P482,_xlpm.ld,Log!$P$18,_xlpm.fx,IF(OR(_xlpm.ld="",_xlpm.ld="Full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"&amp;_xlpm.q,""))))&lt;&gt;"",IF(N482&lt;&gt;"","Load OK ✓ (checked)","⚠ "&amp;_xlfn.LET(_xlpm.q,E482,_xlpm.tk,P482,_xlpm.ld,Log!$P$18,_xlpm.fx,IF(OR(_xlpm.ld="",_xlpm.ld="Full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"&amp;_xlpm.q,""))))),IF(C482-I482&gt;=0.99,"next day",IF(C482-I482&gt;0.4,"12h → 24h","")))))))))))</f>
        <v/>
      </c>
      <c r="H482" s="4" t="str">
        <f t="shared" si="42"/>
        <v/>
      </c>
      <c r="I482" s="5" t="str">
        <f t="shared" si="43"/>
        <v/>
      </c>
      <c r="J482" s="6">
        <f t="shared" si="44"/>
        <v>0</v>
      </c>
      <c r="K482" s="4" t="str">
        <f t="shared" si="45"/>
        <v/>
      </c>
      <c r="L482" s="4" t="str">
        <f t="shared" si="46"/>
        <v/>
      </c>
      <c r="M482" s="4" t="b" cm="1">
        <f t="array" ref="M482">IF(H482="",FALSE,SUMPRODUCT(--(H$1:H481=H482))&gt;0)</f>
        <v>0</v>
      </c>
      <c r="N482" s="36"/>
      <c r="P482" s="1" t="str">
        <f t="shared" si="47"/>
        <v/>
      </c>
    </row>
    <row r="483" spans="1:16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"&amp;L483,IF(AND(MAX(K$1:K482)&gt;0,N(K483)-MAX(K$1:K482)&gt;180),"⚠ Gap &gt; 3h",IF(_xlfn.LET(_xlpm.q,E483,_xlpm.tk,P483,_xlpm.ld,Log!$P$18,_xlpm.fx,IF(OR(_xlpm.ld="",_xlpm.ld="Full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"&amp;_xlpm.q,""))))&lt;&gt;"",IF(N483&lt;&gt;"","Load OK ✓ (checked)","⚠ "&amp;_xlfn.LET(_xlpm.q,E483,_xlpm.tk,P483,_xlpm.ld,Log!$P$18,_xlpm.fx,IF(OR(_xlpm.ld="",_xlpm.ld="Full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"&amp;_xlpm.q,""))))),IF(C483-I483&gt;=0.99,"next day",IF(C483-I483&gt;0.4,"12h → 24h","")))))))))))</f>
        <v/>
      </c>
      <c r="H483" s="4" t="str">
        <f t="shared" si="42"/>
        <v/>
      </c>
      <c r="I483" s="5" t="str">
        <f t="shared" si="43"/>
        <v/>
      </c>
      <c r="J483" s="6">
        <f t="shared" si="44"/>
        <v>0</v>
      </c>
      <c r="K483" s="4" t="str">
        <f t="shared" si="45"/>
        <v/>
      </c>
      <c r="L483" s="4" t="str">
        <f t="shared" si="46"/>
        <v/>
      </c>
      <c r="M483" s="4" t="b" cm="1">
        <f t="array" ref="M483">IF(H483="",FALSE,SUMPRODUCT(--(H$1:H482=H483))&gt;0)</f>
        <v>0</v>
      </c>
      <c r="N483" s="36"/>
      <c r="P483" s="1" t="str">
        <f t="shared" si="47"/>
        <v/>
      </c>
    </row>
    <row r="484" spans="1:16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"&amp;L484,IF(AND(MAX(K$1:K483)&gt;0,N(K484)-MAX(K$1:K483)&gt;180),"⚠ Gap &gt; 3h",IF(_xlfn.LET(_xlpm.q,E484,_xlpm.tk,P484,_xlpm.ld,Log!$P$18,_xlpm.fx,IF(OR(_xlpm.ld="",_xlpm.ld="Full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"&amp;_xlpm.q,""))))&lt;&gt;"",IF(N484&lt;&gt;"","Load OK ✓ (checked)","⚠ "&amp;_xlfn.LET(_xlpm.q,E484,_xlpm.tk,P484,_xlpm.ld,Log!$P$18,_xlpm.fx,IF(OR(_xlpm.ld="",_xlpm.ld="Full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"&amp;_xlpm.q,""))))),IF(C484-I484&gt;=0.99,"next day",IF(C484-I484&gt;0.4,"12h → 24h","")))))))))))</f>
        <v/>
      </c>
      <c r="H484" s="4" t="str">
        <f t="shared" si="42"/>
        <v/>
      </c>
      <c r="I484" s="5" t="str">
        <f t="shared" si="43"/>
        <v/>
      </c>
      <c r="J484" s="6">
        <f t="shared" si="44"/>
        <v>0</v>
      </c>
      <c r="K484" s="4" t="str">
        <f t="shared" si="45"/>
        <v/>
      </c>
      <c r="L484" s="4" t="str">
        <f t="shared" si="46"/>
        <v/>
      </c>
      <c r="M484" s="4" t="b" cm="1">
        <f t="array" ref="M484">IF(H484="",FALSE,SUMPRODUCT(--(H$1:H483=H484))&gt;0)</f>
        <v>0</v>
      </c>
      <c r="N484" s="36"/>
      <c r="P484" s="1" t="str">
        <f t="shared" si="47"/>
        <v/>
      </c>
    </row>
    <row r="485" spans="1:16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"&amp;L485,IF(AND(MAX(K$1:K484)&gt;0,N(K485)-MAX(K$1:K484)&gt;180),"⚠ Gap &gt; 3h",IF(_xlfn.LET(_xlpm.q,E485,_xlpm.tk,P485,_xlpm.ld,Log!$P$18,_xlpm.fx,IF(OR(_xlpm.ld="",_xlpm.ld="Full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"&amp;_xlpm.q,""))))&lt;&gt;"",IF(N485&lt;&gt;"","Load OK ✓ (checked)","⚠ "&amp;_xlfn.LET(_xlpm.q,E485,_xlpm.tk,P485,_xlpm.ld,Log!$P$18,_xlpm.fx,IF(OR(_xlpm.ld="",_xlpm.ld="Full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"&amp;_xlpm.q,""))))),IF(C485-I485&gt;=0.99,"next day",IF(C485-I485&gt;0.4,"12h → 24h","")))))))))))</f>
        <v/>
      </c>
      <c r="H485" s="4" t="str">
        <f t="shared" si="42"/>
        <v/>
      </c>
      <c r="I485" s="5" t="str">
        <f t="shared" si="43"/>
        <v/>
      </c>
      <c r="J485" s="6">
        <f t="shared" si="44"/>
        <v>0</v>
      </c>
      <c r="K485" s="4" t="str">
        <f t="shared" si="45"/>
        <v/>
      </c>
      <c r="L485" s="4" t="str">
        <f t="shared" si="46"/>
        <v/>
      </c>
      <c r="M485" s="4" t="b" cm="1">
        <f t="array" ref="M485">IF(H485="",FALSE,SUMPRODUCT(--(H$1:H484=H485))&gt;0)</f>
        <v>0</v>
      </c>
      <c r="N485" s="36"/>
      <c r="P485" s="1" t="str">
        <f t="shared" si="47"/>
        <v/>
      </c>
    </row>
    <row r="486" spans="1:16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"&amp;L486,IF(AND(MAX(K$1:K485)&gt;0,N(K486)-MAX(K$1:K485)&gt;180),"⚠ Gap &gt; 3h",IF(_xlfn.LET(_xlpm.q,E486,_xlpm.tk,P486,_xlpm.ld,Log!$P$18,_xlpm.fx,IF(OR(_xlpm.ld="",_xlpm.ld="Full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"&amp;_xlpm.q,""))))&lt;&gt;"",IF(N486&lt;&gt;"","Load OK ✓ (checked)","⚠ "&amp;_xlfn.LET(_xlpm.q,E486,_xlpm.tk,P486,_xlpm.ld,Log!$P$18,_xlpm.fx,IF(OR(_xlpm.ld="",_xlpm.ld="Full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"&amp;_xlpm.q,""))))),IF(C486-I486&gt;=0.99,"next day",IF(C486-I486&gt;0.4,"12h → 24h","")))))))))))</f>
        <v/>
      </c>
      <c r="H486" s="4" t="str">
        <f t="shared" si="42"/>
        <v/>
      </c>
      <c r="I486" s="5" t="str">
        <f t="shared" si="43"/>
        <v/>
      </c>
      <c r="J486" s="6">
        <f t="shared" si="44"/>
        <v>0</v>
      </c>
      <c r="K486" s="4" t="str">
        <f t="shared" si="45"/>
        <v/>
      </c>
      <c r="L486" s="4" t="str">
        <f t="shared" si="46"/>
        <v/>
      </c>
      <c r="M486" s="4" t="b" cm="1">
        <f t="array" ref="M486">IF(H486="",FALSE,SUMPRODUCT(--(H$1:H485=H486))&gt;0)</f>
        <v>0</v>
      </c>
      <c r="N486" s="36"/>
      <c r="P486" s="1" t="str">
        <f t="shared" si="47"/>
        <v/>
      </c>
    </row>
    <row r="487" spans="1:16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"&amp;L487,IF(AND(MAX(K$1:K486)&gt;0,N(K487)-MAX(K$1:K486)&gt;180),"⚠ Gap &gt; 3h",IF(_xlfn.LET(_xlpm.q,E487,_xlpm.tk,P487,_xlpm.ld,Log!$P$18,_xlpm.fx,IF(OR(_xlpm.ld="",_xlpm.ld="Full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"&amp;_xlpm.q,""))))&lt;&gt;"",IF(N487&lt;&gt;"","Load OK ✓ (checked)","⚠ "&amp;_xlfn.LET(_xlpm.q,E487,_xlpm.tk,P487,_xlpm.ld,Log!$P$18,_xlpm.fx,IF(OR(_xlpm.ld="",_xlpm.ld="Full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"&amp;_xlpm.q,""))))),IF(C487-I487&gt;=0.99,"next day",IF(C487-I487&gt;0.4,"12h → 24h","")))))))))))</f>
        <v/>
      </c>
      <c r="H487" s="4" t="str">
        <f t="shared" si="42"/>
        <v/>
      </c>
      <c r="I487" s="5" t="str">
        <f t="shared" si="43"/>
        <v/>
      </c>
      <c r="J487" s="6">
        <f t="shared" si="44"/>
        <v>0</v>
      </c>
      <c r="K487" s="4" t="str">
        <f t="shared" si="45"/>
        <v/>
      </c>
      <c r="L487" s="4" t="str">
        <f t="shared" si="46"/>
        <v/>
      </c>
      <c r="M487" s="4" t="b" cm="1">
        <f t="array" ref="M487">IF(H487="",FALSE,SUMPRODUCT(--(H$1:H486=H487))&gt;0)</f>
        <v>0</v>
      </c>
      <c r="N487" s="36"/>
      <c r="P487" s="1" t="str">
        <f t="shared" si="47"/>
        <v/>
      </c>
    </row>
    <row r="488" spans="1:16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"&amp;L488,IF(AND(MAX(K$1:K487)&gt;0,N(K488)-MAX(K$1:K487)&gt;180),"⚠ Gap &gt; 3h",IF(_xlfn.LET(_xlpm.q,E488,_xlpm.tk,P488,_xlpm.ld,Log!$P$18,_xlpm.fx,IF(OR(_xlpm.ld="",_xlpm.ld="Full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"&amp;_xlpm.q,""))))&lt;&gt;"",IF(N488&lt;&gt;"","Load OK ✓ (checked)","⚠ "&amp;_xlfn.LET(_xlpm.q,E488,_xlpm.tk,P488,_xlpm.ld,Log!$P$18,_xlpm.fx,IF(OR(_xlpm.ld="",_xlpm.ld="Full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"&amp;_xlpm.q,""))))),IF(C488-I488&gt;=0.99,"next day",IF(C488-I488&gt;0.4,"12h → 24h","")))))))))))</f>
        <v/>
      </c>
      <c r="H488" s="4" t="str">
        <f t="shared" si="42"/>
        <v/>
      </c>
      <c r="I488" s="5" t="str">
        <f t="shared" si="43"/>
        <v/>
      </c>
      <c r="J488" s="6">
        <f t="shared" si="44"/>
        <v>0</v>
      </c>
      <c r="K488" s="4" t="str">
        <f t="shared" si="45"/>
        <v/>
      </c>
      <c r="L488" s="4" t="str">
        <f t="shared" si="46"/>
        <v/>
      </c>
      <c r="M488" s="4" t="b" cm="1">
        <f t="array" ref="M488">IF(H488="",FALSE,SUMPRODUCT(--(H$1:H487=H488))&gt;0)</f>
        <v>0</v>
      </c>
      <c r="N488" s="36"/>
      <c r="P488" s="1" t="str">
        <f t="shared" si="47"/>
        <v/>
      </c>
    </row>
    <row r="489" spans="1:16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"&amp;L489,IF(AND(MAX(K$1:K488)&gt;0,N(K489)-MAX(K$1:K488)&gt;180),"⚠ Gap &gt; 3h",IF(_xlfn.LET(_xlpm.q,E489,_xlpm.tk,P489,_xlpm.ld,Log!$P$18,_xlpm.fx,IF(OR(_xlpm.ld="",_xlpm.ld="Full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"&amp;_xlpm.q,""))))&lt;&gt;"",IF(N489&lt;&gt;"","Load OK ✓ (checked)","⚠ "&amp;_xlfn.LET(_xlpm.q,E489,_xlpm.tk,P489,_xlpm.ld,Log!$P$18,_xlpm.fx,IF(OR(_xlpm.ld="",_xlpm.ld="Full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"&amp;_xlpm.q,""))))),IF(C489-I489&gt;=0.99,"next day",IF(C489-I489&gt;0.4,"12h → 24h","")))))))))))</f>
        <v/>
      </c>
      <c r="H489" s="4" t="str">
        <f t="shared" si="42"/>
        <v/>
      </c>
      <c r="I489" s="5" t="str">
        <f t="shared" si="43"/>
        <v/>
      </c>
      <c r="J489" s="6">
        <f t="shared" si="44"/>
        <v>0</v>
      </c>
      <c r="K489" s="4" t="str">
        <f t="shared" si="45"/>
        <v/>
      </c>
      <c r="L489" s="4" t="str">
        <f t="shared" si="46"/>
        <v/>
      </c>
      <c r="M489" s="4" t="b" cm="1">
        <f t="array" ref="M489">IF(H489="",FALSE,SUMPRODUCT(--(H$1:H488=H489))&gt;0)</f>
        <v>0</v>
      </c>
      <c r="N489" s="36"/>
      <c r="P489" s="1" t="str">
        <f t="shared" si="47"/>
        <v/>
      </c>
    </row>
    <row r="490" spans="1:16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"&amp;L490,IF(AND(MAX(K$1:K489)&gt;0,N(K490)-MAX(K$1:K489)&gt;180),"⚠ Gap &gt; 3h",IF(_xlfn.LET(_xlpm.q,E490,_xlpm.tk,P490,_xlpm.ld,Log!$P$18,_xlpm.fx,IF(OR(_xlpm.ld="",_xlpm.ld="Full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"&amp;_xlpm.q,""))))&lt;&gt;"",IF(N490&lt;&gt;"","Load OK ✓ (checked)","⚠ "&amp;_xlfn.LET(_xlpm.q,E490,_xlpm.tk,P490,_xlpm.ld,Log!$P$18,_xlpm.fx,IF(OR(_xlpm.ld="",_xlpm.ld="Full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"&amp;_xlpm.q,""))))),IF(C490-I490&gt;=0.99,"next day",IF(C490-I490&gt;0.4,"12h → 24h","")))))))))))</f>
        <v/>
      </c>
      <c r="H490" s="4" t="str">
        <f t="shared" si="42"/>
        <v/>
      </c>
      <c r="I490" s="5" t="str">
        <f t="shared" si="43"/>
        <v/>
      </c>
      <c r="J490" s="6">
        <f t="shared" si="44"/>
        <v>0</v>
      </c>
      <c r="K490" s="4" t="str">
        <f t="shared" si="45"/>
        <v/>
      </c>
      <c r="L490" s="4" t="str">
        <f t="shared" si="46"/>
        <v/>
      </c>
      <c r="M490" s="4" t="b" cm="1">
        <f t="array" ref="M490">IF(H490="",FALSE,SUMPRODUCT(--(H$1:H489=H490))&gt;0)</f>
        <v>0</v>
      </c>
      <c r="N490" s="36"/>
      <c r="P490" s="1" t="str">
        <f t="shared" si="47"/>
        <v/>
      </c>
    </row>
    <row r="491" spans="1:16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"&amp;L491,IF(AND(MAX(K$1:K490)&gt;0,N(K491)-MAX(K$1:K490)&gt;180),"⚠ Gap &gt; 3h",IF(_xlfn.LET(_xlpm.q,E491,_xlpm.tk,P491,_xlpm.ld,Log!$P$18,_xlpm.fx,IF(OR(_xlpm.ld="",_xlpm.ld="Full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"&amp;_xlpm.q,""))))&lt;&gt;"",IF(N491&lt;&gt;"","Load OK ✓ (checked)","⚠ "&amp;_xlfn.LET(_xlpm.q,E491,_xlpm.tk,P491,_xlpm.ld,Log!$P$18,_xlpm.fx,IF(OR(_xlpm.ld="",_xlpm.ld="Full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"&amp;_xlpm.q,""))))),IF(C491-I491&gt;=0.99,"next day",IF(C491-I491&gt;0.4,"12h → 24h","")))))))))))</f>
        <v/>
      </c>
      <c r="H491" s="4" t="str">
        <f t="shared" si="42"/>
        <v/>
      </c>
      <c r="I491" s="5" t="str">
        <f t="shared" si="43"/>
        <v/>
      </c>
      <c r="J491" s="6">
        <f t="shared" si="44"/>
        <v>0</v>
      </c>
      <c r="K491" s="4" t="str">
        <f t="shared" si="45"/>
        <v/>
      </c>
      <c r="L491" s="4" t="str">
        <f t="shared" si="46"/>
        <v/>
      </c>
      <c r="M491" s="4" t="b" cm="1">
        <f t="array" ref="M491">IF(H491="",FALSE,SUMPRODUCT(--(H$1:H490=H491))&gt;0)</f>
        <v>0</v>
      </c>
      <c r="N491" s="36"/>
      <c r="P491" s="1" t="str">
        <f t="shared" si="47"/>
        <v/>
      </c>
    </row>
    <row r="492" spans="1:16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"&amp;L492,IF(AND(MAX(K$1:K491)&gt;0,N(K492)-MAX(K$1:K491)&gt;180),"⚠ Gap &gt; 3h",IF(_xlfn.LET(_xlpm.q,E492,_xlpm.tk,P492,_xlpm.ld,Log!$P$18,_xlpm.fx,IF(OR(_xlpm.ld="",_xlpm.ld="Full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"&amp;_xlpm.q,""))))&lt;&gt;"",IF(N492&lt;&gt;"","Load OK ✓ (checked)","⚠ "&amp;_xlfn.LET(_xlpm.q,E492,_xlpm.tk,P492,_xlpm.ld,Log!$P$18,_xlpm.fx,IF(OR(_xlpm.ld="",_xlpm.ld="Full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"&amp;_xlpm.q,""))))),IF(C492-I492&gt;=0.99,"next day",IF(C492-I492&gt;0.4,"12h → 24h","")))))))))))</f>
        <v/>
      </c>
      <c r="H492" s="4" t="str">
        <f t="shared" si="42"/>
        <v/>
      </c>
      <c r="I492" s="5" t="str">
        <f t="shared" si="43"/>
        <v/>
      </c>
      <c r="J492" s="6">
        <f t="shared" si="44"/>
        <v>0</v>
      </c>
      <c r="K492" s="4" t="str">
        <f t="shared" si="45"/>
        <v/>
      </c>
      <c r="L492" s="4" t="str">
        <f t="shared" si="46"/>
        <v/>
      </c>
      <c r="M492" s="4" t="b" cm="1">
        <f t="array" ref="M492">IF(H492="",FALSE,SUMPRODUCT(--(H$1:H491=H492))&gt;0)</f>
        <v>0</v>
      </c>
      <c r="N492" s="36"/>
      <c r="P492" s="1" t="str">
        <f t="shared" si="47"/>
        <v/>
      </c>
    </row>
    <row r="493" spans="1:16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"&amp;L493,IF(AND(MAX(K$1:K492)&gt;0,N(K493)-MAX(K$1:K492)&gt;180),"⚠ Gap &gt; 3h",IF(_xlfn.LET(_xlpm.q,E493,_xlpm.tk,P493,_xlpm.ld,Log!$P$18,_xlpm.fx,IF(OR(_xlpm.ld="",_xlpm.ld="Full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"&amp;_xlpm.q,""))))&lt;&gt;"",IF(N493&lt;&gt;"","Load OK ✓ (checked)","⚠ "&amp;_xlfn.LET(_xlpm.q,E493,_xlpm.tk,P493,_xlpm.ld,Log!$P$18,_xlpm.fx,IF(OR(_xlpm.ld="",_xlpm.ld="Full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"&amp;_xlpm.q,""))))),IF(C493-I493&gt;=0.99,"next day",IF(C493-I493&gt;0.4,"12h → 24h","")))))))))))</f>
        <v/>
      </c>
      <c r="H493" s="4" t="str">
        <f t="shared" si="42"/>
        <v/>
      </c>
      <c r="I493" s="5" t="str">
        <f t="shared" si="43"/>
        <v/>
      </c>
      <c r="J493" s="6">
        <f t="shared" si="44"/>
        <v>0</v>
      </c>
      <c r="K493" s="4" t="str">
        <f t="shared" si="45"/>
        <v/>
      </c>
      <c r="L493" s="4" t="str">
        <f t="shared" si="46"/>
        <v/>
      </c>
      <c r="M493" s="4" t="b" cm="1">
        <f t="array" ref="M493">IF(H493="",FALSE,SUMPRODUCT(--(H$1:H492=H493))&gt;0)</f>
        <v>0</v>
      </c>
      <c r="N493" s="36"/>
      <c r="P493" s="1" t="str">
        <f t="shared" si="47"/>
        <v/>
      </c>
    </row>
    <row r="494" spans="1:16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"&amp;L494,IF(AND(MAX(K$1:K493)&gt;0,N(K494)-MAX(K$1:K493)&gt;180),"⚠ Gap &gt; 3h",IF(_xlfn.LET(_xlpm.q,E494,_xlpm.tk,P494,_xlpm.ld,Log!$P$18,_xlpm.fx,IF(OR(_xlpm.ld="",_xlpm.ld="Full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"&amp;_xlpm.q,""))))&lt;&gt;"",IF(N494&lt;&gt;"","Load OK ✓ (checked)","⚠ "&amp;_xlfn.LET(_xlpm.q,E494,_xlpm.tk,P494,_xlpm.ld,Log!$P$18,_xlpm.fx,IF(OR(_xlpm.ld="",_xlpm.ld="Full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"&amp;_xlpm.q,""))))),IF(C494-I494&gt;=0.99,"next day",IF(C494-I494&gt;0.4,"12h → 24h","")))))))))))</f>
        <v/>
      </c>
      <c r="H494" s="4" t="str">
        <f t="shared" si="42"/>
        <v/>
      </c>
      <c r="I494" s="5" t="str">
        <f t="shared" si="43"/>
        <v/>
      </c>
      <c r="J494" s="6">
        <f t="shared" si="44"/>
        <v>0</v>
      </c>
      <c r="K494" s="4" t="str">
        <f t="shared" si="45"/>
        <v/>
      </c>
      <c r="L494" s="4" t="str">
        <f t="shared" si="46"/>
        <v/>
      </c>
      <c r="M494" s="4" t="b" cm="1">
        <f t="array" ref="M494">IF(H494="",FALSE,SUMPRODUCT(--(H$1:H493=H494))&gt;0)</f>
        <v>0</v>
      </c>
      <c r="N494" s="36"/>
      <c r="P494" s="1" t="str">
        <f t="shared" si="47"/>
        <v/>
      </c>
    </row>
    <row r="495" spans="1:16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"&amp;L495,IF(AND(MAX(K$1:K494)&gt;0,N(K495)-MAX(K$1:K494)&gt;180),"⚠ Gap &gt; 3h",IF(_xlfn.LET(_xlpm.q,E495,_xlpm.tk,P495,_xlpm.ld,Log!$P$18,_xlpm.fx,IF(OR(_xlpm.ld="",_xlpm.ld="Full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"&amp;_xlpm.q,""))))&lt;&gt;"",IF(N495&lt;&gt;"","Load OK ✓ (checked)","⚠ "&amp;_xlfn.LET(_xlpm.q,E495,_xlpm.tk,P495,_xlpm.ld,Log!$P$18,_xlpm.fx,IF(OR(_xlpm.ld="",_xlpm.ld="Full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"&amp;_xlpm.q,""))))),IF(C495-I495&gt;=0.99,"next day",IF(C495-I495&gt;0.4,"12h → 24h","")))))))))))</f>
        <v/>
      </c>
      <c r="H495" s="4" t="str">
        <f t="shared" si="42"/>
        <v/>
      </c>
      <c r="I495" s="5" t="str">
        <f t="shared" si="43"/>
        <v/>
      </c>
      <c r="J495" s="6">
        <f t="shared" si="44"/>
        <v>0</v>
      </c>
      <c r="K495" s="4" t="str">
        <f t="shared" si="45"/>
        <v/>
      </c>
      <c r="L495" s="4" t="str">
        <f t="shared" si="46"/>
        <v/>
      </c>
      <c r="M495" s="4" t="b" cm="1">
        <f t="array" ref="M495">IF(H495="",FALSE,SUMPRODUCT(--(H$1:H494=H495))&gt;0)</f>
        <v>0</v>
      </c>
      <c r="N495" s="36"/>
      <c r="P495" s="1" t="str">
        <f t="shared" si="47"/>
        <v/>
      </c>
    </row>
    <row r="496" spans="1:16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"&amp;L496,IF(AND(MAX(K$1:K495)&gt;0,N(K496)-MAX(K$1:K495)&gt;180),"⚠ Gap &gt; 3h",IF(_xlfn.LET(_xlpm.q,E496,_xlpm.tk,P496,_xlpm.ld,Log!$P$18,_xlpm.fx,IF(OR(_xlpm.ld="",_xlpm.ld="Full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"&amp;_xlpm.q,""))))&lt;&gt;"",IF(N496&lt;&gt;"","Load OK ✓ (checked)","⚠ "&amp;_xlfn.LET(_xlpm.q,E496,_xlpm.tk,P496,_xlpm.ld,Log!$P$18,_xlpm.fx,IF(OR(_xlpm.ld="",_xlpm.ld="Full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"&amp;_xlpm.q,""))))),IF(C496-I496&gt;=0.99,"next day",IF(C496-I496&gt;0.4,"12h → 24h","")))))))))))</f>
        <v/>
      </c>
      <c r="H496" s="4" t="str">
        <f t="shared" si="42"/>
        <v/>
      </c>
      <c r="I496" s="5" t="str">
        <f t="shared" si="43"/>
        <v/>
      </c>
      <c r="J496" s="6">
        <f t="shared" si="44"/>
        <v>0</v>
      </c>
      <c r="K496" s="4" t="str">
        <f t="shared" si="45"/>
        <v/>
      </c>
      <c r="L496" s="4" t="str">
        <f t="shared" si="46"/>
        <v/>
      </c>
      <c r="M496" s="4" t="b" cm="1">
        <f t="array" ref="M496">IF(H496="",FALSE,SUMPRODUCT(--(H$1:H495=H496))&gt;0)</f>
        <v>0</v>
      </c>
      <c r="N496" s="36"/>
      <c r="P496" s="1" t="str">
        <f t="shared" si="47"/>
        <v/>
      </c>
    </row>
    <row r="497" spans="1:16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"&amp;L497,IF(AND(MAX(K$1:K496)&gt;0,N(K497)-MAX(K$1:K496)&gt;180),"⚠ Gap &gt; 3h",IF(_xlfn.LET(_xlpm.q,E497,_xlpm.tk,P497,_xlpm.ld,Log!$P$18,_xlpm.fx,IF(OR(_xlpm.ld="",_xlpm.ld="Full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"&amp;_xlpm.q,""))))&lt;&gt;"",IF(N497&lt;&gt;"","Load OK ✓ (checked)","⚠ "&amp;_xlfn.LET(_xlpm.q,E497,_xlpm.tk,P497,_xlpm.ld,Log!$P$18,_xlpm.fx,IF(OR(_xlpm.ld="",_xlpm.ld="Full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"&amp;_xlpm.q,""))))),IF(C497-I497&gt;=0.99,"next day",IF(C497-I497&gt;0.4,"12h → 24h","")))))))))))</f>
        <v/>
      </c>
      <c r="H497" s="4" t="str">
        <f t="shared" si="42"/>
        <v/>
      </c>
      <c r="I497" s="5" t="str">
        <f t="shared" si="43"/>
        <v/>
      </c>
      <c r="J497" s="6">
        <f t="shared" si="44"/>
        <v>0</v>
      </c>
      <c r="K497" s="4" t="str">
        <f t="shared" si="45"/>
        <v/>
      </c>
      <c r="L497" s="4" t="str">
        <f t="shared" si="46"/>
        <v/>
      </c>
      <c r="M497" s="4" t="b" cm="1">
        <f t="array" ref="M497">IF(H497="",FALSE,SUMPRODUCT(--(H$1:H496=H497))&gt;0)</f>
        <v>0</v>
      </c>
      <c r="N497" s="36"/>
      <c r="P497" s="1" t="str">
        <f t="shared" si="47"/>
        <v/>
      </c>
    </row>
    <row r="498" spans="1:16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"&amp;L498,IF(AND(MAX(K$1:K497)&gt;0,N(K498)-MAX(K$1:K497)&gt;180),"⚠ Gap &gt; 3h",IF(_xlfn.LET(_xlpm.q,E498,_xlpm.tk,P498,_xlpm.ld,Log!$P$18,_xlpm.fx,IF(OR(_xlpm.ld="",_xlpm.ld="Full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"&amp;_xlpm.q,""))))&lt;&gt;"",IF(N498&lt;&gt;"","Load OK ✓ (checked)","⚠ "&amp;_xlfn.LET(_xlpm.q,E498,_xlpm.tk,P498,_xlpm.ld,Log!$P$18,_xlpm.fx,IF(OR(_xlpm.ld="",_xlpm.ld="Full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"&amp;_xlpm.q,""))))),IF(C498-I498&gt;=0.99,"next day",IF(C498-I498&gt;0.4,"12h → 24h","")))))))))))</f>
        <v/>
      </c>
      <c r="H498" s="4" t="str">
        <f t="shared" si="42"/>
        <v/>
      </c>
      <c r="I498" s="5" t="str">
        <f t="shared" si="43"/>
        <v/>
      </c>
      <c r="J498" s="6">
        <f t="shared" si="44"/>
        <v>0</v>
      </c>
      <c r="K498" s="4" t="str">
        <f t="shared" si="45"/>
        <v/>
      </c>
      <c r="L498" s="4" t="str">
        <f t="shared" si="46"/>
        <v/>
      </c>
      <c r="M498" s="4" t="b" cm="1">
        <f t="array" ref="M498">IF(H498="",FALSE,SUMPRODUCT(--(H$1:H497=H498))&gt;0)</f>
        <v>0</v>
      </c>
      <c r="N498" s="36"/>
      <c r="P498" s="1" t="str">
        <f t="shared" si="47"/>
        <v/>
      </c>
    </row>
    <row r="499" spans="1:16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"&amp;L499,IF(AND(MAX(K$1:K498)&gt;0,N(K499)-MAX(K$1:K498)&gt;180),"⚠ Gap &gt; 3h",IF(_xlfn.LET(_xlpm.q,E499,_xlpm.tk,P499,_xlpm.ld,Log!$P$18,_xlpm.fx,IF(OR(_xlpm.ld="",_xlpm.ld="Full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"&amp;_xlpm.q,""))))&lt;&gt;"",IF(N499&lt;&gt;"","Load OK ✓ (checked)","⚠ "&amp;_xlfn.LET(_xlpm.q,E499,_xlpm.tk,P499,_xlpm.ld,Log!$P$18,_xlpm.fx,IF(OR(_xlpm.ld="",_xlpm.ld="Full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"&amp;_xlpm.q,""))))),IF(C499-I499&gt;=0.99,"next day",IF(C499-I499&gt;0.4,"12h → 24h","")))))))))))</f>
        <v/>
      </c>
      <c r="H499" s="4" t="str">
        <f t="shared" si="42"/>
        <v/>
      </c>
      <c r="I499" s="5" t="str">
        <f t="shared" si="43"/>
        <v/>
      </c>
      <c r="J499" s="6">
        <f t="shared" si="44"/>
        <v>0</v>
      </c>
      <c r="K499" s="4" t="str">
        <f t="shared" si="45"/>
        <v/>
      </c>
      <c r="L499" s="4" t="str">
        <f t="shared" si="46"/>
        <v/>
      </c>
      <c r="M499" s="4" t="b" cm="1">
        <f t="array" ref="M499">IF(H499="",FALSE,SUMPRODUCT(--(H$1:H498=H499))&gt;0)</f>
        <v>0</v>
      </c>
      <c r="N499" s="36"/>
      <c r="P499" s="1" t="str">
        <f t="shared" si="47"/>
        <v/>
      </c>
    </row>
    <row r="500" spans="1:16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"&amp;L500,IF(AND(MAX(K$1:K499)&gt;0,N(K500)-MAX(K$1:K499)&gt;180),"⚠ Gap &gt; 3h",IF(_xlfn.LET(_xlpm.q,E500,_xlpm.tk,P500,_xlpm.ld,Log!$P$18,_xlpm.fx,IF(OR(_xlpm.ld="",_xlpm.ld="Full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"&amp;_xlpm.q,""))))&lt;&gt;"",IF(N500&lt;&gt;"","Load OK ✓ (checked)","⚠ "&amp;_xlfn.LET(_xlpm.q,E500,_xlpm.tk,P500,_xlpm.ld,Log!$P$18,_xlpm.fx,IF(OR(_xlpm.ld="",_xlpm.ld="Full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"&amp;_xlpm.q,""))))),IF(C500-I500&gt;=0.99,"next day",IF(C500-I500&gt;0.4,"12h → 24h","")))))))))))</f>
        <v/>
      </c>
      <c r="H500" s="4" t="str">
        <f t="shared" si="42"/>
        <v/>
      </c>
      <c r="I500" s="5" t="str">
        <f t="shared" si="43"/>
        <v/>
      </c>
      <c r="J500" s="6">
        <f t="shared" si="44"/>
        <v>0</v>
      </c>
      <c r="K500" s="4" t="str">
        <f t="shared" si="45"/>
        <v/>
      </c>
      <c r="L500" s="4" t="str">
        <f t="shared" si="46"/>
        <v/>
      </c>
      <c r="M500" s="4" t="b" cm="1">
        <f t="array" ref="M500">IF(H500="",FALSE,SUMPRODUCT(--(H$1:H499=H500))&gt;0)</f>
        <v>0</v>
      </c>
      <c r="N500" s="36"/>
      <c r="P500" s="1" t="str">
        <f t="shared" si="47"/>
        <v/>
      </c>
    </row>
    <row r="501" spans="1:16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"&amp;L501,IF(AND(MAX(K$1:K500)&gt;0,N(K501)-MAX(K$1:K500)&gt;180),"⚠ Gap &gt; 3h",IF(_xlfn.LET(_xlpm.q,E501,_xlpm.tk,P501,_xlpm.ld,Log!$P$18,_xlpm.fx,IF(OR(_xlpm.ld="",_xlpm.ld="Full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"&amp;_xlpm.q,""))))&lt;&gt;"",IF(N501&lt;&gt;"","Load OK ✓ (checked)","⚠ "&amp;_xlfn.LET(_xlpm.q,E501,_xlpm.tk,P501,_xlpm.ld,Log!$P$18,_xlpm.fx,IF(OR(_xlpm.ld="",_xlpm.ld="Full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"&amp;_xlpm.q,""))))),IF(C501-I501&gt;=0.99,"next day",IF(C501-I501&gt;0.4,"12h → 24h","")))))))))))</f>
        <v/>
      </c>
      <c r="H501" s="4" t="str">
        <f t="shared" si="42"/>
        <v/>
      </c>
      <c r="I501" s="5" t="str">
        <f t="shared" si="43"/>
        <v/>
      </c>
      <c r="J501" s="6">
        <f t="shared" si="44"/>
        <v>0</v>
      </c>
      <c r="K501" s="4" t="str">
        <f t="shared" si="45"/>
        <v/>
      </c>
      <c r="L501" s="4" t="str">
        <f t="shared" si="46"/>
        <v/>
      </c>
      <c r="M501" s="4" t="b" cm="1">
        <f t="array" ref="M501">IF(H501="",FALSE,SUMPRODUCT(--(H$1:H500=H501))&gt;0)</f>
        <v>0</v>
      </c>
      <c r="N501" s="36"/>
      <c r="P501" s="1" t="str">
        <f t="shared" si="47"/>
        <v/>
      </c>
    </row>
    <row r="502" spans="1:16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"&amp;L502,IF(AND(MAX(K$1:K501)&gt;0,N(K502)-MAX(K$1:K501)&gt;180),"⚠ Gap &gt; 3h",IF(_xlfn.LET(_xlpm.q,E502,_xlpm.tk,P502,_xlpm.ld,Log!$P$18,_xlpm.fx,IF(OR(_xlpm.ld="",_xlpm.ld="Full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"&amp;_xlpm.q,""))))&lt;&gt;"",IF(N502&lt;&gt;"","Load OK ✓ (checked)","⚠ "&amp;_xlfn.LET(_xlpm.q,E502,_xlpm.tk,P502,_xlpm.ld,Log!$P$18,_xlpm.fx,IF(OR(_xlpm.ld="",_xlpm.ld="Full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"&amp;_xlpm.q,""))))),IF(C502-I502&gt;=0.99,"next day",IF(C502-I502&gt;0.4,"12h → 24h","")))))))))))</f>
        <v/>
      </c>
      <c r="H502" s="4" t="str">
        <f t="shared" si="42"/>
        <v/>
      </c>
      <c r="I502" s="5" t="str">
        <f t="shared" si="43"/>
        <v/>
      </c>
      <c r="J502" s="6">
        <f t="shared" si="44"/>
        <v>0</v>
      </c>
      <c r="K502" s="4" t="str">
        <f t="shared" si="45"/>
        <v/>
      </c>
      <c r="L502" s="4" t="str">
        <f t="shared" si="46"/>
        <v/>
      </c>
      <c r="M502" s="4" t="b" cm="1">
        <f t="array" ref="M502">IF(H502="",FALSE,SUMPRODUCT(--(H$1:H501=H502))&gt;0)</f>
        <v>0</v>
      </c>
      <c r="N502" s="36"/>
      <c r="P502" s="1" t="str">
        <f t="shared" si="47"/>
        <v/>
      </c>
    </row>
    <row r="503" spans="1:16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"&amp;L503,IF(AND(MAX(K$1:K502)&gt;0,N(K503)-MAX(K$1:K502)&gt;180),"⚠ Gap &gt; 3h",IF(_xlfn.LET(_xlpm.q,E503,_xlpm.tk,P503,_xlpm.ld,Log!$P$18,_xlpm.fx,IF(OR(_xlpm.ld="",_xlpm.ld="Full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"&amp;_xlpm.q,""))))&lt;&gt;"",IF(N503&lt;&gt;"","Load OK ✓ (checked)","⚠ "&amp;_xlfn.LET(_xlpm.q,E503,_xlpm.tk,P503,_xlpm.ld,Log!$P$18,_xlpm.fx,IF(OR(_xlpm.ld="",_xlpm.ld="Full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"&amp;_xlpm.q,""))))),IF(C503-I503&gt;=0.99,"next day",IF(C503-I503&gt;0.4,"12h → 24h","")))))))))))</f>
        <v/>
      </c>
      <c r="H503" s="4" t="str">
        <f t="shared" si="42"/>
        <v/>
      </c>
      <c r="I503" s="5" t="str">
        <f t="shared" si="43"/>
        <v/>
      </c>
      <c r="J503" s="6">
        <f t="shared" si="44"/>
        <v>0</v>
      </c>
      <c r="K503" s="4" t="str">
        <f t="shared" si="45"/>
        <v/>
      </c>
      <c r="L503" s="4" t="str">
        <f t="shared" si="46"/>
        <v/>
      </c>
      <c r="M503" s="4" t="b" cm="1">
        <f t="array" ref="M503">IF(H503="",FALSE,SUMPRODUCT(--(H$1:H502=H503))&gt;0)</f>
        <v>0</v>
      </c>
      <c r="N503" s="36"/>
      <c r="P503" s="1" t="str">
        <f t="shared" si="47"/>
        <v/>
      </c>
    </row>
    <row r="504" spans="1:16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"&amp;L504,IF(AND(MAX(K$1:K503)&gt;0,N(K504)-MAX(K$1:K503)&gt;180),"⚠ Gap &gt; 3h",IF(_xlfn.LET(_xlpm.q,E504,_xlpm.tk,P504,_xlpm.ld,Log!$P$18,_xlpm.fx,IF(OR(_xlpm.ld="",_xlpm.ld="Full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"&amp;_xlpm.q,""))))&lt;&gt;"",IF(N504&lt;&gt;"","Load OK ✓ (checked)","⚠ "&amp;_xlfn.LET(_xlpm.q,E504,_xlpm.tk,P504,_xlpm.ld,Log!$P$18,_xlpm.fx,IF(OR(_xlpm.ld="",_xlpm.ld="Full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"&amp;_xlpm.q,""))))),IF(C504-I504&gt;=0.99,"next day",IF(C504-I504&gt;0.4,"12h → 24h","")))))))))))</f>
        <v/>
      </c>
      <c r="H504" s="4" t="str">
        <f t="shared" si="42"/>
        <v/>
      </c>
      <c r="I504" s="5" t="str">
        <f t="shared" si="43"/>
        <v/>
      </c>
      <c r="J504" s="6">
        <f t="shared" si="44"/>
        <v>0</v>
      </c>
      <c r="K504" s="4" t="str">
        <f t="shared" si="45"/>
        <v/>
      </c>
      <c r="L504" s="4" t="str">
        <f t="shared" si="46"/>
        <v/>
      </c>
      <c r="M504" s="4" t="b" cm="1">
        <f t="array" ref="M504">IF(H504="",FALSE,SUMPRODUCT(--(H$1:H503=H504))&gt;0)</f>
        <v>0</v>
      </c>
      <c r="N504" s="36"/>
      <c r="P504" s="1" t="str">
        <f t="shared" si="47"/>
        <v/>
      </c>
    </row>
    <row r="505" spans="1:16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"&amp;L505,IF(AND(MAX(K$1:K504)&gt;0,N(K505)-MAX(K$1:K504)&gt;180),"⚠ Gap &gt; 3h",IF(_xlfn.LET(_xlpm.q,E505,_xlpm.tk,P505,_xlpm.ld,Log!$P$18,_xlpm.fx,IF(OR(_xlpm.ld="",_xlpm.ld="Full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"&amp;_xlpm.q,""))))&lt;&gt;"",IF(N505&lt;&gt;"","Load OK ✓ (checked)","⚠ "&amp;_xlfn.LET(_xlpm.q,E505,_xlpm.tk,P505,_xlpm.ld,Log!$P$18,_xlpm.fx,IF(OR(_xlpm.ld="",_xlpm.ld="Full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"&amp;_xlpm.q,""))))),IF(C505-I505&gt;=0.99,"next day",IF(C505-I505&gt;0.4,"12h → 24h","")))))))))))</f>
        <v/>
      </c>
      <c r="H505" s="4" t="str">
        <f t="shared" si="42"/>
        <v/>
      </c>
      <c r="I505" s="5" t="str">
        <f t="shared" si="43"/>
        <v/>
      </c>
      <c r="J505" s="6">
        <f t="shared" si="44"/>
        <v>0</v>
      </c>
      <c r="K505" s="4" t="str">
        <f t="shared" si="45"/>
        <v/>
      </c>
      <c r="L505" s="4" t="str">
        <f t="shared" si="46"/>
        <v/>
      </c>
      <c r="M505" s="4" t="b" cm="1">
        <f t="array" ref="M505">IF(H505="",FALSE,SUMPRODUCT(--(H$1:H504=H505))&gt;0)</f>
        <v>0</v>
      </c>
      <c r="N505" s="36"/>
      <c r="P505" s="1" t="str">
        <f t="shared" si="47"/>
        <v/>
      </c>
    </row>
    <row r="506" spans="1:16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"&amp;L506,IF(AND(MAX(K$1:K505)&gt;0,N(K506)-MAX(K$1:K505)&gt;180),"⚠ Gap &gt; 3h",IF(_xlfn.LET(_xlpm.q,E506,_xlpm.tk,P506,_xlpm.ld,Log!$P$18,_xlpm.fx,IF(OR(_xlpm.ld="",_xlpm.ld="Full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"&amp;_xlpm.q,""))))&lt;&gt;"",IF(N506&lt;&gt;"","Load OK ✓ (checked)","⚠ "&amp;_xlfn.LET(_xlpm.q,E506,_xlpm.tk,P506,_xlpm.ld,Log!$P$18,_xlpm.fx,IF(OR(_xlpm.ld="",_xlpm.ld="Full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"&amp;_xlpm.q,""))))),IF(C506-I506&gt;=0.99,"next day",IF(C506-I506&gt;0.4,"12h → 24h","")))))))))))</f>
        <v/>
      </c>
      <c r="H506" s="4" t="str">
        <f t="shared" si="42"/>
        <v/>
      </c>
      <c r="I506" s="5" t="str">
        <f t="shared" si="43"/>
        <v/>
      </c>
      <c r="J506" s="6">
        <f t="shared" si="44"/>
        <v>0</v>
      </c>
      <c r="K506" s="4" t="str">
        <f t="shared" si="45"/>
        <v/>
      </c>
      <c r="L506" s="4" t="str">
        <f t="shared" si="46"/>
        <v/>
      </c>
      <c r="M506" s="4" t="b" cm="1">
        <f t="array" ref="M506">IF(H506="",FALSE,SUMPRODUCT(--(H$1:H505=H506))&gt;0)</f>
        <v>0</v>
      </c>
      <c r="N506" s="36"/>
      <c r="P506" s="1" t="str">
        <f t="shared" si="47"/>
        <v/>
      </c>
    </row>
    <row r="507" spans="1:16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"&amp;L507,IF(AND(MAX(K$1:K506)&gt;0,N(K507)-MAX(K$1:K506)&gt;180),"⚠ Gap &gt; 3h",IF(_xlfn.LET(_xlpm.q,E507,_xlpm.tk,P507,_xlpm.ld,Log!$P$18,_xlpm.fx,IF(OR(_xlpm.ld="",_xlpm.ld="Full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"&amp;_xlpm.q,""))))&lt;&gt;"",IF(N507&lt;&gt;"","Load OK ✓ (checked)","⚠ "&amp;_xlfn.LET(_xlpm.q,E507,_xlpm.tk,P507,_xlpm.ld,Log!$P$18,_xlpm.fx,IF(OR(_xlpm.ld="",_xlpm.ld="Full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"&amp;_xlpm.q,""))))),IF(C507-I507&gt;=0.99,"next day",IF(C507-I507&gt;0.4,"12h → 24h","")))))))))))</f>
        <v/>
      </c>
      <c r="H507" s="4" t="str">
        <f t="shared" si="42"/>
        <v/>
      </c>
      <c r="I507" s="5" t="str">
        <f t="shared" si="43"/>
        <v/>
      </c>
      <c r="J507" s="6">
        <f t="shared" si="44"/>
        <v>0</v>
      </c>
      <c r="K507" s="4" t="str">
        <f t="shared" si="45"/>
        <v/>
      </c>
      <c r="L507" s="4" t="str">
        <f t="shared" si="46"/>
        <v/>
      </c>
      <c r="M507" s="4" t="b" cm="1">
        <f t="array" ref="M507">IF(H507="",FALSE,SUMPRODUCT(--(H$1:H506=H507))&gt;0)</f>
        <v>0</v>
      </c>
      <c r="N507" s="36"/>
      <c r="P507" s="1" t="str">
        <f t="shared" si="47"/>
        <v/>
      </c>
    </row>
    <row r="508" spans="1:16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"&amp;L508,IF(AND(MAX(K$1:K507)&gt;0,N(K508)-MAX(K$1:K507)&gt;180),"⚠ Gap &gt; 3h",IF(_xlfn.LET(_xlpm.q,E508,_xlpm.tk,P508,_xlpm.ld,Log!$P$18,_xlpm.fx,IF(OR(_xlpm.ld="",_xlpm.ld="Full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"&amp;_xlpm.q,""))))&lt;&gt;"",IF(N508&lt;&gt;"","Load OK ✓ (checked)","⚠ "&amp;_xlfn.LET(_xlpm.q,E508,_xlpm.tk,P508,_xlpm.ld,Log!$P$18,_xlpm.fx,IF(OR(_xlpm.ld="",_xlpm.ld="Full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"&amp;_xlpm.q,""))))),IF(C508-I508&gt;=0.99,"next day",IF(C508-I508&gt;0.4,"12h → 24h","")))))))))))</f>
        <v/>
      </c>
      <c r="H508" s="4" t="str">
        <f t="shared" si="42"/>
        <v/>
      </c>
      <c r="I508" s="5" t="str">
        <f t="shared" si="43"/>
        <v/>
      </c>
      <c r="J508" s="6">
        <f t="shared" si="44"/>
        <v>0</v>
      </c>
      <c r="K508" s="4" t="str">
        <f t="shared" si="45"/>
        <v/>
      </c>
      <c r="L508" s="4" t="str">
        <f t="shared" si="46"/>
        <v/>
      </c>
      <c r="M508" s="4" t="b" cm="1">
        <f t="array" ref="M508">IF(H508="",FALSE,SUMPRODUCT(--(H$1:H507=H508))&gt;0)</f>
        <v>0</v>
      </c>
      <c r="N508" s="36"/>
      <c r="P508" s="1" t="str">
        <f t="shared" si="47"/>
        <v/>
      </c>
    </row>
    <row r="509" spans="1:16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"&amp;L509,IF(AND(MAX(K$1:K508)&gt;0,N(K509)-MAX(K$1:K508)&gt;180),"⚠ Gap &gt; 3h",IF(_xlfn.LET(_xlpm.q,E509,_xlpm.tk,P509,_xlpm.ld,Log!$P$18,_xlpm.fx,IF(OR(_xlpm.ld="",_xlpm.ld="Full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"&amp;_xlpm.q,""))))&lt;&gt;"",IF(N509&lt;&gt;"","Load OK ✓ (checked)","⚠ "&amp;_xlfn.LET(_xlpm.q,E509,_xlpm.tk,P509,_xlpm.ld,Log!$P$18,_xlpm.fx,IF(OR(_xlpm.ld="",_xlpm.ld="Full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"&amp;_xlpm.q,""))))),IF(C509-I509&gt;=0.99,"next day",IF(C509-I509&gt;0.4,"12h → 24h","")))))))))))</f>
        <v/>
      </c>
      <c r="H509" s="4" t="str">
        <f t="shared" si="42"/>
        <v/>
      </c>
      <c r="I509" s="5" t="str">
        <f t="shared" si="43"/>
        <v/>
      </c>
      <c r="J509" s="6">
        <f t="shared" si="44"/>
        <v>0</v>
      </c>
      <c r="K509" s="4" t="str">
        <f t="shared" si="45"/>
        <v/>
      </c>
      <c r="L509" s="4" t="str">
        <f t="shared" si="46"/>
        <v/>
      </c>
      <c r="M509" s="4" t="b" cm="1">
        <f t="array" ref="M509">IF(H509="",FALSE,SUMPRODUCT(--(H$1:H508=H509))&gt;0)</f>
        <v>0</v>
      </c>
      <c r="N509" s="36"/>
      <c r="P509" s="1" t="str">
        <f t="shared" si="47"/>
        <v/>
      </c>
    </row>
    <row r="510" spans="1:16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"&amp;L510,IF(AND(MAX(K$1:K509)&gt;0,N(K510)-MAX(K$1:K509)&gt;180),"⚠ Gap &gt; 3h",IF(_xlfn.LET(_xlpm.q,E510,_xlpm.tk,P510,_xlpm.ld,Log!$P$18,_xlpm.fx,IF(OR(_xlpm.ld="",_xlpm.ld="Full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"&amp;_xlpm.q,""))))&lt;&gt;"",IF(N510&lt;&gt;"","Load OK ✓ (checked)","⚠ "&amp;_xlfn.LET(_xlpm.q,E510,_xlpm.tk,P510,_xlpm.ld,Log!$P$18,_xlpm.fx,IF(OR(_xlpm.ld="",_xlpm.ld="Full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"&amp;_xlpm.q,""))))),IF(C510-I510&gt;=0.99,"next day",IF(C510-I510&gt;0.4,"12h → 24h","")))))))))))</f>
        <v/>
      </c>
      <c r="H510" s="4" t="str">
        <f t="shared" si="42"/>
        <v/>
      </c>
      <c r="I510" s="5" t="str">
        <f t="shared" si="43"/>
        <v/>
      </c>
      <c r="J510" s="6">
        <f t="shared" si="44"/>
        <v>0</v>
      </c>
      <c r="K510" s="4" t="str">
        <f t="shared" si="45"/>
        <v/>
      </c>
      <c r="L510" s="4" t="str">
        <f t="shared" si="46"/>
        <v/>
      </c>
      <c r="M510" s="4" t="b" cm="1">
        <f t="array" ref="M510">IF(H510="",FALSE,SUMPRODUCT(--(H$1:H509=H510))&gt;0)</f>
        <v>0</v>
      </c>
      <c r="N510" s="36"/>
      <c r="P510" s="1" t="str">
        <f t="shared" si="47"/>
        <v/>
      </c>
    </row>
    <row r="511" spans="1:16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"&amp;L511,IF(AND(MAX(K$1:K510)&gt;0,N(K511)-MAX(K$1:K510)&gt;180),"⚠ Gap &gt; 3h",IF(_xlfn.LET(_xlpm.q,E511,_xlpm.tk,P511,_xlpm.ld,Log!$P$18,_xlpm.fx,IF(OR(_xlpm.ld="",_xlpm.ld="Full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"&amp;_xlpm.q,""))))&lt;&gt;"",IF(N511&lt;&gt;"","Load OK ✓ (checked)","⚠ "&amp;_xlfn.LET(_xlpm.q,E511,_xlpm.tk,P511,_xlpm.ld,Log!$P$18,_xlpm.fx,IF(OR(_xlpm.ld="",_xlpm.ld="Full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"&amp;_xlpm.q,""))))),IF(C511-I511&gt;=0.99,"next day",IF(C511-I511&gt;0.4,"12h → 24h","")))))))))))</f>
        <v/>
      </c>
      <c r="H511" s="4" t="str">
        <f t="shared" si="42"/>
        <v/>
      </c>
      <c r="I511" s="5" t="str">
        <f t="shared" si="43"/>
        <v/>
      </c>
      <c r="J511" s="6">
        <f t="shared" si="44"/>
        <v>0</v>
      </c>
      <c r="K511" s="4" t="str">
        <f t="shared" si="45"/>
        <v/>
      </c>
      <c r="L511" s="4" t="str">
        <f t="shared" si="46"/>
        <v/>
      </c>
      <c r="M511" s="4" t="b" cm="1">
        <f t="array" ref="M511">IF(H511="",FALSE,SUMPRODUCT(--(H$1:H510=H511))&gt;0)</f>
        <v>0</v>
      </c>
      <c r="N511" s="36"/>
      <c r="P511" s="1" t="str">
        <f t="shared" si="47"/>
        <v/>
      </c>
    </row>
    <row r="512" spans="1:16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"&amp;L512,IF(AND(MAX(K$1:K511)&gt;0,N(K512)-MAX(K$1:K511)&gt;180),"⚠ Gap &gt; 3h",IF(_xlfn.LET(_xlpm.q,E512,_xlpm.tk,P512,_xlpm.ld,Log!$P$18,_xlpm.fx,IF(OR(_xlpm.ld="",_xlpm.ld="Full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"&amp;_xlpm.q,""))))&lt;&gt;"",IF(N512&lt;&gt;"","Load OK ✓ (checked)","⚠ "&amp;_xlfn.LET(_xlpm.q,E512,_xlpm.tk,P512,_xlpm.ld,Log!$P$18,_xlpm.fx,IF(OR(_xlpm.ld="",_xlpm.ld="Full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"&amp;_xlpm.q,""))))),IF(C512-I512&gt;=0.99,"next day",IF(C512-I512&gt;0.4,"12h → 24h","")))))))))))</f>
        <v/>
      </c>
      <c r="H512" s="4" t="str">
        <f t="shared" si="42"/>
        <v/>
      </c>
      <c r="I512" s="5" t="str">
        <f t="shared" si="43"/>
        <v/>
      </c>
      <c r="J512" s="6">
        <f t="shared" si="44"/>
        <v>0</v>
      </c>
      <c r="K512" s="4" t="str">
        <f t="shared" si="45"/>
        <v/>
      </c>
      <c r="L512" s="4" t="str">
        <f t="shared" si="46"/>
        <v/>
      </c>
      <c r="M512" s="4" t="b" cm="1">
        <f t="array" ref="M512">IF(H512="",FALSE,SUMPRODUCT(--(H$1:H511=H512))&gt;0)</f>
        <v>0</v>
      </c>
      <c r="N512" s="36"/>
      <c r="P512" s="1" t="str">
        <f t="shared" si="47"/>
        <v/>
      </c>
    </row>
    <row r="513" spans="1:16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"&amp;L513,IF(AND(MAX(K$1:K512)&gt;0,N(K513)-MAX(K$1:K512)&gt;180),"⚠ Gap &gt; 3h",IF(_xlfn.LET(_xlpm.q,E513,_xlpm.tk,P513,_xlpm.ld,Log!$P$18,_xlpm.fx,IF(OR(_xlpm.ld="",_xlpm.ld="Full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"&amp;_xlpm.q,""))))&lt;&gt;"",IF(N513&lt;&gt;"","Load OK ✓ (checked)","⚠ "&amp;_xlfn.LET(_xlpm.q,E513,_xlpm.tk,P513,_xlpm.ld,Log!$P$18,_xlpm.fx,IF(OR(_xlpm.ld="",_xlpm.ld="Full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"&amp;_xlpm.q,""))))),IF(C513-I513&gt;=0.99,"next day",IF(C513-I513&gt;0.4,"12h → 24h","")))))))))))</f>
        <v/>
      </c>
      <c r="H513" s="4" t="str">
        <f t="shared" si="42"/>
        <v/>
      </c>
      <c r="I513" s="5" t="str">
        <f t="shared" si="43"/>
        <v/>
      </c>
      <c r="J513" s="6">
        <f t="shared" si="44"/>
        <v>0</v>
      </c>
      <c r="K513" s="4" t="str">
        <f t="shared" si="45"/>
        <v/>
      </c>
      <c r="L513" s="4" t="str">
        <f t="shared" si="46"/>
        <v/>
      </c>
      <c r="M513" s="4" t="b" cm="1">
        <f t="array" ref="M513">IF(H513="",FALSE,SUMPRODUCT(--(H$1:H512=H513))&gt;0)</f>
        <v>0</v>
      </c>
      <c r="N513" s="36"/>
      <c r="P513" s="1" t="str">
        <f t="shared" si="47"/>
        <v/>
      </c>
    </row>
    <row r="514" spans="1:16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"&amp;L514,IF(AND(MAX(K$1:K513)&gt;0,N(K514)-MAX(K$1:K513)&gt;180),"⚠ Gap &gt; 3h",IF(_xlfn.LET(_xlpm.q,E514,_xlpm.tk,P514,_xlpm.ld,Log!$P$18,_xlpm.fx,IF(OR(_xlpm.ld="",_xlpm.ld="Full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"&amp;_xlpm.q,""))))&lt;&gt;"",IF(N514&lt;&gt;"","Load OK ✓ (checked)","⚠ "&amp;_xlfn.LET(_xlpm.q,E514,_xlpm.tk,P514,_xlpm.ld,Log!$P$18,_xlpm.fx,IF(OR(_xlpm.ld="",_xlpm.ld="Full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"&amp;_xlpm.q,""))))),IF(C514-I514&gt;=0.99,"next day",IF(C514-I514&gt;0.4,"12h → 24h","")))))))))))</f>
        <v/>
      </c>
      <c r="H514" s="4" t="str">
        <f t="shared" ref="H514:H577" si="48">IF(B514="","",_xlfn.LET(_xlpm.t,TRIM(B514),IF(LEFT(_xlpm.t,1)="[",IFERROR(TRIM(MID(_xlpm.t,FIND(": ",_xlpm.t,FIND("]",_xlpm.t))+2,500)),_xlpm.t),_xlpm.t)))</f>
        <v/>
      </c>
      <c r="I514" s="5" t="str">
        <f t="shared" ref="I514:I577" si="49">IF(H514="","",IFERROR(TIMEVALUE(TRIM(SUBSTITUTE(SUBSTITUTE(MID(H514,SEARCH(":",H514)-2,5),".",""),"*",""))),""))</f>
        <v/>
      </c>
      <c r="J514" s="6">
        <f t="shared" ref="J514:J577" si="50">IF(OR(B514="",F514="",M514),0,IF(ISNUMBER(F514),F514,N(E514)))</f>
        <v>0</v>
      </c>
      <c r="K514" s="4" t="str">
        <f t="shared" ref="K514:K577" si="51">IF(OR(C514="",M514),"",ROUND(C514*1440,0))</f>
        <v/>
      </c>
      <c r="L514" s="4" t="str">
        <f t="shared" ref="L514:L577" si="52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  <c r="N514" s="36"/>
      <c r="P514" s="1" t="str">
        <f t="shared" ref="P514:P577" si="53">IF(OR(H514="",NOT(ISNUMBER(L514))),"",IFERROR(_xlfn.LET(_xlpm.t,TRIM(SUBSTITUTE(SUBSTITUTE(SUBSTITUTE(H514,"*",""),"_",""),"."," ")),_xlpm.s,TRIM(MID(SUBSTITUTE(_xlpm.t," ",REPT(" ",100)),101,100)),IF(AND(LEN(_xlpm.s)=3,ISNUMBER(--_xlpm.s)),--_xlpm.s,"")),""))</f>
        <v/>
      </c>
    </row>
    <row r="515" spans="1:16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"&amp;L515,IF(AND(MAX(K$1:K514)&gt;0,N(K515)-MAX(K$1:K514)&gt;180),"⚠ Gap &gt; 3h",IF(_xlfn.LET(_xlpm.q,E515,_xlpm.tk,P515,_xlpm.ld,Log!$P$18,_xlpm.fx,IF(OR(_xlpm.ld="",_xlpm.ld="Full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"&amp;_xlpm.q,""))))&lt;&gt;"",IF(N515&lt;&gt;"","Load OK ✓ (checked)","⚠ "&amp;_xlfn.LET(_xlpm.q,E515,_xlpm.tk,P515,_xlpm.ld,Log!$P$18,_xlpm.fx,IF(OR(_xlpm.ld="",_xlpm.ld="Full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"&amp;_xlpm.q,""))))),IF(C515-I515&gt;=0.99,"next day",IF(C515-I515&gt;0.4,"12h → 24h","")))))))))))</f>
        <v/>
      </c>
      <c r="H515" s="4" t="str">
        <f t="shared" si="48"/>
        <v/>
      </c>
      <c r="I515" s="5" t="str">
        <f t="shared" si="49"/>
        <v/>
      </c>
      <c r="J515" s="6">
        <f t="shared" si="50"/>
        <v>0</v>
      </c>
      <c r="K515" s="4" t="str">
        <f t="shared" si="51"/>
        <v/>
      </c>
      <c r="L515" s="4" t="str">
        <f t="shared" si="52"/>
        <v/>
      </c>
      <c r="M515" s="4" t="b" cm="1">
        <f t="array" ref="M515">IF(H515="",FALSE,SUMPRODUCT(--(H$1:H514=H515))&gt;0)</f>
        <v>0</v>
      </c>
      <c r="N515" s="36"/>
      <c r="P515" s="1" t="str">
        <f t="shared" si="53"/>
        <v/>
      </c>
    </row>
    <row r="516" spans="1:16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"&amp;L516,IF(AND(MAX(K$1:K515)&gt;0,N(K516)-MAX(K$1:K515)&gt;180),"⚠ Gap &gt; 3h",IF(_xlfn.LET(_xlpm.q,E516,_xlpm.tk,P516,_xlpm.ld,Log!$P$18,_xlpm.fx,IF(OR(_xlpm.ld="",_xlpm.ld="Full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"&amp;_xlpm.q,""))))&lt;&gt;"",IF(N516&lt;&gt;"","Load OK ✓ (checked)","⚠ "&amp;_xlfn.LET(_xlpm.q,E516,_xlpm.tk,P516,_xlpm.ld,Log!$P$18,_xlpm.fx,IF(OR(_xlpm.ld="",_xlpm.ld="Full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"&amp;_xlpm.q,""))))),IF(C516-I516&gt;=0.99,"next day",IF(C516-I516&gt;0.4,"12h → 24h","")))))))))))</f>
        <v/>
      </c>
      <c r="H516" s="4" t="str">
        <f t="shared" si="48"/>
        <v/>
      </c>
      <c r="I516" s="5" t="str">
        <f t="shared" si="49"/>
        <v/>
      </c>
      <c r="J516" s="6">
        <f t="shared" si="50"/>
        <v>0</v>
      </c>
      <c r="K516" s="4" t="str">
        <f t="shared" si="51"/>
        <v/>
      </c>
      <c r="L516" s="4" t="str">
        <f t="shared" si="52"/>
        <v/>
      </c>
      <c r="M516" s="4" t="b" cm="1">
        <f t="array" ref="M516">IF(H516="",FALSE,SUMPRODUCT(--(H$1:H515=H516))&gt;0)</f>
        <v>0</v>
      </c>
      <c r="N516" s="36"/>
      <c r="P516" s="1" t="str">
        <f t="shared" si="53"/>
        <v/>
      </c>
    </row>
    <row r="517" spans="1:16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"&amp;L517,IF(AND(MAX(K$1:K516)&gt;0,N(K517)-MAX(K$1:K516)&gt;180),"⚠ Gap &gt; 3h",IF(_xlfn.LET(_xlpm.q,E517,_xlpm.tk,P517,_xlpm.ld,Log!$P$18,_xlpm.fx,IF(OR(_xlpm.ld="",_xlpm.ld="Full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"&amp;_xlpm.q,""))))&lt;&gt;"",IF(N517&lt;&gt;"","Load OK ✓ (checked)","⚠ "&amp;_xlfn.LET(_xlpm.q,E517,_xlpm.tk,P517,_xlpm.ld,Log!$P$18,_xlpm.fx,IF(OR(_xlpm.ld="",_xlpm.ld="Full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"&amp;_xlpm.q,""))))),IF(C517-I517&gt;=0.99,"next day",IF(C517-I517&gt;0.4,"12h → 24h","")))))))))))</f>
        <v/>
      </c>
      <c r="H517" s="4" t="str">
        <f t="shared" si="48"/>
        <v/>
      </c>
      <c r="I517" s="5" t="str">
        <f t="shared" si="49"/>
        <v/>
      </c>
      <c r="J517" s="6">
        <f t="shared" si="50"/>
        <v>0</v>
      </c>
      <c r="K517" s="4" t="str">
        <f t="shared" si="51"/>
        <v/>
      </c>
      <c r="L517" s="4" t="str">
        <f t="shared" si="52"/>
        <v/>
      </c>
      <c r="M517" s="4" t="b" cm="1">
        <f t="array" ref="M517">IF(H517="",FALSE,SUMPRODUCT(--(H$1:H516=H517))&gt;0)</f>
        <v>0</v>
      </c>
      <c r="N517" s="36"/>
      <c r="P517" s="1" t="str">
        <f t="shared" si="53"/>
        <v/>
      </c>
    </row>
    <row r="518" spans="1:16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"&amp;L518,IF(AND(MAX(K$1:K517)&gt;0,N(K518)-MAX(K$1:K517)&gt;180),"⚠ Gap &gt; 3h",IF(_xlfn.LET(_xlpm.q,E518,_xlpm.tk,P518,_xlpm.ld,Log!$P$18,_xlpm.fx,IF(OR(_xlpm.ld="",_xlpm.ld="Full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"&amp;_xlpm.q,""))))&lt;&gt;"",IF(N518&lt;&gt;"","Load OK ✓ (checked)","⚠ "&amp;_xlfn.LET(_xlpm.q,E518,_xlpm.tk,P518,_xlpm.ld,Log!$P$18,_xlpm.fx,IF(OR(_xlpm.ld="",_xlpm.ld="Full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"&amp;_xlpm.q,""))))),IF(C518-I518&gt;=0.99,"next day",IF(C518-I518&gt;0.4,"12h → 24h","")))))))))))</f>
        <v/>
      </c>
      <c r="H518" s="4" t="str">
        <f t="shared" si="48"/>
        <v/>
      </c>
      <c r="I518" s="5" t="str">
        <f t="shared" si="49"/>
        <v/>
      </c>
      <c r="J518" s="6">
        <f t="shared" si="50"/>
        <v>0</v>
      </c>
      <c r="K518" s="4" t="str">
        <f t="shared" si="51"/>
        <v/>
      </c>
      <c r="L518" s="4" t="str">
        <f t="shared" si="52"/>
        <v/>
      </c>
      <c r="M518" s="4" t="b" cm="1">
        <f t="array" ref="M518">IF(H518="",FALSE,SUMPRODUCT(--(H$1:H517=H518))&gt;0)</f>
        <v>0</v>
      </c>
      <c r="N518" s="36"/>
      <c r="P518" s="1" t="str">
        <f t="shared" si="53"/>
        <v/>
      </c>
    </row>
    <row r="519" spans="1:16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"&amp;L519,IF(AND(MAX(K$1:K518)&gt;0,N(K519)-MAX(K$1:K518)&gt;180),"⚠ Gap &gt; 3h",IF(_xlfn.LET(_xlpm.q,E519,_xlpm.tk,P519,_xlpm.ld,Log!$P$18,_xlpm.fx,IF(OR(_xlpm.ld="",_xlpm.ld="Full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"&amp;_xlpm.q,""))))&lt;&gt;"",IF(N519&lt;&gt;"","Load OK ✓ (checked)","⚠ "&amp;_xlfn.LET(_xlpm.q,E519,_xlpm.tk,P519,_xlpm.ld,Log!$P$18,_xlpm.fx,IF(OR(_xlpm.ld="",_xlpm.ld="Full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"&amp;_xlpm.q,""))))),IF(C519-I519&gt;=0.99,"next day",IF(C519-I519&gt;0.4,"12h → 24h","")))))))))))</f>
        <v/>
      </c>
      <c r="H519" s="4" t="str">
        <f t="shared" si="48"/>
        <v/>
      </c>
      <c r="I519" s="5" t="str">
        <f t="shared" si="49"/>
        <v/>
      </c>
      <c r="J519" s="6">
        <f t="shared" si="50"/>
        <v>0</v>
      </c>
      <c r="K519" s="4" t="str">
        <f t="shared" si="51"/>
        <v/>
      </c>
      <c r="L519" s="4" t="str">
        <f t="shared" si="52"/>
        <v/>
      </c>
      <c r="M519" s="4" t="b" cm="1">
        <f t="array" ref="M519">IF(H519="",FALSE,SUMPRODUCT(--(H$1:H518=H519))&gt;0)</f>
        <v>0</v>
      </c>
      <c r="N519" s="36"/>
      <c r="P519" s="1" t="str">
        <f t="shared" si="53"/>
        <v/>
      </c>
    </row>
    <row r="520" spans="1:16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"&amp;L520,IF(AND(MAX(K$1:K519)&gt;0,N(K520)-MAX(K$1:K519)&gt;180),"⚠ Gap &gt; 3h",IF(_xlfn.LET(_xlpm.q,E520,_xlpm.tk,P520,_xlpm.ld,Log!$P$18,_xlpm.fx,IF(OR(_xlpm.ld="",_xlpm.ld="Full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"&amp;_xlpm.q,""))))&lt;&gt;"",IF(N520&lt;&gt;"","Load OK ✓ (checked)","⚠ "&amp;_xlfn.LET(_xlpm.q,E520,_xlpm.tk,P520,_xlpm.ld,Log!$P$18,_xlpm.fx,IF(OR(_xlpm.ld="",_xlpm.ld="Full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"&amp;_xlpm.q,""))))),IF(C520-I520&gt;=0.99,"next day",IF(C520-I520&gt;0.4,"12h → 24h","")))))))))))</f>
        <v/>
      </c>
      <c r="H520" s="4" t="str">
        <f t="shared" si="48"/>
        <v/>
      </c>
      <c r="I520" s="5" t="str">
        <f t="shared" si="49"/>
        <v/>
      </c>
      <c r="J520" s="6">
        <f t="shared" si="50"/>
        <v>0</v>
      </c>
      <c r="K520" s="4" t="str">
        <f t="shared" si="51"/>
        <v/>
      </c>
      <c r="L520" s="4" t="str">
        <f t="shared" si="52"/>
        <v/>
      </c>
      <c r="M520" s="4" t="b" cm="1">
        <f t="array" ref="M520">IF(H520="",FALSE,SUMPRODUCT(--(H$1:H519=H520))&gt;0)</f>
        <v>0</v>
      </c>
      <c r="N520" s="36"/>
      <c r="P520" s="1" t="str">
        <f t="shared" si="53"/>
        <v/>
      </c>
    </row>
    <row r="521" spans="1:16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"&amp;L521,IF(AND(MAX(K$1:K520)&gt;0,N(K521)-MAX(K$1:K520)&gt;180),"⚠ Gap &gt; 3h",IF(_xlfn.LET(_xlpm.q,E521,_xlpm.tk,P521,_xlpm.ld,Log!$P$18,_xlpm.fx,IF(OR(_xlpm.ld="",_xlpm.ld="Full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"&amp;_xlpm.q,""))))&lt;&gt;"",IF(N521&lt;&gt;"","Load OK ✓ (checked)","⚠ "&amp;_xlfn.LET(_xlpm.q,E521,_xlpm.tk,P521,_xlpm.ld,Log!$P$18,_xlpm.fx,IF(OR(_xlpm.ld="",_xlpm.ld="Full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"&amp;_xlpm.q,""))))),IF(C521-I521&gt;=0.99,"next day",IF(C521-I521&gt;0.4,"12h → 24h","")))))))))))</f>
        <v/>
      </c>
      <c r="H521" s="4" t="str">
        <f t="shared" si="48"/>
        <v/>
      </c>
      <c r="I521" s="5" t="str">
        <f t="shared" si="49"/>
        <v/>
      </c>
      <c r="J521" s="6">
        <f t="shared" si="50"/>
        <v>0</v>
      </c>
      <c r="K521" s="4" t="str">
        <f t="shared" si="51"/>
        <v/>
      </c>
      <c r="L521" s="4" t="str">
        <f t="shared" si="52"/>
        <v/>
      </c>
      <c r="M521" s="4" t="b" cm="1">
        <f t="array" ref="M521">IF(H521="",FALSE,SUMPRODUCT(--(H$1:H520=H521))&gt;0)</f>
        <v>0</v>
      </c>
      <c r="N521" s="36"/>
      <c r="P521" s="1" t="str">
        <f t="shared" si="53"/>
        <v/>
      </c>
    </row>
    <row r="522" spans="1:16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"&amp;L522,IF(AND(MAX(K$1:K521)&gt;0,N(K522)-MAX(K$1:K521)&gt;180),"⚠ Gap &gt; 3h",IF(_xlfn.LET(_xlpm.q,E522,_xlpm.tk,P522,_xlpm.ld,Log!$P$18,_xlpm.fx,IF(OR(_xlpm.ld="",_xlpm.ld="Full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"&amp;_xlpm.q,""))))&lt;&gt;"",IF(N522&lt;&gt;"","Load OK ✓ (checked)","⚠ "&amp;_xlfn.LET(_xlpm.q,E522,_xlpm.tk,P522,_xlpm.ld,Log!$P$18,_xlpm.fx,IF(OR(_xlpm.ld="",_xlpm.ld="Full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"&amp;_xlpm.q,""))))),IF(C522-I522&gt;=0.99,"next day",IF(C522-I522&gt;0.4,"12h → 24h","")))))))))))</f>
        <v/>
      </c>
      <c r="H522" s="4" t="str">
        <f t="shared" si="48"/>
        <v/>
      </c>
      <c r="I522" s="5" t="str">
        <f t="shared" si="49"/>
        <v/>
      </c>
      <c r="J522" s="6">
        <f t="shared" si="50"/>
        <v>0</v>
      </c>
      <c r="K522" s="4" t="str">
        <f t="shared" si="51"/>
        <v/>
      </c>
      <c r="L522" s="4" t="str">
        <f t="shared" si="52"/>
        <v/>
      </c>
      <c r="M522" s="4" t="b" cm="1">
        <f t="array" ref="M522">IF(H522="",FALSE,SUMPRODUCT(--(H$1:H521=H522))&gt;0)</f>
        <v>0</v>
      </c>
      <c r="N522" s="36"/>
      <c r="P522" s="1" t="str">
        <f t="shared" si="53"/>
        <v/>
      </c>
    </row>
    <row r="523" spans="1:16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"&amp;L523,IF(AND(MAX(K$1:K522)&gt;0,N(K523)-MAX(K$1:K522)&gt;180),"⚠ Gap &gt; 3h",IF(_xlfn.LET(_xlpm.q,E523,_xlpm.tk,P523,_xlpm.ld,Log!$P$18,_xlpm.fx,IF(OR(_xlpm.ld="",_xlpm.ld="Full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"&amp;_xlpm.q,""))))&lt;&gt;"",IF(N523&lt;&gt;"","Load OK ✓ (checked)","⚠ "&amp;_xlfn.LET(_xlpm.q,E523,_xlpm.tk,P523,_xlpm.ld,Log!$P$18,_xlpm.fx,IF(OR(_xlpm.ld="",_xlpm.ld="Full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"&amp;_xlpm.q,""))))),IF(C523-I523&gt;=0.99,"next day",IF(C523-I523&gt;0.4,"12h → 24h","")))))))))))</f>
        <v/>
      </c>
      <c r="H523" s="4" t="str">
        <f t="shared" si="48"/>
        <v/>
      </c>
      <c r="I523" s="5" t="str">
        <f t="shared" si="49"/>
        <v/>
      </c>
      <c r="J523" s="6">
        <f t="shared" si="50"/>
        <v>0</v>
      </c>
      <c r="K523" s="4" t="str">
        <f t="shared" si="51"/>
        <v/>
      </c>
      <c r="L523" s="4" t="str">
        <f t="shared" si="52"/>
        <v/>
      </c>
      <c r="M523" s="4" t="b" cm="1">
        <f t="array" ref="M523">IF(H523="",FALSE,SUMPRODUCT(--(H$1:H522=H523))&gt;0)</f>
        <v>0</v>
      </c>
      <c r="N523" s="36"/>
      <c r="P523" s="1" t="str">
        <f t="shared" si="53"/>
        <v/>
      </c>
    </row>
    <row r="524" spans="1:16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"&amp;L524,IF(AND(MAX(K$1:K523)&gt;0,N(K524)-MAX(K$1:K523)&gt;180),"⚠ Gap &gt; 3h",IF(_xlfn.LET(_xlpm.q,E524,_xlpm.tk,P524,_xlpm.ld,Log!$P$18,_xlpm.fx,IF(OR(_xlpm.ld="",_xlpm.ld="Full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"&amp;_xlpm.q,""))))&lt;&gt;"",IF(N524&lt;&gt;"","Load OK ✓ (checked)","⚠ "&amp;_xlfn.LET(_xlpm.q,E524,_xlpm.tk,P524,_xlpm.ld,Log!$P$18,_xlpm.fx,IF(OR(_xlpm.ld="",_xlpm.ld="Full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"&amp;_xlpm.q,""))))),IF(C524-I524&gt;=0.99,"next day",IF(C524-I524&gt;0.4,"12h → 24h","")))))))))))</f>
        <v/>
      </c>
      <c r="H524" s="4" t="str">
        <f t="shared" si="48"/>
        <v/>
      </c>
      <c r="I524" s="5" t="str">
        <f t="shared" si="49"/>
        <v/>
      </c>
      <c r="J524" s="6">
        <f t="shared" si="50"/>
        <v>0</v>
      </c>
      <c r="K524" s="4" t="str">
        <f t="shared" si="51"/>
        <v/>
      </c>
      <c r="L524" s="4" t="str">
        <f t="shared" si="52"/>
        <v/>
      </c>
      <c r="M524" s="4" t="b" cm="1">
        <f t="array" ref="M524">IF(H524="",FALSE,SUMPRODUCT(--(H$1:H523=H524))&gt;0)</f>
        <v>0</v>
      </c>
      <c r="N524" s="36"/>
      <c r="P524" s="1" t="str">
        <f t="shared" si="53"/>
        <v/>
      </c>
    </row>
    <row r="525" spans="1:16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"&amp;L525,IF(AND(MAX(K$1:K524)&gt;0,N(K525)-MAX(K$1:K524)&gt;180),"⚠ Gap &gt; 3h",IF(_xlfn.LET(_xlpm.q,E525,_xlpm.tk,P525,_xlpm.ld,Log!$P$18,_xlpm.fx,IF(OR(_xlpm.ld="",_xlpm.ld="Full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"&amp;_xlpm.q,""))))&lt;&gt;"",IF(N525&lt;&gt;"","Load OK ✓ (checked)","⚠ "&amp;_xlfn.LET(_xlpm.q,E525,_xlpm.tk,P525,_xlpm.ld,Log!$P$18,_xlpm.fx,IF(OR(_xlpm.ld="",_xlpm.ld="Full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"&amp;_xlpm.q,""))))),IF(C525-I525&gt;=0.99,"next day",IF(C525-I525&gt;0.4,"12h → 24h","")))))))))))</f>
        <v/>
      </c>
      <c r="H525" s="4" t="str">
        <f t="shared" si="48"/>
        <v/>
      </c>
      <c r="I525" s="5" t="str">
        <f t="shared" si="49"/>
        <v/>
      </c>
      <c r="J525" s="6">
        <f t="shared" si="50"/>
        <v>0</v>
      </c>
      <c r="K525" s="4" t="str">
        <f t="shared" si="51"/>
        <v/>
      </c>
      <c r="L525" s="4" t="str">
        <f t="shared" si="52"/>
        <v/>
      </c>
      <c r="M525" s="4" t="b" cm="1">
        <f t="array" ref="M525">IF(H525="",FALSE,SUMPRODUCT(--(H$1:H524=H525))&gt;0)</f>
        <v>0</v>
      </c>
      <c r="N525" s="36"/>
      <c r="P525" s="1" t="str">
        <f t="shared" si="53"/>
        <v/>
      </c>
    </row>
    <row r="526" spans="1:16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"&amp;L526,IF(AND(MAX(K$1:K525)&gt;0,N(K526)-MAX(K$1:K525)&gt;180),"⚠ Gap &gt; 3h",IF(_xlfn.LET(_xlpm.q,E526,_xlpm.tk,P526,_xlpm.ld,Log!$P$18,_xlpm.fx,IF(OR(_xlpm.ld="",_xlpm.ld="Full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"&amp;_xlpm.q,""))))&lt;&gt;"",IF(N526&lt;&gt;"","Load OK ✓ (checked)","⚠ "&amp;_xlfn.LET(_xlpm.q,E526,_xlpm.tk,P526,_xlpm.ld,Log!$P$18,_xlpm.fx,IF(OR(_xlpm.ld="",_xlpm.ld="Full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"&amp;_xlpm.q,""))))),IF(C526-I526&gt;=0.99,"next day",IF(C526-I526&gt;0.4,"12h → 24h","")))))))))))</f>
        <v/>
      </c>
      <c r="H526" s="4" t="str">
        <f t="shared" si="48"/>
        <v/>
      </c>
      <c r="I526" s="5" t="str">
        <f t="shared" si="49"/>
        <v/>
      </c>
      <c r="J526" s="6">
        <f t="shared" si="50"/>
        <v>0</v>
      </c>
      <c r="K526" s="4" t="str">
        <f t="shared" si="51"/>
        <v/>
      </c>
      <c r="L526" s="4" t="str">
        <f t="shared" si="52"/>
        <v/>
      </c>
      <c r="M526" s="4" t="b" cm="1">
        <f t="array" ref="M526">IF(H526="",FALSE,SUMPRODUCT(--(H$1:H525=H526))&gt;0)</f>
        <v>0</v>
      </c>
      <c r="N526" s="36"/>
      <c r="P526" s="1" t="str">
        <f t="shared" si="53"/>
        <v/>
      </c>
    </row>
    <row r="527" spans="1:16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"&amp;L527,IF(AND(MAX(K$1:K526)&gt;0,N(K527)-MAX(K$1:K526)&gt;180),"⚠ Gap &gt; 3h",IF(_xlfn.LET(_xlpm.q,E527,_xlpm.tk,P527,_xlpm.ld,Log!$P$18,_xlpm.fx,IF(OR(_xlpm.ld="",_xlpm.ld="Full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"&amp;_xlpm.q,""))))&lt;&gt;"",IF(N527&lt;&gt;"","Load OK ✓ (checked)","⚠ "&amp;_xlfn.LET(_xlpm.q,E527,_xlpm.tk,P527,_xlpm.ld,Log!$P$18,_xlpm.fx,IF(OR(_xlpm.ld="",_xlpm.ld="Full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"&amp;_xlpm.q,""))))),IF(C527-I527&gt;=0.99,"next day",IF(C527-I527&gt;0.4,"12h → 24h","")))))))))))</f>
        <v/>
      </c>
      <c r="H527" s="4" t="str">
        <f t="shared" si="48"/>
        <v/>
      </c>
      <c r="I527" s="5" t="str">
        <f t="shared" si="49"/>
        <v/>
      </c>
      <c r="J527" s="6">
        <f t="shared" si="50"/>
        <v>0</v>
      </c>
      <c r="K527" s="4" t="str">
        <f t="shared" si="51"/>
        <v/>
      </c>
      <c r="L527" s="4" t="str">
        <f t="shared" si="52"/>
        <v/>
      </c>
      <c r="M527" s="4" t="b" cm="1">
        <f t="array" ref="M527">IF(H527="",FALSE,SUMPRODUCT(--(H$1:H526=H527))&gt;0)</f>
        <v>0</v>
      </c>
      <c r="N527" s="36"/>
      <c r="P527" s="1" t="str">
        <f t="shared" si="53"/>
        <v/>
      </c>
    </row>
    <row r="528" spans="1:16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"&amp;L528,IF(AND(MAX(K$1:K527)&gt;0,N(K528)-MAX(K$1:K527)&gt;180),"⚠ Gap &gt; 3h",IF(_xlfn.LET(_xlpm.q,E528,_xlpm.tk,P528,_xlpm.ld,Log!$P$18,_xlpm.fx,IF(OR(_xlpm.ld="",_xlpm.ld="Full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"&amp;_xlpm.q,""))))&lt;&gt;"",IF(N528&lt;&gt;"","Load OK ✓ (checked)","⚠ "&amp;_xlfn.LET(_xlpm.q,E528,_xlpm.tk,P528,_xlpm.ld,Log!$P$18,_xlpm.fx,IF(OR(_xlpm.ld="",_xlpm.ld="Full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"&amp;_xlpm.q,""))))),IF(C528-I528&gt;=0.99,"next day",IF(C528-I528&gt;0.4,"12h → 24h","")))))))))))</f>
        <v/>
      </c>
      <c r="H528" s="4" t="str">
        <f t="shared" si="48"/>
        <v/>
      </c>
      <c r="I528" s="5" t="str">
        <f t="shared" si="49"/>
        <v/>
      </c>
      <c r="J528" s="6">
        <f t="shared" si="50"/>
        <v>0</v>
      </c>
      <c r="K528" s="4" t="str">
        <f t="shared" si="51"/>
        <v/>
      </c>
      <c r="L528" s="4" t="str">
        <f t="shared" si="52"/>
        <v/>
      </c>
      <c r="M528" s="4" t="b" cm="1">
        <f t="array" ref="M528">IF(H528="",FALSE,SUMPRODUCT(--(H$1:H527=H528))&gt;0)</f>
        <v>0</v>
      </c>
      <c r="N528" s="36"/>
      <c r="P528" s="1" t="str">
        <f t="shared" si="53"/>
        <v/>
      </c>
    </row>
    <row r="529" spans="1:16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"&amp;L529,IF(AND(MAX(K$1:K528)&gt;0,N(K529)-MAX(K$1:K528)&gt;180),"⚠ Gap &gt; 3h",IF(_xlfn.LET(_xlpm.q,E529,_xlpm.tk,P529,_xlpm.ld,Log!$P$18,_xlpm.fx,IF(OR(_xlpm.ld="",_xlpm.ld="Full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"&amp;_xlpm.q,""))))&lt;&gt;"",IF(N529&lt;&gt;"","Load OK ✓ (checked)","⚠ "&amp;_xlfn.LET(_xlpm.q,E529,_xlpm.tk,P529,_xlpm.ld,Log!$P$18,_xlpm.fx,IF(OR(_xlpm.ld="",_xlpm.ld="Full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"&amp;_xlpm.q,""))))),IF(C529-I529&gt;=0.99,"next day",IF(C529-I529&gt;0.4,"12h → 24h","")))))))))))</f>
        <v/>
      </c>
      <c r="H529" s="4" t="str">
        <f t="shared" si="48"/>
        <v/>
      </c>
      <c r="I529" s="5" t="str">
        <f t="shared" si="49"/>
        <v/>
      </c>
      <c r="J529" s="6">
        <f t="shared" si="50"/>
        <v>0</v>
      </c>
      <c r="K529" s="4" t="str">
        <f t="shared" si="51"/>
        <v/>
      </c>
      <c r="L529" s="4" t="str">
        <f t="shared" si="52"/>
        <v/>
      </c>
      <c r="M529" s="4" t="b" cm="1">
        <f t="array" ref="M529">IF(H529="",FALSE,SUMPRODUCT(--(H$1:H528=H529))&gt;0)</f>
        <v>0</v>
      </c>
      <c r="N529" s="36"/>
      <c r="P529" s="1" t="str">
        <f t="shared" si="53"/>
        <v/>
      </c>
    </row>
    <row r="530" spans="1:16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"&amp;L530,IF(AND(MAX(K$1:K529)&gt;0,N(K530)-MAX(K$1:K529)&gt;180),"⚠ Gap &gt; 3h",IF(_xlfn.LET(_xlpm.q,E530,_xlpm.tk,P530,_xlpm.ld,Log!$P$18,_xlpm.fx,IF(OR(_xlpm.ld="",_xlpm.ld="Full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"&amp;_xlpm.q,""))))&lt;&gt;"",IF(N530&lt;&gt;"","Load OK ✓ (checked)","⚠ "&amp;_xlfn.LET(_xlpm.q,E530,_xlpm.tk,P530,_xlpm.ld,Log!$P$18,_xlpm.fx,IF(OR(_xlpm.ld="",_xlpm.ld="Full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"&amp;_xlpm.q,""))))),IF(C530-I530&gt;=0.99,"next day",IF(C530-I530&gt;0.4,"12h → 24h","")))))))))))</f>
        <v/>
      </c>
      <c r="H530" s="4" t="str">
        <f t="shared" si="48"/>
        <v/>
      </c>
      <c r="I530" s="5" t="str">
        <f t="shared" si="49"/>
        <v/>
      </c>
      <c r="J530" s="6">
        <f t="shared" si="50"/>
        <v>0</v>
      </c>
      <c r="K530" s="4" t="str">
        <f t="shared" si="51"/>
        <v/>
      </c>
      <c r="L530" s="4" t="str">
        <f t="shared" si="52"/>
        <v/>
      </c>
      <c r="M530" s="4" t="b" cm="1">
        <f t="array" ref="M530">IF(H530="",FALSE,SUMPRODUCT(--(H$1:H529=H530))&gt;0)</f>
        <v>0</v>
      </c>
      <c r="N530" s="36"/>
      <c r="P530" s="1" t="str">
        <f t="shared" si="53"/>
        <v/>
      </c>
    </row>
    <row r="531" spans="1:16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"&amp;L531,IF(AND(MAX(K$1:K530)&gt;0,N(K531)-MAX(K$1:K530)&gt;180),"⚠ Gap &gt; 3h",IF(_xlfn.LET(_xlpm.q,E531,_xlpm.tk,P531,_xlpm.ld,Log!$P$18,_xlpm.fx,IF(OR(_xlpm.ld="",_xlpm.ld="Full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"&amp;_xlpm.q,""))))&lt;&gt;"",IF(N531&lt;&gt;"","Load OK ✓ (checked)","⚠ "&amp;_xlfn.LET(_xlpm.q,E531,_xlpm.tk,P531,_xlpm.ld,Log!$P$18,_xlpm.fx,IF(OR(_xlpm.ld="",_xlpm.ld="Full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"&amp;_xlpm.q,""))))),IF(C531-I531&gt;=0.99,"next day",IF(C531-I531&gt;0.4,"12h → 24h","")))))))))))</f>
        <v/>
      </c>
      <c r="H531" s="4" t="str">
        <f t="shared" si="48"/>
        <v/>
      </c>
      <c r="I531" s="5" t="str">
        <f t="shared" si="49"/>
        <v/>
      </c>
      <c r="J531" s="6">
        <f t="shared" si="50"/>
        <v>0</v>
      </c>
      <c r="K531" s="4" t="str">
        <f t="shared" si="51"/>
        <v/>
      </c>
      <c r="L531" s="4" t="str">
        <f t="shared" si="52"/>
        <v/>
      </c>
      <c r="M531" s="4" t="b" cm="1">
        <f t="array" ref="M531">IF(H531="",FALSE,SUMPRODUCT(--(H$1:H530=H531))&gt;0)</f>
        <v>0</v>
      </c>
      <c r="N531" s="36"/>
      <c r="P531" s="1" t="str">
        <f t="shared" si="53"/>
        <v/>
      </c>
    </row>
    <row r="532" spans="1:16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"&amp;L532,IF(AND(MAX(K$1:K531)&gt;0,N(K532)-MAX(K$1:K531)&gt;180),"⚠ Gap &gt; 3h",IF(_xlfn.LET(_xlpm.q,E532,_xlpm.tk,P532,_xlpm.ld,Log!$P$18,_xlpm.fx,IF(OR(_xlpm.ld="",_xlpm.ld="Full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"&amp;_xlpm.q,""))))&lt;&gt;"",IF(N532&lt;&gt;"","Load OK ✓ (checked)","⚠ "&amp;_xlfn.LET(_xlpm.q,E532,_xlpm.tk,P532,_xlpm.ld,Log!$P$18,_xlpm.fx,IF(OR(_xlpm.ld="",_xlpm.ld="Full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"&amp;_xlpm.q,""))))),IF(C532-I532&gt;=0.99,"next day",IF(C532-I532&gt;0.4,"12h → 24h","")))))))))))</f>
        <v/>
      </c>
      <c r="H532" s="4" t="str">
        <f t="shared" si="48"/>
        <v/>
      </c>
      <c r="I532" s="5" t="str">
        <f t="shared" si="49"/>
        <v/>
      </c>
      <c r="J532" s="6">
        <f t="shared" si="50"/>
        <v>0</v>
      </c>
      <c r="K532" s="4" t="str">
        <f t="shared" si="51"/>
        <v/>
      </c>
      <c r="L532" s="4" t="str">
        <f t="shared" si="52"/>
        <v/>
      </c>
      <c r="M532" s="4" t="b" cm="1">
        <f t="array" ref="M532">IF(H532="",FALSE,SUMPRODUCT(--(H$1:H531=H532))&gt;0)</f>
        <v>0</v>
      </c>
      <c r="N532" s="36"/>
      <c r="P532" s="1" t="str">
        <f t="shared" si="53"/>
        <v/>
      </c>
    </row>
    <row r="533" spans="1:16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"&amp;L533,IF(AND(MAX(K$1:K532)&gt;0,N(K533)-MAX(K$1:K532)&gt;180),"⚠ Gap &gt; 3h",IF(_xlfn.LET(_xlpm.q,E533,_xlpm.tk,P533,_xlpm.ld,Log!$P$18,_xlpm.fx,IF(OR(_xlpm.ld="",_xlpm.ld="Full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"&amp;_xlpm.q,""))))&lt;&gt;"",IF(N533&lt;&gt;"","Load OK ✓ (checked)","⚠ "&amp;_xlfn.LET(_xlpm.q,E533,_xlpm.tk,P533,_xlpm.ld,Log!$P$18,_xlpm.fx,IF(OR(_xlpm.ld="",_xlpm.ld="Full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"&amp;_xlpm.q,""))))),IF(C533-I533&gt;=0.99,"next day",IF(C533-I533&gt;0.4,"12h → 24h","")))))))))))</f>
        <v/>
      </c>
      <c r="H533" s="4" t="str">
        <f t="shared" si="48"/>
        <v/>
      </c>
      <c r="I533" s="5" t="str">
        <f t="shared" si="49"/>
        <v/>
      </c>
      <c r="J533" s="6">
        <f t="shared" si="50"/>
        <v>0</v>
      </c>
      <c r="K533" s="4" t="str">
        <f t="shared" si="51"/>
        <v/>
      </c>
      <c r="L533" s="4" t="str">
        <f t="shared" si="52"/>
        <v/>
      </c>
      <c r="M533" s="4" t="b" cm="1">
        <f t="array" ref="M533">IF(H533="",FALSE,SUMPRODUCT(--(H$1:H532=H533))&gt;0)</f>
        <v>0</v>
      </c>
      <c r="N533" s="36"/>
      <c r="P533" s="1" t="str">
        <f t="shared" si="53"/>
        <v/>
      </c>
    </row>
    <row r="534" spans="1:16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"&amp;L534,IF(AND(MAX(K$1:K533)&gt;0,N(K534)-MAX(K$1:K533)&gt;180),"⚠ Gap &gt; 3h",IF(_xlfn.LET(_xlpm.q,E534,_xlpm.tk,P534,_xlpm.ld,Log!$P$18,_xlpm.fx,IF(OR(_xlpm.ld="",_xlpm.ld="Full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"&amp;_xlpm.q,""))))&lt;&gt;"",IF(N534&lt;&gt;"","Load OK ✓ (checked)","⚠ "&amp;_xlfn.LET(_xlpm.q,E534,_xlpm.tk,P534,_xlpm.ld,Log!$P$18,_xlpm.fx,IF(OR(_xlpm.ld="",_xlpm.ld="Full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"&amp;_xlpm.q,""))))),IF(C534-I534&gt;=0.99,"next day",IF(C534-I534&gt;0.4,"12h → 24h","")))))))))))</f>
        <v/>
      </c>
      <c r="H534" s="4" t="str">
        <f t="shared" si="48"/>
        <v/>
      </c>
      <c r="I534" s="5" t="str">
        <f t="shared" si="49"/>
        <v/>
      </c>
      <c r="J534" s="6">
        <f t="shared" si="50"/>
        <v>0</v>
      </c>
      <c r="K534" s="4" t="str">
        <f t="shared" si="51"/>
        <v/>
      </c>
      <c r="L534" s="4" t="str">
        <f t="shared" si="52"/>
        <v/>
      </c>
      <c r="M534" s="4" t="b" cm="1">
        <f t="array" ref="M534">IF(H534="",FALSE,SUMPRODUCT(--(H$1:H533=H534))&gt;0)</f>
        <v>0</v>
      </c>
      <c r="N534" s="36"/>
      <c r="P534" s="1" t="str">
        <f t="shared" si="53"/>
        <v/>
      </c>
    </row>
    <row r="535" spans="1:16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"&amp;L535,IF(AND(MAX(K$1:K534)&gt;0,N(K535)-MAX(K$1:K534)&gt;180),"⚠ Gap &gt; 3h",IF(_xlfn.LET(_xlpm.q,E535,_xlpm.tk,P535,_xlpm.ld,Log!$P$18,_xlpm.fx,IF(OR(_xlpm.ld="",_xlpm.ld="Full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"&amp;_xlpm.q,""))))&lt;&gt;"",IF(N535&lt;&gt;"","Load OK ✓ (checked)","⚠ "&amp;_xlfn.LET(_xlpm.q,E535,_xlpm.tk,P535,_xlpm.ld,Log!$P$18,_xlpm.fx,IF(OR(_xlpm.ld="",_xlpm.ld="Full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"&amp;_xlpm.q,""))))),IF(C535-I535&gt;=0.99,"next day",IF(C535-I535&gt;0.4,"12h → 24h","")))))))))))</f>
        <v/>
      </c>
      <c r="H535" s="4" t="str">
        <f t="shared" si="48"/>
        <v/>
      </c>
      <c r="I535" s="5" t="str">
        <f t="shared" si="49"/>
        <v/>
      </c>
      <c r="J535" s="6">
        <f t="shared" si="50"/>
        <v>0</v>
      </c>
      <c r="K535" s="4" t="str">
        <f t="shared" si="51"/>
        <v/>
      </c>
      <c r="L535" s="4" t="str">
        <f t="shared" si="52"/>
        <v/>
      </c>
      <c r="M535" s="4" t="b" cm="1">
        <f t="array" ref="M535">IF(H535="",FALSE,SUMPRODUCT(--(H$1:H534=H535))&gt;0)</f>
        <v>0</v>
      </c>
      <c r="N535" s="36"/>
      <c r="P535" s="1" t="str">
        <f t="shared" si="53"/>
        <v/>
      </c>
    </row>
    <row r="536" spans="1:16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"&amp;L536,IF(AND(MAX(K$1:K535)&gt;0,N(K536)-MAX(K$1:K535)&gt;180),"⚠ Gap &gt; 3h",IF(_xlfn.LET(_xlpm.q,E536,_xlpm.tk,P536,_xlpm.ld,Log!$P$18,_xlpm.fx,IF(OR(_xlpm.ld="",_xlpm.ld="Full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"&amp;_xlpm.q,""))))&lt;&gt;"",IF(N536&lt;&gt;"","Load OK ✓ (checked)","⚠ "&amp;_xlfn.LET(_xlpm.q,E536,_xlpm.tk,P536,_xlpm.ld,Log!$P$18,_xlpm.fx,IF(OR(_xlpm.ld="",_xlpm.ld="Full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"&amp;_xlpm.q,""))))),IF(C536-I536&gt;=0.99,"next day",IF(C536-I536&gt;0.4,"12h → 24h","")))))))))))</f>
        <v/>
      </c>
      <c r="H536" s="4" t="str">
        <f t="shared" si="48"/>
        <v/>
      </c>
      <c r="I536" s="5" t="str">
        <f t="shared" si="49"/>
        <v/>
      </c>
      <c r="J536" s="6">
        <f t="shared" si="50"/>
        <v>0</v>
      </c>
      <c r="K536" s="4" t="str">
        <f t="shared" si="51"/>
        <v/>
      </c>
      <c r="L536" s="4" t="str">
        <f t="shared" si="52"/>
        <v/>
      </c>
      <c r="M536" s="4" t="b" cm="1">
        <f t="array" ref="M536">IF(H536="",FALSE,SUMPRODUCT(--(H$1:H535=H536))&gt;0)</f>
        <v>0</v>
      </c>
      <c r="N536" s="36"/>
      <c r="P536" s="1" t="str">
        <f t="shared" si="53"/>
        <v/>
      </c>
    </row>
    <row r="537" spans="1:16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"&amp;L537,IF(AND(MAX(K$1:K536)&gt;0,N(K537)-MAX(K$1:K536)&gt;180),"⚠ Gap &gt; 3h",IF(_xlfn.LET(_xlpm.q,E537,_xlpm.tk,P537,_xlpm.ld,Log!$P$18,_xlpm.fx,IF(OR(_xlpm.ld="",_xlpm.ld="Full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"&amp;_xlpm.q,""))))&lt;&gt;"",IF(N537&lt;&gt;"","Load OK ✓ (checked)","⚠ "&amp;_xlfn.LET(_xlpm.q,E537,_xlpm.tk,P537,_xlpm.ld,Log!$P$18,_xlpm.fx,IF(OR(_xlpm.ld="",_xlpm.ld="Full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"&amp;_xlpm.q,""))))),IF(C537-I537&gt;=0.99,"next day",IF(C537-I537&gt;0.4,"12h → 24h","")))))))))))</f>
        <v/>
      </c>
      <c r="H537" s="4" t="str">
        <f t="shared" si="48"/>
        <v/>
      </c>
      <c r="I537" s="5" t="str">
        <f t="shared" si="49"/>
        <v/>
      </c>
      <c r="J537" s="6">
        <f t="shared" si="50"/>
        <v>0</v>
      </c>
      <c r="K537" s="4" t="str">
        <f t="shared" si="51"/>
        <v/>
      </c>
      <c r="L537" s="4" t="str">
        <f t="shared" si="52"/>
        <v/>
      </c>
      <c r="M537" s="4" t="b" cm="1">
        <f t="array" ref="M537">IF(H537="",FALSE,SUMPRODUCT(--(H$1:H536=H537))&gt;0)</f>
        <v>0</v>
      </c>
      <c r="N537" s="36"/>
      <c r="P537" s="1" t="str">
        <f t="shared" si="53"/>
        <v/>
      </c>
    </row>
    <row r="538" spans="1:16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"&amp;L538,IF(AND(MAX(K$1:K537)&gt;0,N(K538)-MAX(K$1:K537)&gt;180),"⚠ Gap &gt; 3h",IF(_xlfn.LET(_xlpm.q,E538,_xlpm.tk,P538,_xlpm.ld,Log!$P$18,_xlpm.fx,IF(OR(_xlpm.ld="",_xlpm.ld="Full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"&amp;_xlpm.q,""))))&lt;&gt;"",IF(N538&lt;&gt;"","Load OK ✓ (checked)","⚠ "&amp;_xlfn.LET(_xlpm.q,E538,_xlpm.tk,P538,_xlpm.ld,Log!$P$18,_xlpm.fx,IF(OR(_xlpm.ld="",_xlpm.ld="Full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"&amp;_xlpm.q,""))))),IF(C538-I538&gt;=0.99,"next day",IF(C538-I538&gt;0.4,"12h → 24h","")))))))))))</f>
        <v/>
      </c>
      <c r="H538" s="4" t="str">
        <f t="shared" si="48"/>
        <v/>
      </c>
      <c r="I538" s="5" t="str">
        <f t="shared" si="49"/>
        <v/>
      </c>
      <c r="J538" s="6">
        <f t="shared" si="50"/>
        <v>0</v>
      </c>
      <c r="K538" s="4" t="str">
        <f t="shared" si="51"/>
        <v/>
      </c>
      <c r="L538" s="4" t="str">
        <f t="shared" si="52"/>
        <v/>
      </c>
      <c r="M538" s="4" t="b" cm="1">
        <f t="array" ref="M538">IF(H538="",FALSE,SUMPRODUCT(--(H$1:H537=H538))&gt;0)</f>
        <v>0</v>
      </c>
      <c r="N538" s="36"/>
      <c r="P538" s="1" t="str">
        <f t="shared" si="53"/>
        <v/>
      </c>
    </row>
    <row r="539" spans="1:16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"&amp;L539,IF(AND(MAX(K$1:K538)&gt;0,N(K539)-MAX(K$1:K538)&gt;180),"⚠ Gap &gt; 3h",IF(_xlfn.LET(_xlpm.q,E539,_xlpm.tk,P539,_xlpm.ld,Log!$P$18,_xlpm.fx,IF(OR(_xlpm.ld="",_xlpm.ld="Full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"&amp;_xlpm.q,""))))&lt;&gt;"",IF(N539&lt;&gt;"","Load OK ✓ (checked)","⚠ "&amp;_xlfn.LET(_xlpm.q,E539,_xlpm.tk,P539,_xlpm.ld,Log!$P$18,_xlpm.fx,IF(OR(_xlpm.ld="",_xlpm.ld="Full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"&amp;_xlpm.q,""))))),IF(C539-I539&gt;=0.99,"next day",IF(C539-I539&gt;0.4,"12h → 24h","")))))))))))</f>
        <v/>
      </c>
      <c r="H539" s="4" t="str">
        <f t="shared" si="48"/>
        <v/>
      </c>
      <c r="I539" s="5" t="str">
        <f t="shared" si="49"/>
        <v/>
      </c>
      <c r="J539" s="6">
        <f t="shared" si="50"/>
        <v>0</v>
      </c>
      <c r="K539" s="4" t="str">
        <f t="shared" si="51"/>
        <v/>
      </c>
      <c r="L539" s="4" t="str">
        <f t="shared" si="52"/>
        <v/>
      </c>
      <c r="M539" s="4" t="b" cm="1">
        <f t="array" ref="M539">IF(H539="",FALSE,SUMPRODUCT(--(H$1:H538=H539))&gt;0)</f>
        <v>0</v>
      </c>
      <c r="N539" s="36"/>
      <c r="P539" s="1" t="str">
        <f t="shared" si="53"/>
        <v/>
      </c>
    </row>
    <row r="540" spans="1:16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"&amp;L540,IF(AND(MAX(K$1:K539)&gt;0,N(K540)-MAX(K$1:K539)&gt;180),"⚠ Gap &gt; 3h",IF(_xlfn.LET(_xlpm.q,E540,_xlpm.tk,P540,_xlpm.ld,Log!$P$18,_xlpm.fx,IF(OR(_xlpm.ld="",_xlpm.ld="Full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"&amp;_xlpm.q,""))))&lt;&gt;"",IF(N540&lt;&gt;"","Load OK ✓ (checked)","⚠ "&amp;_xlfn.LET(_xlpm.q,E540,_xlpm.tk,P540,_xlpm.ld,Log!$P$18,_xlpm.fx,IF(OR(_xlpm.ld="",_xlpm.ld="Full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"&amp;_xlpm.q,""))))),IF(C540-I540&gt;=0.99,"next day",IF(C540-I540&gt;0.4,"12h → 24h","")))))))))))</f>
        <v/>
      </c>
      <c r="H540" s="4" t="str">
        <f t="shared" si="48"/>
        <v/>
      </c>
      <c r="I540" s="5" t="str">
        <f t="shared" si="49"/>
        <v/>
      </c>
      <c r="J540" s="6">
        <f t="shared" si="50"/>
        <v>0</v>
      </c>
      <c r="K540" s="4" t="str">
        <f t="shared" si="51"/>
        <v/>
      </c>
      <c r="L540" s="4" t="str">
        <f t="shared" si="52"/>
        <v/>
      </c>
      <c r="M540" s="4" t="b" cm="1">
        <f t="array" ref="M540">IF(H540="",FALSE,SUMPRODUCT(--(H$1:H539=H540))&gt;0)</f>
        <v>0</v>
      </c>
      <c r="N540" s="36"/>
      <c r="P540" s="1" t="str">
        <f t="shared" si="53"/>
        <v/>
      </c>
    </row>
    <row r="541" spans="1:16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"&amp;L541,IF(AND(MAX(K$1:K540)&gt;0,N(K541)-MAX(K$1:K540)&gt;180),"⚠ Gap &gt; 3h",IF(_xlfn.LET(_xlpm.q,E541,_xlpm.tk,P541,_xlpm.ld,Log!$P$18,_xlpm.fx,IF(OR(_xlpm.ld="",_xlpm.ld="Full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"&amp;_xlpm.q,""))))&lt;&gt;"",IF(N541&lt;&gt;"","Load OK ✓ (checked)","⚠ "&amp;_xlfn.LET(_xlpm.q,E541,_xlpm.tk,P541,_xlpm.ld,Log!$P$18,_xlpm.fx,IF(OR(_xlpm.ld="",_xlpm.ld="Full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"&amp;_xlpm.q,""))))),IF(C541-I541&gt;=0.99,"next day",IF(C541-I541&gt;0.4,"12h → 24h","")))))))))))</f>
        <v/>
      </c>
      <c r="H541" s="4" t="str">
        <f t="shared" si="48"/>
        <v/>
      </c>
      <c r="I541" s="5" t="str">
        <f t="shared" si="49"/>
        <v/>
      </c>
      <c r="J541" s="6">
        <f t="shared" si="50"/>
        <v>0</v>
      </c>
      <c r="K541" s="4" t="str">
        <f t="shared" si="51"/>
        <v/>
      </c>
      <c r="L541" s="4" t="str">
        <f t="shared" si="52"/>
        <v/>
      </c>
      <c r="M541" s="4" t="b" cm="1">
        <f t="array" ref="M541">IF(H541="",FALSE,SUMPRODUCT(--(H$1:H540=H541))&gt;0)</f>
        <v>0</v>
      </c>
      <c r="N541" s="36"/>
      <c r="P541" s="1" t="str">
        <f t="shared" si="53"/>
        <v/>
      </c>
    </row>
    <row r="542" spans="1:16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"&amp;L542,IF(AND(MAX(K$1:K541)&gt;0,N(K542)-MAX(K$1:K541)&gt;180),"⚠ Gap &gt; 3h",IF(_xlfn.LET(_xlpm.q,E542,_xlpm.tk,P542,_xlpm.ld,Log!$P$18,_xlpm.fx,IF(OR(_xlpm.ld="",_xlpm.ld="Full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"&amp;_xlpm.q,""))))&lt;&gt;"",IF(N542&lt;&gt;"","Load OK ✓ (checked)","⚠ "&amp;_xlfn.LET(_xlpm.q,E542,_xlpm.tk,P542,_xlpm.ld,Log!$P$18,_xlpm.fx,IF(OR(_xlpm.ld="",_xlpm.ld="Full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"&amp;_xlpm.q,""))))),IF(C542-I542&gt;=0.99,"next day",IF(C542-I542&gt;0.4,"12h → 24h","")))))))))))</f>
        <v/>
      </c>
      <c r="H542" s="4" t="str">
        <f t="shared" si="48"/>
        <v/>
      </c>
      <c r="I542" s="5" t="str">
        <f t="shared" si="49"/>
        <v/>
      </c>
      <c r="J542" s="6">
        <f t="shared" si="50"/>
        <v>0</v>
      </c>
      <c r="K542" s="4" t="str">
        <f t="shared" si="51"/>
        <v/>
      </c>
      <c r="L542" s="4" t="str">
        <f t="shared" si="52"/>
        <v/>
      </c>
      <c r="M542" s="4" t="b" cm="1">
        <f t="array" ref="M542">IF(H542="",FALSE,SUMPRODUCT(--(H$1:H541=H542))&gt;0)</f>
        <v>0</v>
      </c>
      <c r="N542" s="36"/>
      <c r="P542" s="1" t="str">
        <f t="shared" si="53"/>
        <v/>
      </c>
    </row>
    <row r="543" spans="1:16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"&amp;L543,IF(AND(MAX(K$1:K542)&gt;0,N(K543)-MAX(K$1:K542)&gt;180),"⚠ Gap &gt; 3h",IF(_xlfn.LET(_xlpm.q,E543,_xlpm.tk,P543,_xlpm.ld,Log!$P$18,_xlpm.fx,IF(OR(_xlpm.ld="",_xlpm.ld="Full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"&amp;_xlpm.q,""))))&lt;&gt;"",IF(N543&lt;&gt;"","Load OK ✓ (checked)","⚠ "&amp;_xlfn.LET(_xlpm.q,E543,_xlpm.tk,P543,_xlpm.ld,Log!$P$18,_xlpm.fx,IF(OR(_xlpm.ld="",_xlpm.ld="Full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"&amp;_xlpm.q,""))))),IF(C543-I543&gt;=0.99,"next day",IF(C543-I543&gt;0.4,"12h → 24h","")))))))))))</f>
        <v/>
      </c>
      <c r="H543" s="4" t="str">
        <f t="shared" si="48"/>
        <v/>
      </c>
      <c r="I543" s="5" t="str">
        <f t="shared" si="49"/>
        <v/>
      </c>
      <c r="J543" s="6">
        <f t="shared" si="50"/>
        <v>0</v>
      </c>
      <c r="K543" s="4" t="str">
        <f t="shared" si="51"/>
        <v/>
      </c>
      <c r="L543" s="4" t="str">
        <f t="shared" si="52"/>
        <v/>
      </c>
      <c r="M543" s="4" t="b" cm="1">
        <f t="array" ref="M543">IF(H543="",FALSE,SUMPRODUCT(--(H$1:H542=H543))&gt;0)</f>
        <v>0</v>
      </c>
      <c r="N543" s="36"/>
      <c r="P543" s="1" t="str">
        <f t="shared" si="53"/>
        <v/>
      </c>
    </row>
    <row r="544" spans="1:16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"&amp;L544,IF(AND(MAX(K$1:K543)&gt;0,N(K544)-MAX(K$1:K543)&gt;180),"⚠ Gap &gt; 3h",IF(_xlfn.LET(_xlpm.q,E544,_xlpm.tk,P544,_xlpm.ld,Log!$P$18,_xlpm.fx,IF(OR(_xlpm.ld="",_xlpm.ld="Full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"&amp;_xlpm.q,""))))&lt;&gt;"",IF(N544&lt;&gt;"","Load OK ✓ (checked)","⚠ "&amp;_xlfn.LET(_xlpm.q,E544,_xlpm.tk,P544,_xlpm.ld,Log!$P$18,_xlpm.fx,IF(OR(_xlpm.ld="",_xlpm.ld="Full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"&amp;_xlpm.q,""))))),IF(C544-I544&gt;=0.99,"next day",IF(C544-I544&gt;0.4,"12h → 24h","")))))))))))</f>
        <v/>
      </c>
      <c r="H544" s="4" t="str">
        <f t="shared" si="48"/>
        <v/>
      </c>
      <c r="I544" s="5" t="str">
        <f t="shared" si="49"/>
        <v/>
      </c>
      <c r="J544" s="6">
        <f t="shared" si="50"/>
        <v>0</v>
      </c>
      <c r="K544" s="4" t="str">
        <f t="shared" si="51"/>
        <v/>
      </c>
      <c r="L544" s="4" t="str">
        <f t="shared" si="52"/>
        <v/>
      </c>
      <c r="M544" s="4" t="b" cm="1">
        <f t="array" ref="M544">IF(H544="",FALSE,SUMPRODUCT(--(H$1:H543=H544))&gt;0)</f>
        <v>0</v>
      </c>
      <c r="N544" s="36"/>
      <c r="P544" s="1" t="str">
        <f t="shared" si="53"/>
        <v/>
      </c>
    </row>
    <row r="545" spans="1:16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"&amp;L545,IF(AND(MAX(K$1:K544)&gt;0,N(K545)-MAX(K$1:K544)&gt;180),"⚠ Gap &gt; 3h",IF(_xlfn.LET(_xlpm.q,E545,_xlpm.tk,P545,_xlpm.ld,Log!$P$18,_xlpm.fx,IF(OR(_xlpm.ld="",_xlpm.ld="Full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"&amp;_xlpm.q,""))))&lt;&gt;"",IF(N545&lt;&gt;"","Load OK ✓ (checked)","⚠ "&amp;_xlfn.LET(_xlpm.q,E545,_xlpm.tk,P545,_xlpm.ld,Log!$P$18,_xlpm.fx,IF(OR(_xlpm.ld="",_xlpm.ld="Full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"&amp;_xlpm.q,""))))),IF(C545-I545&gt;=0.99,"next day",IF(C545-I545&gt;0.4,"12h → 24h","")))))))))))</f>
        <v/>
      </c>
      <c r="H545" s="4" t="str">
        <f t="shared" si="48"/>
        <v/>
      </c>
      <c r="I545" s="5" t="str">
        <f t="shared" si="49"/>
        <v/>
      </c>
      <c r="J545" s="6">
        <f t="shared" si="50"/>
        <v>0</v>
      </c>
      <c r="K545" s="4" t="str">
        <f t="shared" si="51"/>
        <v/>
      </c>
      <c r="L545" s="4" t="str">
        <f t="shared" si="52"/>
        <v/>
      </c>
      <c r="M545" s="4" t="b" cm="1">
        <f t="array" ref="M545">IF(H545="",FALSE,SUMPRODUCT(--(H$1:H544=H545))&gt;0)</f>
        <v>0</v>
      </c>
      <c r="N545" s="36"/>
      <c r="P545" s="1" t="str">
        <f t="shared" si="53"/>
        <v/>
      </c>
    </row>
    <row r="546" spans="1:16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"&amp;L546,IF(AND(MAX(K$1:K545)&gt;0,N(K546)-MAX(K$1:K545)&gt;180),"⚠ Gap &gt; 3h",IF(_xlfn.LET(_xlpm.q,E546,_xlpm.tk,P546,_xlpm.ld,Log!$P$18,_xlpm.fx,IF(OR(_xlpm.ld="",_xlpm.ld="Full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"&amp;_xlpm.q,""))))&lt;&gt;"",IF(N546&lt;&gt;"","Load OK ✓ (checked)","⚠ "&amp;_xlfn.LET(_xlpm.q,E546,_xlpm.tk,P546,_xlpm.ld,Log!$P$18,_xlpm.fx,IF(OR(_xlpm.ld="",_xlpm.ld="Full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"&amp;_xlpm.q,""))))),IF(C546-I546&gt;=0.99,"next day",IF(C546-I546&gt;0.4,"12h → 24h","")))))))))))</f>
        <v/>
      </c>
      <c r="H546" s="4" t="str">
        <f t="shared" si="48"/>
        <v/>
      </c>
      <c r="I546" s="5" t="str">
        <f t="shared" si="49"/>
        <v/>
      </c>
      <c r="J546" s="6">
        <f t="shared" si="50"/>
        <v>0</v>
      </c>
      <c r="K546" s="4" t="str">
        <f t="shared" si="51"/>
        <v/>
      </c>
      <c r="L546" s="4" t="str">
        <f t="shared" si="52"/>
        <v/>
      </c>
      <c r="M546" s="4" t="b" cm="1">
        <f t="array" ref="M546">IF(H546="",FALSE,SUMPRODUCT(--(H$1:H545=H546))&gt;0)</f>
        <v>0</v>
      </c>
      <c r="N546" s="36"/>
      <c r="P546" s="1" t="str">
        <f t="shared" si="53"/>
        <v/>
      </c>
    </row>
    <row r="547" spans="1:16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"&amp;L547,IF(AND(MAX(K$1:K546)&gt;0,N(K547)-MAX(K$1:K546)&gt;180),"⚠ Gap &gt; 3h",IF(_xlfn.LET(_xlpm.q,E547,_xlpm.tk,P547,_xlpm.ld,Log!$P$18,_xlpm.fx,IF(OR(_xlpm.ld="",_xlpm.ld="Full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"&amp;_xlpm.q,""))))&lt;&gt;"",IF(N547&lt;&gt;"","Load OK ✓ (checked)","⚠ "&amp;_xlfn.LET(_xlpm.q,E547,_xlpm.tk,P547,_xlpm.ld,Log!$P$18,_xlpm.fx,IF(OR(_xlpm.ld="",_xlpm.ld="Full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"&amp;_xlpm.q,""))))),IF(C547-I547&gt;=0.99,"next day",IF(C547-I547&gt;0.4,"12h → 24h","")))))))))))</f>
        <v/>
      </c>
      <c r="H547" s="4" t="str">
        <f t="shared" si="48"/>
        <v/>
      </c>
      <c r="I547" s="5" t="str">
        <f t="shared" si="49"/>
        <v/>
      </c>
      <c r="J547" s="6">
        <f t="shared" si="50"/>
        <v>0</v>
      </c>
      <c r="K547" s="4" t="str">
        <f t="shared" si="51"/>
        <v/>
      </c>
      <c r="L547" s="4" t="str">
        <f t="shared" si="52"/>
        <v/>
      </c>
      <c r="M547" s="4" t="b" cm="1">
        <f t="array" ref="M547">IF(H547="",FALSE,SUMPRODUCT(--(H$1:H546=H547))&gt;0)</f>
        <v>0</v>
      </c>
      <c r="N547" s="36"/>
      <c r="P547" s="1" t="str">
        <f t="shared" si="53"/>
        <v/>
      </c>
    </row>
    <row r="548" spans="1:16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"&amp;L548,IF(AND(MAX(K$1:K547)&gt;0,N(K548)-MAX(K$1:K547)&gt;180),"⚠ Gap &gt; 3h",IF(_xlfn.LET(_xlpm.q,E548,_xlpm.tk,P548,_xlpm.ld,Log!$P$18,_xlpm.fx,IF(OR(_xlpm.ld="",_xlpm.ld="Full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"&amp;_xlpm.q,""))))&lt;&gt;"",IF(N548&lt;&gt;"","Load OK ✓ (checked)","⚠ "&amp;_xlfn.LET(_xlpm.q,E548,_xlpm.tk,P548,_xlpm.ld,Log!$P$18,_xlpm.fx,IF(OR(_xlpm.ld="",_xlpm.ld="Full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"&amp;_xlpm.q,""))))),IF(C548-I548&gt;=0.99,"next day",IF(C548-I548&gt;0.4,"12h → 24h","")))))))))))</f>
        <v/>
      </c>
      <c r="H548" s="4" t="str">
        <f t="shared" si="48"/>
        <v/>
      </c>
      <c r="I548" s="5" t="str">
        <f t="shared" si="49"/>
        <v/>
      </c>
      <c r="J548" s="6">
        <f t="shared" si="50"/>
        <v>0</v>
      </c>
      <c r="K548" s="4" t="str">
        <f t="shared" si="51"/>
        <v/>
      </c>
      <c r="L548" s="4" t="str">
        <f t="shared" si="52"/>
        <v/>
      </c>
      <c r="M548" s="4" t="b" cm="1">
        <f t="array" ref="M548">IF(H548="",FALSE,SUMPRODUCT(--(H$1:H547=H548))&gt;0)</f>
        <v>0</v>
      </c>
      <c r="N548" s="36"/>
      <c r="P548" s="1" t="str">
        <f t="shared" si="53"/>
        <v/>
      </c>
    </row>
    <row r="549" spans="1:16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"&amp;L549,IF(AND(MAX(K$1:K548)&gt;0,N(K549)-MAX(K$1:K548)&gt;180),"⚠ Gap &gt; 3h",IF(_xlfn.LET(_xlpm.q,E549,_xlpm.tk,P549,_xlpm.ld,Log!$P$18,_xlpm.fx,IF(OR(_xlpm.ld="",_xlpm.ld="Full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"&amp;_xlpm.q,""))))&lt;&gt;"",IF(N549&lt;&gt;"","Load OK ✓ (checked)","⚠ "&amp;_xlfn.LET(_xlpm.q,E549,_xlpm.tk,P549,_xlpm.ld,Log!$P$18,_xlpm.fx,IF(OR(_xlpm.ld="",_xlpm.ld="Full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"&amp;_xlpm.q,""))))),IF(C549-I549&gt;=0.99,"next day",IF(C549-I549&gt;0.4,"12h → 24h","")))))))))))</f>
        <v/>
      </c>
      <c r="H549" s="4" t="str">
        <f t="shared" si="48"/>
        <v/>
      </c>
      <c r="I549" s="5" t="str">
        <f t="shared" si="49"/>
        <v/>
      </c>
      <c r="J549" s="6">
        <f t="shared" si="50"/>
        <v>0</v>
      </c>
      <c r="K549" s="4" t="str">
        <f t="shared" si="51"/>
        <v/>
      </c>
      <c r="L549" s="4" t="str">
        <f t="shared" si="52"/>
        <v/>
      </c>
      <c r="M549" s="4" t="b" cm="1">
        <f t="array" ref="M549">IF(H549="",FALSE,SUMPRODUCT(--(H$1:H548=H549))&gt;0)</f>
        <v>0</v>
      </c>
      <c r="N549" s="36"/>
      <c r="P549" s="1" t="str">
        <f t="shared" si="53"/>
        <v/>
      </c>
    </row>
    <row r="550" spans="1:16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"&amp;L550,IF(AND(MAX(K$1:K549)&gt;0,N(K550)-MAX(K$1:K549)&gt;180),"⚠ Gap &gt; 3h",IF(_xlfn.LET(_xlpm.q,E550,_xlpm.tk,P550,_xlpm.ld,Log!$P$18,_xlpm.fx,IF(OR(_xlpm.ld="",_xlpm.ld="Full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"&amp;_xlpm.q,""))))&lt;&gt;"",IF(N550&lt;&gt;"","Load OK ✓ (checked)","⚠ "&amp;_xlfn.LET(_xlpm.q,E550,_xlpm.tk,P550,_xlpm.ld,Log!$P$18,_xlpm.fx,IF(OR(_xlpm.ld="",_xlpm.ld="Full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"&amp;_xlpm.q,""))))),IF(C550-I550&gt;=0.99,"next day",IF(C550-I550&gt;0.4,"12h → 24h","")))))))))))</f>
        <v/>
      </c>
      <c r="H550" s="4" t="str">
        <f t="shared" si="48"/>
        <v/>
      </c>
      <c r="I550" s="5" t="str">
        <f t="shared" si="49"/>
        <v/>
      </c>
      <c r="J550" s="6">
        <f t="shared" si="50"/>
        <v>0</v>
      </c>
      <c r="K550" s="4" t="str">
        <f t="shared" si="51"/>
        <v/>
      </c>
      <c r="L550" s="4" t="str">
        <f t="shared" si="52"/>
        <v/>
      </c>
      <c r="M550" s="4" t="b" cm="1">
        <f t="array" ref="M550">IF(H550="",FALSE,SUMPRODUCT(--(H$1:H549=H550))&gt;0)</f>
        <v>0</v>
      </c>
      <c r="N550" s="36"/>
      <c r="P550" s="1" t="str">
        <f t="shared" si="53"/>
        <v/>
      </c>
    </row>
    <row r="551" spans="1:16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"&amp;L551,IF(AND(MAX(K$1:K550)&gt;0,N(K551)-MAX(K$1:K550)&gt;180),"⚠ Gap &gt; 3h",IF(_xlfn.LET(_xlpm.q,E551,_xlpm.tk,P551,_xlpm.ld,Log!$P$18,_xlpm.fx,IF(OR(_xlpm.ld="",_xlpm.ld="Full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"&amp;_xlpm.q,""))))&lt;&gt;"",IF(N551&lt;&gt;"","Load OK ✓ (checked)","⚠ "&amp;_xlfn.LET(_xlpm.q,E551,_xlpm.tk,P551,_xlpm.ld,Log!$P$18,_xlpm.fx,IF(OR(_xlpm.ld="",_xlpm.ld="Full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"&amp;_xlpm.q,""))))),IF(C551-I551&gt;=0.99,"next day",IF(C551-I551&gt;0.4,"12h → 24h","")))))))))))</f>
        <v/>
      </c>
      <c r="H551" s="4" t="str">
        <f t="shared" si="48"/>
        <v/>
      </c>
      <c r="I551" s="5" t="str">
        <f t="shared" si="49"/>
        <v/>
      </c>
      <c r="J551" s="6">
        <f t="shared" si="50"/>
        <v>0</v>
      </c>
      <c r="K551" s="4" t="str">
        <f t="shared" si="51"/>
        <v/>
      </c>
      <c r="L551" s="4" t="str">
        <f t="shared" si="52"/>
        <v/>
      </c>
      <c r="M551" s="4" t="b" cm="1">
        <f t="array" ref="M551">IF(H551="",FALSE,SUMPRODUCT(--(H$1:H550=H551))&gt;0)</f>
        <v>0</v>
      </c>
      <c r="N551" s="36"/>
      <c r="P551" s="1" t="str">
        <f t="shared" si="53"/>
        <v/>
      </c>
    </row>
    <row r="552" spans="1:16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"&amp;L552,IF(AND(MAX(K$1:K551)&gt;0,N(K552)-MAX(K$1:K551)&gt;180),"⚠ Gap &gt; 3h",IF(_xlfn.LET(_xlpm.q,E552,_xlpm.tk,P552,_xlpm.ld,Log!$P$18,_xlpm.fx,IF(OR(_xlpm.ld="",_xlpm.ld="Full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"&amp;_xlpm.q,""))))&lt;&gt;"",IF(N552&lt;&gt;"","Load OK ✓ (checked)","⚠ "&amp;_xlfn.LET(_xlpm.q,E552,_xlpm.tk,P552,_xlpm.ld,Log!$P$18,_xlpm.fx,IF(OR(_xlpm.ld="",_xlpm.ld="Full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"&amp;_xlpm.q,""))))),IF(C552-I552&gt;=0.99,"next day",IF(C552-I552&gt;0.4,"12h → 24h","")))))))))))</f>
        <v/>
      </c>
      <c r="H552" s="4" t="str">
        <f t="shared" si="48"/>
        <v/>
      </c>
      <c r="I552" s="5" t="str">
        <f t="shared" si="49"/>
        <v/>
      </c>
      <c r="J552" s="6">
        <f t="shared" si="50"/>
        <v>0</v>
      </c>
      <c r="K552" s="4" t="str">
        <f t="shared" si="51"/>
        <v/>
      </c>
      <c r="L552" s="4" t="str">
        <f t="shared" si="52"/>
        <v/>
      </c>
      <c r="M552" s="4" t="b" cm="1">
        <f t="array" ref="M552">IF(H552="",FALSE,SUMPRODUCT(--(H$1:H551=H552))&gt;0)</f>
        <v>0</v>
      </c>
      <c r="N552" s="36"/>
      <c r="P552" s="1" t="str">
        <f t="shared" si="53"/>
        <v/>
      </c>
    </row>
    <row r="553" spans="1:16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"&amp;L553,IF(AND(MAX(K$1:K552)&gt;0,N(K553)-MAX(K$1:K552)&gt;180),"⚠ Gap &gt; 3h",IF(_xlfn.LET(_xlpm.q,E553,_xlpm.tk,P553,_xlpm.ld,Log!$P$18,_xlpm.fx,IF(OR(_xlpm.ld="",_xlpm.ld="Full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"&amp;_xlpm.q,""))))&lt;&gt;"",IF(N553&lt;&gt;"","Load OK ✓ (checked)","⚠ "&amp;_xlfn.LET(_xlpm.q,E553,_xlpm.tk,P553,_xlpm.ld,Log!$P$18,_xlpm.fx,IF(OR(_xlpm.ld="",_xlpm.ld="Full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"&amp;_xlpm.q,""))))),IF(C553-I553&gt;=0.99,"next day",IF(C553-I553&gt;0.4,"12h → 24h","")))))))))))</f>
        <v/>
      </c>
      <c r="H553" s="4" t="str">
        <f t="shared" si="48"/>
        <v/>
      </c>
      <c r="I553" s="5" t="str">
        <f t="shared" si="49"/>
        <v/>
      </c>
      <c r="J553" s="6">
        <f t="shared" si="50"/>
        <v>0</v>
      </c>
      <c r="K553" s="4" t="str">
        <f t="shared" si="51"/>
        <v/>
      </c>
      <c r="L553" s="4" t="str">
        <f t="shared" si="52"/>
        <v/>
      </c>
      <c r="M553" s="4" t="b" cm="1">
        <f t="array" ref="M553">IF(H553="",FALSE,SUMPRODUCT(--(H$1:H552=H553))&gt;0)</f>
        <v>0</v>
      </c>
      <c r="N553" s="36"/>
      <c r="P553" s="1" t="str">
        <f t="shared" si="53"/>
        <v/>
      </c>
    </row>
    <row r="554" spans="1:16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"&amp;L554,IF(AND(MAX(K$1:K553)&gt;0,N(K554)-MAX(K$1:K553)&gt;180),"⚠ Gap &gt; 3h",IF(_xlfn.LET(_xlpm.q,E554,_xlpm.tk,P554,_xlpm.ld,Log!$P$18,_xlpm.fx,IF(OR(_xlpm.ld="",_xlpm.ld="Full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"&amp;_xlpm.q,""))))&lt;&gt;"",IF(N554&lt;&gt;"","Load OK ✓ (checked)","⚠ "&amp;_xlfn.LET(_xlpm.q,E554,_xlpm.tk,P554,_xlpm.ld,Log!$P$18,_xlpm.fx,IF(OR(_xlpm.ld="",_xlpm.ld="Full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"&amp;_xlpm.q,""))))),IF(C554-I554&gt;=0.99,"next day",IF(C554-I554&gt;0.4,"12h → 24h","")))))))))))</f>
        <v/>
      </c>
      <c r="H554" s="4" t="str">
        <f t="shared" si="48"/>
        <v/>
      </c>
      <c r="I554" s="5" t="str">
        <f t="shared" si="49"/>
        <v/>
      </c>
      <c r="J554" s="6">
        <f t="shared" si="50"/>
        <v>0</v>
      </c>
      <c r="K554" s="4" t="str">
        <f t="shared" si="51"/>
        <v/>
      </c>
      <c r="L554" s="4" t="str">
        <f t="shared" si="52"/>
        <v/>
      </c>
      <c r="M554" s="4" t="b" cm="1">
        <f t="array" ref="M554">IF(H554="",FALSE,SUMPRODUCT(--(H$1:H553=H554))&gt;0)</f>
        <v>0</v>
      </c>
      <c r="N554" s="36"/>
      <c r="P554" s="1" t="str">
        <f t="shared" si="53"/>
        <v/>
      </c>
    </row>
    <row r="555" spans="1:16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"&amp;L555,IF(AND(MAX(K$1:K554)&gt;0,N(K555)-MAX(K$1:K554)&gt;180),"⚠ Gap &gt; 3h",IF(_xlfn.LET(_xlpm.q,E555,_xlpm.tk,P555,_xlpm.ld,Log!$P$18,_xlpm.fx,IF(OR(_xlpm.ld="",_xlpm.ld="Full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"&amp;_xlpm.q,""))))&lt;&gt;"",IF(N555&lt;&gt;"","Load OK ✓ (checked)","⚠ "&amp;_xlfn.LET(_xlpm.q,E555,_xlpm.tk,P555,_xlpm.ld,Log!$P$18,_xlpm.fx,IF(OR(_xlpm.ld="",_xlpm.ld="Full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"&amp;_xlpm.q,""))))),IF(C555-I555&gt;=0.99,"next day",IF(C555-I555&gt;0.4,"12h → 24h","")))))))))))</f>
        <v/>
      </c>
      <c r="H555" s="4" t="str">
        <f t="shared" si="48"/>
        <v/>
      </c>
      <c r="I555" s="5" t="str">
        <f t="shared" si="49"/>
        <v/>
      </c>
      <c r="J555" s="6">
        <f t="shared" si="50"/>
        <v>0</v>
      </c>
      <c r="K555" s="4" t="str">
        <f t="shared" si="51"/>
        <v/>
      </c>
      <c r="L555" s="4" t="str">
        <f t="shared" si="52"/>
        <v/>
      </c>
      <c r="M555" s="4" t="b" cm="1">
        <f t="array" ref="M555">IF(H555="",FALSE,SUMPRODUCT(--(H$1:H554=H555))&gt;0)</f>
        <v>0</v>
      </c>
      <c r="N555" s="36"/>
      <c r="P555" s="1" t="str">
        <f t="shared" si="53"/>
        <v/>
      </c>
    </row>
    <row r="556" spans="1:16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"&amp;L556,IF(AND(MAX(K$1:K555)&gt;0,N(K556)-MAX(K$1:K555)&gt;180),"⚠ Gap &gt; 3h",IF(_xlfn.LET(_xlpm.q,E556,_xlpm.tk,P556,_xlpm.ld,Log!$P$18,_xlpm.fx,IF(OR(_xlpm.ld="",_xlpm.ld="Full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"&amp;_xlpm.q,""))))&lt;&gt;"",IF(N556&lt;&gt;"","Load OK ✓ (checked)","⚠ "&amp;_xlfn.LET(_xlpm.q,E556,_xlpm.tk,P556,_xlpm.ld,Log!$P$18,_xlpm.fx,IF(OR(_xlpm.ld="",_xlpm.ld="Full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"&amp;_xlpm.q,""))))),IF(C556-I556&gt;=0.99,"next day",IF(C556-I556&gt;0.4,"12h → 24h","")))))))))))</f>
        <v/>
      </c>
      <c r="H556" s="4" t="str">
        <f t="shared" si="48"/>
        <v/>
      </c>
      <c r="I556" s="5" t="str">
        <f t="shared" si="49"/>
        <v/>
      </c>
      <c r="J556" s="6">
        <f t="shared" si="50"/>
        <v>0</v>
      </c>
      <c r="K556" s="4" t="str">
        <f t="shared" si="51"/>
        <v/>
      </c>
      <c r="L556" s="4" t="str">
        <f t="shared" si="52"/>
        <v/>
      </c>
      <c r="M556" s="4" t="b" cm="1">
        <f t="array" ref="M556">IF(H556="",FALSE,SUMPRODUCT(--(H$1:H555=H556))&gt;0)</f>
        <v>0</v>
      </c>
      <c r="N556" s="36"/>
      <c r="P556" s="1" t="str">
        <f t="shared" si="53"/>
        <v/>
      </c>
    </row>
    <row r="557" spans="1:16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"&amp;L557,IF(AND(MAX(K$1:K556)&gt;0,N(K557)-MAX(K$1:K556)&gt;180),"⚠ Gap &gt; 3h",IF(_xlfn.LET(_xlpm.q,E557,_xlpm.tk,P557,_xlpm.ld,Log!$P$18,_xlpm.fx,IF(OR(_xlpm.ld="",_xlpm.ld="Full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"&amp;_xlpm.q,""))))&lt;&gt;"",IF(N557&lt;&gt;"","Load OK ✓ (checked)","⚠ "&amp;_xlfn.LET(_xlpm.q,E557,_xlpm.tk,P557,_xlpm.ld,Log!$P$18,_xlpm.fx,IF(OR(_xlpm.ld="",_xlpm.ld="Full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"&amp;_xlpm.q,""))))),IF(C557-I557&gt;=0.99,"next day",IF(C557-I557&gt;0.4,"12h → 24h","")))))))))))</f>
        <v/>
      </c>
      <c r="H557" s="4" t="str">
        <f t="shared" si="48"/>
        <v/>
      </c>
      <c r="I557" s="5" t="str">
        <f t="shared" si="49"/>
        <v/>
      </c>
      <c r="J557" s="6">
        <f t="shared" si="50"/>
        <v>0</v>
      </c>
      <c r="K557" s="4" t="str">
        <f t="shared" si="51"/>
        <v/>
      </c>
      <c r="L557" s="4" t="str">
        <f t="shared" si="52"/>
        <v/>
      </c>
      <c r="M557" s="4" t="b" cm="1">
        <f t="array" ref="M557">IF(H557="",FALSE,SUMPRODUCT(--(H$1:H556=H557))&gt;0)</f>
        <v>0</v>
      </c>
      <c r="N557" s="36"/>
      <c r="P557" s="1" t="str">
        <f t="shared" si="53"/>
        <v/>
      </c>
    </row>
    <row r="558" spans="1:16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"&amp;L558,IF(AND(MAX(K$1:K557)&gt;0,N(K558)-MAX(K$1:K557)&gt;180),"⚠ Gap &gt; 3h",IF(_xlfn.LET(_xlpm.q,E558,_xlpm.tk,P558,_xlpm.ld,Log!$P$18,_xlpm.fx,IF(OR(_xlpm.ld="",_xlpm.ld="Full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"&amp;_xlpm.q,""))))&lt;&gt;"",IF(N558&lt;&gt;"","Load OK ✓ (checked)","⚠ "&amp;_xlfn.LET(_xlpm.q,E558,_xlpm.tk,P558,_xlpm.ld,Log!$P$18,_xlpm.fx,IF(OR(_xlpm.ld="",_xlpm.ld="Full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"&amp;_xlpm.q,""))))),IF(C558-I558&gt;=0.99,"next day",IF(C558-I558&gt;0.4,"12h → 24h","")))))))))))</f>
        <v/>
      </c>
      <c r="H558" s="4" t="str">
        <f t="shared" si="48"/>
        <v/>
      </c>
      <c r="I558" s="5" t="str">
        <f t="shared" si="49"/>
        <v/>
      </c>
      <c r="J558" s="6">
        <f t="shared" si="50"/>
        <v>0</v>
      </c>
      <c r="K558" s="4" t="str">
        <f t="shared" si="51"/>
        <v/>
      </c>
      <c r="L558" s="4" t="str">
        <f t="shared" si="52"/>
        <v/>
      </c>
      <c r="M558" s="4" t="b" cm="1">
        <f t="array" ref="M558">IF(H558="",FALSE,SUMPRODUCT(--(H$1:H557=H558))&gt;0)</f>
        <v>0</v>
      </c>
      <c r="N558" s="36"/>
      <c r="P558" s="1" t="str">
        <f t="shared" si="53"/>
        <v/>
      </c>
    </row>
    <row r="559" spans="1:16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"&amp;L559,IF(AND(MAX(K$1:K558)&gt;0,N(K559)-MAX(K$1:K558)&gt;180),"⚠ Gap &gt; 3h",IF(_xlfn.LET(_xlpm.q,E559,_xlpm.tk,P559,_xlpm.ld,Log!$P$18,_xlpm.fx,IF(OR(_xlpm.ld="",_xlpm.ld="Full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"&amp;_xlpm.q,""))))&lt;&gt;"",IF(N559&lt;&gt;"","Load OK ✓ (checked)","⚠ "&amp;_xlfn.LET(_xlpm.q,E559,_xlpm.tk,P559,_xlpm.ld,Log!$P$18,_xlpm.fx,IF(OR(_xlpm.ld="",_xlpm.ld="Full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"&amp;_xlpm.q,""))))),IF(C559-I559&gt;=0.99,"next day",IF(C559-I559&gt;0.4,"12h → 24h","")))))))))))</f>
        <v/>
      </c>
      <c r="H559" s="4" t="str">
        <f t="shared" si="48"/>
        <v/>
      </c>
      <c r="I559" s="5" t="str">
        <f t="shared" si="49"/>
        <v/>
      </c>
      <c r="J559" s="6">
        <f t="shared" si="50"/>
        <v>0</v>
      </c>
      <c r="K559" s="4" t="str">
        <f t="shared" si="51"/>
        <v/>
      </c>
      <c r="L559" s="4" t="str">
        <f t="shared" si="52"/>
        <v/>
      </c>
      <c r="M559" s="4" t="b" cm="1">
        <f t="array" ref="M559">IF(H559="",FALSE,SUMPRODUCT(--(H$1:H558=H559))&gt;0)</f>
        <v>0</v>
      </c>
      <c r="N559" s="36"/>
      <c r="P559" s="1" t="str">
        <f t="shared" si="53"/>
        <v/>
      </c>
    </row>
    <row r="560" spans="1:16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"&amp;L560,IF(AND(MAX(K$1:K559)&gt;0,N(K560)-MAX(K$1:K559)&gt;180),"⚠ Gap &gt; 3h",IF(_xlfn.LET(_xlpm.q,E560,_xlpm.tk,P560,_xlpm.ld,Log!$P$18,_xlpm.fx,IF(OR(_xlpm.ld="",_xlpm.ld="Full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"&amp;_xlpm.q,""))))&lt;&gt;"",IF(N560&lt;&gt;"","Load OK ✓ (checked)","⚠ "&amp;_xlfn.LET(_xlpm.q,E560,_xlpm.tk,P560,_xlpm.ld,Log!$P$18,_xlpm.fx,IF(OR(_xlpm.ld="",_xlpm.ld="Full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"&amp;_xlpm.q,""))))),IF(C560-I560&gt;=0.99,"next day",IF(C560-I560&gt;0.4,"12h → 24h","")))))))))))</f>
        <v/>
      </c>
      <c r="H560" s="4" t="str">
        <f t="shared" si="48"/>
        <v/>
      </c>
      <c r="I560" s="5" t="str">
        <f t="shared" si="49"/>
        <v/>
      </c>
      <c r="J560" s="6">
        <f t="shared" si="50"/>
        <v>0</v>
      </c>
      <c r="K560" s="4" t="str">
        <f t="shared" si="51"/>
        <v/>
      </c>
      <c r="L560" s="4" t="str">
        <f t="shared" si="52"/>
        <v/>
      </c>
      <c r="M560" s="4" t="b" cm="1">
        <f t="array" ref="M560">IF(H560="",FALSE,SUMPRODUCT(--(H$1:H559=H560))&gt;0)</f>
        <v>0</v>
      </c>
      <c r="N560" s="36"/>
      <c r="P560" s="1" t="str">
        <f t="shared" si="53"/>
        <v/>
      </c>
    </row>
    <row r="561" spans="1:16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"&amp;L561,IF(AND(MAX(K$1:K560)&gt;0,N(K561)-MAX(K$1:K560)&gt;180),"⚠ Gap &gt; 3h",IF(_xlfn.LET(_xlpm.q,E561,_xlpm.tk,P561,_xlpm.ld,Log!$P$18,_xlpm.fx,IF(OR(_xlpm.ld="",_xlpm.ld="Full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"&amp;_xlpm.q,""))))&lt;&gt;"",IF(N561&lt;&gt;"","Load OK ✓ (checked)","⚠ "&amp;_xlfn.LET(_xlpm.q,E561,_xlpm.tk,P561,_xlpm.ld,Log!$P$18,_xlpm.fx,IF(OR(_xlpm.ld="",_xlpm.ld="Full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"&amp;_xlpm.q,""))))),IF(C561-I561&gt;=0.99,"next day",IF(C561-I561&gt;0.4,"12h → 24h","")))))))))))</f>
        <v/>
      </c>
      <c r="H561" s="4" t="str">
        <f t="shared" si="48"/>
        <v/>
      </c>
      <c r="I561" s="5" t="str">
        <f t="shared" si="49"/>
        <v/>
      </c>
      <c r="J561" s="6">
        <f t="shared" si="50"/>
        <v>0</v>
      </c>
      <c r="K561" s="4" t="str">
        <f t="shared" si="51"/>
        <v/>
      </c>
      <c r="L561" s="4" t="str">
        <f t="shared" si="52"/>
        <v/>
      </c>
      <c r="M561" s="4" t="b" cm="1">
        <f t="array" ref="M561">IF(H561="",FALSE,SUMPRODUCT(--(H$1:H560=H561))&gt;0)</f>
        <v>0</v>
      </c>
      <c r="N561" s="36"/>
      <c r="P561" s="1" t="str">
        <f t="shared" si="53"/>
        <v/>
      </c>
    </row>
    <row r="562" spans="1:16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"&amp;L562,IF(AND(MAX(K$1:K561)&gt;0,N(K562)-MAX(K$1:K561)&gt;180),"⚠ Gap &gt; 3h",IF(_xlfn.LET(_xlpm.q,E562,_xlpm.tk,P562,_xlpm.ld,Log!$P$18,_xlpm.fx,IF(OR(_xlpm.ld="",_xlpm.ld="Full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"&amp;_xlpm.q,""))))&lt;&gt;"",IF(N562&lt;&gt;"","Load OK ✓ (checked)","⚠ "&amp;_xlfn.LET(_xlpm.q,E562,_xlpm.tk,P562,_xlpm.ld,Log!$P$18,_xlpm.fx,IF(OR(_xlpm.ld="",_xlpm.ld="Full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"&amp;_xlpm.q,""))))),IF(C562-I562&gt;=0.99,"next day",IF(C562-I562&gt;0.4,"12h → 24h","")))))))))))</f>
        <v/>
      </c>
      <c r="H562" s="4" t="str">
        <f t="shared" si="48"/>
        <v/>
      </c>
      <c r="I562" s="5" t="str">
        <f t="shared" si="49"/>
        <v/>
      </c>
      <c r="J562" s="6">
        <f t="shared" si="50"/>
        <v>0</v>
      </c>
      <c r="K562" s="4" t="str">
        <f t="shared" si="51"/>
        <v/>
      </c>
      <c r="L562" s="4" t="str">
        <f t="shared" si="52"/>
        <v/>
      </c>
      <c r="M562" s="4" t="b" cm="1">
        <f t="array" ref="M562">IF(H562="",FALSE,SUMPRODUCT(--(H$1:H561=H562))&gt;0)</f>
        <v>0</v>
      </c>
      <c r="N562" s="36"/>
      <c r="P562" s="1" t="str">
        <f t="shared" si="53"/>
        <v/>
      </c>
    </row>
    <row r="563" spans="1:16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"&amp;L563,IF(AND(MAX(K$1:K562)&gt;0,N(K563)-MAX(K$1:K562)&gt;180),"⚠ Gap &gt; 3h",IF(_xlfn.LET(_xlpm.q,E563,_xlpm.tk,P563,_xlpm.ld,Log!$P$18,_xlpm.fx,IF(OR(_xlpm.ld="",_xlpm.ld="Full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"&amp;_xlpm.q,""))))&lt;&gt;"",IF(N563&lt;&gt;"","Load OK ✓ (checked)","⚠ "&amp;_xlfn.LET(_xlpm.q,E563,_xlpm.tk,P563,_xlpm.ld,Log!$P$18,_xlpm.fx,IF(OR(_xlpm.ld="",_xlpm.ld="Full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"&amp;_xlpm.q,""))))),IF(C563-I563&gt;=0.99,"next day",IF(C563-I563&gt;0.4,"12h → 24h","")))))))))))</f>
        <v/>
      </c>
      <c r="H563" s="4" t="str">
        <f t="shared" si="48"/>
        <v/>
      </c>
      <c r="I563" s="5" t="str">
        <f t="shared" si="49"/>
        <v/>
      </c>
      <c r="J563" s="6">
        <f t="shared" si="50"/>
        <v>0</v>
      </c>
      <c r="K563" s="4" t="str">
        <f t="shared" si="51"/>
        <v/>
      </c>
      <c r="L563" s="4" t="str">
        <f t="shared" si="52"/>
        <v/>
      </c>
      <c r="M563" s="4" t="b" cm="1">
        <f t="array" ref="M563">IF(H563="",FALSE,SUMPRODUCT(--(H$1:H562=H563))&gt;0)</f>
        <v>0</v>
      </c>
      <c r="N563" s="36"/>
      <c r="P563" s="1" t="str">
        <f t="shared" si="53"/>
        <v/>
      </c>
    </row>
    <row r="564" spans="1:16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"&amp;L564,IF(AND(MAX(K$1:K563)&gt;0,N(K564)-MAX(K$1:K563)&gt;180),"⚠ Gap &gt; 3h",IF(_xlfn.LET(_xlpm.q,E564,_xlpm.tk,P564,_xlpm.ld,Log!$P$18,_xlpm.fx,IF(OR(_xlpm.ld="",_xlpm.ld="Full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"&amp;_xlpm.q,""))))&lt;&gt;"",IF(N564&lt;&gt;"","Load OK ✓ (checked)","⚠ "&amp;_xlfn.LET(_xlpm.q,E564,_xlpm.tk,P564,_xlpm.ld,Log!$P$18,_xlpm.fx,IF(OR(_xlpm.ld="",_xlpm.ld="Full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"&amp;_xlpm.q,""))))),IF(C564-I564&gt;=0.99,"next day",IF(C564-I564&gt;0.4,"12h → 24h","")))))))))))</f>
        <v/>
      </c>
      <c r="H564" s="4" t="str">
        <f t="shared" si="48"/>
        <v/>
      </c>
      <c r="I564" s="5" t="str">
        <f t="shared" si="49"/>
        <v/>
      </c>
      <c r="J564" s="6">
        <f t="shared" si="50"/>
        <v>0</v>
      </c>
      <c r="K564" s="4" t="str">
        <f t="shared" si="51"/>
        <v/>
      </c>
      <c r="L564" s="4" t="str">
        <f t="shared" si="52"/>
        <v/>
      </c>
      <c r="M564" s="4" t="b" cm="1">
        <f t="array" ref="M564">IF(H564="",FALSE,SUMPRODUCT(--(H$1:H563=H564))&gt;0)</f>
        <v>0</v>
      </c>
      <c r="N564" s="36"/>
      <c r="P564" s="1" t="str">
        <f t="shared" si="53"/>
        <v/>
      </c>
    </row>
    <row r="565" spans="1:16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"&amp;L565,IF(AND(MAX(K$1:K564)&gt;0,N(K565)-MAX(K$1:K564)&gt;180),"⚠ Gap &gt; 3h",IF(_xlfn.LET(_xlpm.q,E565,_xlpm.tk,P565,_xlpm.ld,Log!$P$18,_xlpm.fx,IF(OR(_xlpm.ld="",_xlpm.ld="Full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"&amp;_xlpm.q,""))))&lt;&gt;"",IF(N565&lt;&gt;"","Load OK ✓ (checked)","⚠ "&amp;_xlfn.LET(_xlpm.q,E565,_xlpm.tk,P565,_xlpm.ld,Log!$P$18,_xlpm.fx,IF(OR(_xlpm.ld="",_xlpm.ld="Full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"&amp;_xlpm.q,""))))),IF(C565-I565&gt;=0.99,"next day",IF(C565-I565&gt;0.4,"12h → 24h","")))))))))))</f>
        <v/>
      </c>
      <c r="H565" s="4" t="str">
        <f t="shared" si="48"/>
        <v/>
      </c>
      <c r="I565" s="5" t="str">
        <f t="shared" si="49"/>
        <v/>
      </c>
      <c r="J565" s="6">
        <f t="shared" si="50"/>
        <v>0</v>
      </c>
      <c r="K565" s="4" t="str">
        <f t="shared" si="51"/>
        <v/>
      </c>
      <c r="L565" s="4" t="str">
        <f t="shared" si="52"/>
        <v/>
      </c>
      <c r="M565" s="4" t="b" cm="1">
        <f t="array" ref="M565">IF(H565="",FALSE,SUMPRODUCT(--(H$1:H564=H565))&gt;0)</f>
        <v>0</v>
      </c>
      <c r="N565" s="36"/>
      <c r="P565" s="1" t="str">
        <f t="shared" si="53"/>
        <v/>
      </c>
    </row>
    <row r="566" spans="1:16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"&amp;L566,IF(AND(MAX(K$1:K565)&gt;0,N(K566)-MAX(K$1:K565)&gt;180),"⚠ Gap &gt; 3h",IF(_xlfn.LET(_xlpm.q,E566,_xlpm.tk,P566,_xlpm.ld,Log!$P$18,_xlpm.fx,IF(OR(_xlpm.ld="",_xlpm.ld="Full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"&amp;_xlpm.q,""))))&lt;&gt;"",IF(N566&lt;&gt;"","Load OK ✓ (checked)","⚠ "&amp;_xlfn.LET(_xlpm.q,E566,_xlpm.tk,P566,_xlpm.ld,Log!$P$18,_xlpm.fx,IF(OR(_xlpm.ld="",_xlpm.ld="Full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"&amp;_xlpm.q,""))))),IF(C566-I566&gt;=0.99,"next day",IF(C566-I566&gt;0.4,"12h → 24h","")))))))))))</f>
        <v/>
      </c>
      <c r="H566" s="4" t="str">
        <f t="shared" si="48"/>
        <v/>
      </c>
      <c r="I566" s="5" t="str">
        <f t="shared" si="49"/>
        <v/>
      </c>
      <c r="J566" s="6">
        <f t="shared" si="50"/>
        <v>0</v>
      </c>
      <c r="K566" s="4" t="str">
        <f t="shared" si="51"/>
        <v/>
      </c>
      <c r="L566" s="4" t="str">
        <f t="shared" si="52"/>
        <v/>
      </c>
      <c r="M566" s="4" t="b" cm="1">
        <f t="array" ref="M566">IF(H566="",FALSE,SUMPRODUCT(--(H$1:H565=H566))&gt;0)</f>
        <v>0</v>
      </c>
      <c r="N566" s="36"/>
      <c r="P566" s="1" t="str">
        <f t="shared" si="53"/>
        <v/>
      </c>
    </row>
    <row r="567" spans="1:16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"&amp;L567,IF(AND(MAX(K$1:K566)&gt;0,N(K567)-MAX(K$1:K566)&gt;180),"⚠ Gap &gt; 3h",IF(_xlfn.LET(_xlpm.q,E567,_xlpm.tk,P567,_xlpm.ld,Log!$P$18,_xlpm.fx,IF(OR(_xlpm.ld="",_xlpm.ld="Full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"&amp;_xlpm.q,""))))&lt;&gt;"",IF(N567&lt;&gt;"","Load OK ✓ (checked)","⚠ "&amp;_xlfn.LET(_xlpm.q,E567,_xlpm.tk,P567,_xlpm.ld,Log!$P$18,_xlpm.fx,IF(OR(_xlpm.ld="",_xlpm.ld="Full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"&amp;_xlpm.q,""))))),IF(C567-I567&gt;=0.99,"next day",IF(C567-I567&gt;0.4,"12h → 24h","")))))))))))</f>
        <v/>
      </c>
      <c r="H567" s="4" t="str">
        <f t="shared" si="48"/>
        <v/>
      </c>
      <c r="I567" s="5" t="str">
        <f t="shared" si="49"/>
        <v/>
      </c>
      <c r="J567" s="6">
        <f t="shared" si="50"/>
        <v>0</v>
      </c>
      <c r="K567" s="4" t="str">
        <f t="shared" si="51"/>
        <v/>
      </c>
      <c r="L567" s="4" t="str">
        <f t="shared" si="52"/>
        <v/>
      </c>
      <c r="M567" s="4" t="b" cm="1">
        <f t="array" ref="M567">IF(H567="",FALSE,SUMPRODUCT(--(H$1:H566=H567))&gt;0)</f>
        <v>0</v>
      </c>
      <c r="N567" s="36"/>
      <c r="P567" s="1" t="str">
        <f t="shared" si="53"/>
        <v/>
      </c>
    </row>
    <row r="568" spans="1:16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"&amp;L568,IF(AND(MAX(K$1:K567)&gt;0,N(K568)-MAX(K$1:K567)&gt;180),"⚠ Gap &gt; 3h",IF(_xlfn.LET(_xlpm.q,E568,_xlpm.tk,P568,_xlpm.ld,Log!$P$18,_xlpm.fx,IF(OR(_xlpm.ld="",_xlpm.ld="Full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"&amp;_xlpm.q,""))))&lt;&gt;"",IF(N568&lt;&gt;"","Load OK ✓ (checked)","⚠ "&amp;_xlfn.LET(_xlpm.q,E568,_xlpm.tk,P568,_xlpm.ld,Log!$P$18,_xlpm.fx,IF(OR(_xlpm.ld="",_xlpm.ld="Full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"&amp;_xlpm.q,""))))),IF(C568-I568&gt;=0.99,"next day",IF(C568-I568&gt;0.4,"12h → 24h","")))))))))))</f>
        <v/>
      </c>
      <c r="H568" s="4" t="str">
        <f t="shared" si="48"/>
        <v/>
      </c>
      <c r="I568" s="5" t="str">
        <f t="shared" si="49"/>
        <v/>
      </c>
      <c r="J568" s="6">
        <f t="shared" si="50"/>
        <v>0</v>
      </c>
      <c r="K568" s="4" t="str">
        <f t="shared" si="51"/>
        <v/>
      </c>
      <c r="L568" s="4" t="str">
        <f t="shared" si="52"/>
        <v/>
      </c>
      <c r="M568" s="4" t="b" cm="1">
        <f t="array" ref="M568">IF(H568="",FALSE,SUMPRODUCT(--(H$1:H567=H568))&gt;0)</f>
        <v>0</v>
      </c>
      <c r="N568" s="36"/>
      <c r="P568" s="1" t="str">
        <f t="shared" si="53"/>
        <v/>
      </c>
    </row>
    <row r="569" spans="1:16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"&amp;L569,IF(AND(MAX(K$1:K568)&gt;0,N(K569)-MAX(K$1:K568)&gt;180),"⚠ Gap &gt; 3h",IF(_xlfn.LET(_xlpm.q,E569,_xlpm.tk,P569,_xlpm.ld,Log!$P$18,_xlpm.fx,IF(OR(_xlpm.ld="",_xlpm.ld="Full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"&amp;_xlpm.q,""))))&lt;&gt;"",IF(N569&lt;&gt;"","Load OK ✓ (checked)","⚠ "&amp;_xlfn.LET(_xlpm.q,E569,_xlpm.tk,P569,_xlpm.ld,Log!$P$18,_xlpm.fx,IF(OR(_xlpm.ld="",_xlpm.ld="Full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"&amp;_xlpm.q,""))))),IF(C569-I569&gt;=0.99,"next day",IF(C569-I569&gt;0.4,"12h → 24h","")))))))))))</f>
        <v/>
      </c>
      <c r="H569" s="4" t="str">
        <f t="shared" si="48"/>
        <v/>
      </c>
      <c r="I569" s="5" t="str">
        <f t="shared" si="49"/>
        <v/>
      </c>
      <c r="J569" s="6">
        <f t="shared" si="50"/>
        <v>0</v>
      </c>
      <c r="K569" s="4" t="str">
        <f t="shared" si="51"/>
        <v/>
      </c>
      <c r="L569" s="4" t="str">
        <f t="shared" si="52"/>
        <v/>
      </c>
      <c r="M569" s="4" t="b" cm="1">
        <f t="array" ref="M569">IF(H569="",FALSE,SUMPRODUCT(--(H$1:H568=H569))&gt;0)</f>
        <v>0</v>
      </c>
      <c r="N569" s="36"/>
      <c r="P569" s="1" t="str">
        <f t="shared" si="53"/>
        <v/>
      </c>
    </row>
    <row r="570" spans="1:16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"&amp;L570,IF(AND(MAX(K$1:K569)&gt;0,N(K570)-MAX(K$1:K569)&gt;180),"⚠ Gap &gt; 3h",IF(_xlfn.LET(_xlpm.q,E570,_xlpm.tk,P570,_xlpm.ld,Log!$P$18,_xlpm.fx,IF(OR(_xlpm.ld="",_xlpm.ld="Full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"&amp;_xlpm.q,""))))&lt;&gt;"",IF(N570&lt;&gt;"","Load OK ✓ (checked)","⚠ "&amp;_xlfn.LET(_xlpm.q,E570,_xlpm.tk,P570,_xlpm.ld,Log!$P$18,_xlpm.fx,IF(OR(_xlpm.ld="",_xlpm.ld="Full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"&amp;_xlpm.q,""))))),IF(C570-I570&gt;=0.99,"next day",IF(C570-I570&gt;0.4,"12h → 24h","")))))))))))</f>
        <v/>
      </c>
      <c r="H570" s="4" t="str">
        <f t="shared" si="48"/>
        <v/>
      </c>
      <c r="I570" s="5" t="str">
        <f t="shared" si="49"/>
        <v/>
      </c>
      <c r="J570" s="6">
        <f t="shared" si="50"/>
        <v>0</v>
      </c>
      <c r="K570" s="4" t="str">
        <f t="shared" si="51"/>
        <v/>
      </c>
      <c r="L570" s="4" t="str">
        <f t="shared" si="52"/>
        <v/>
      </c>
      <c r="M570" s="4" t="b" cm="1">
        <f t="array" ref="M570">IF(H570="",FALSE,SUMPRODUCT(--(H$1:H569=H570))&gt;0)</f>
        <v>0</v>
      </c>
      <c r="N570" s="36"/>
      <c r="P570" s="1" t="str">
        <f t="shared" si="53"/>
        <v/>
      </c>
    </row>
    <row r="571" spans="1:16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"&amp;L571,IF(AND(MAX(K$1:K570)&gt;0,N(K571)-MAX(K$1:K570)&gt;180),"⚠ Gap &gt; 3h",IF(_xlfn.LET(_xlpm.q,E571,_xlpm.tk,P571,_xlpm.ld,Log!$P$18,_xlpm.fx,IF(OR(_xlpm.ld="",_xlpm.ld="Full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"&amp;_xlpm.q,""))))&lt;&gt;"",IF(N571&lt;&gt;"","Load OK ✓ (checked)","⚠ "&amp;_xlfn.LET(_xlpm.q,E571,_xlpm.tk,P571,_xlpm.ld,Log!$P$18,_xlpm.fx,IF(OR(_xlpm.ld="",_xlpm.ld="Full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"&amp;_xlpm.q,""))))),IF(C571-I571&gt;=0.99,"next day",IF(C571-I571&gt;0.4,"12h → 24h","")))))))))))</f>
        <v/>
      </c>
      <c r="H571" s="4" t="str">
        <f t="shared" si="48"/>
        <v/>
      </c>
      <c r="I571" s="5" t="str">
        <f t="shared" si="49"/>
        <v/>
      </c>
      <c r="J571" s="6">
        <f t="shared" si="50"/>
        <v>0</v>
      </c>
      <c r="K571" s="4" t="str">
        <f t="shared" si="51"/>
        <v/>
      </c>
      <c r="L571" s="4" t="str">
        <f t="shared" si="52"/>
        <v/>
      </c>
      <c r="M571" s="4" t="b" cm="1">
        <f t="array" ref="M571">IF(H571="",FALSE,SUMPRODUCT(--(H$1:H570=H571))&gt;0)</f>
        <v>0</v>
      </c>
      <c r="N571" s="36"/>
      <c r="P571" s="1" t="str">
        <f t="shared" si="53"/>
        <v/>
      </c>
    </row>
    <row r="572" spans="1:16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"&amp;L572,IF(AND(MAX(K$1:K571)&gt;0,N(K572)-MAX(K$1:K571)&gt;180),"⚠ Gap &gt; 3h",IF(_xlfn.LET(_xlpm.q,E572,_xlpm.tk,P572,_xlpm.ld,Log!$P$18,_xlpm.fx,IF(OR(_xlpm.ld="",_xlpm.ld="Full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"&amp;_xlpm.q,""))))&lt;&gt;"",IF(N572&lt;&gt;"","Load OK ✓ (checked)","⚠ "&amp;_xlfn.LET(_xlpm.q,E572,_xlpm.tk,P572,_xlpm.ld,Log!$P$18,_xlpm.fx,IF(OR(_xlpm.ld="",_xlpm.ld="Full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"&amp;_xlpm.q,""))))),IF(C572-I572&gt;=0.99,"next day",IF(C572-I572&gt;0.4,"12h → 24h","")))))))))))</f>
        <v/>
      </c>
      <c r="H572" s="4" t="str">
        <f t="shared" si="48"/>
        <v/>
      </c>
      <c r="I572" s="5" t="str">
        <f t="shared" si="49"/>
        <v/>
      </c>
      <c r="J572" s="6">
        <f t="shared" si="50"/>
        <v>0</v>
      </c>
      <c r="K572" s="4" t="str">
        <f t="shared" si="51"/>
        <v/>
      </c>
      <c r="L572" s="4" t="str">
        <f t="shared" si="52"/>
        <v/>
      </c>
      <c r="M572" s="4" t="b" cm="1">
        <f t="array" ref="M572">IF(H572="",FALSE,SUMPRODUCT(--(H$1:H571=H572))&gt;0)</f>
        <v>0</v>
      </c>
      <c r="N572" s="36"/>
      <c r="P572" s="1" t="str">
        <f t="shared" si="53"/>
        <v/>
      </c>
    </row>
    <row r="573" spans="1:16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"&amp;L573,IF(AND(MAX(K$1:K572)&gt;0,N(K573)-MAX(K$1:K572)&gt;180),"⚠ Gap &gt; 3h",IF(_xlfn.LET(_xlpm.q,E573,_xlpm.tk,P573,_xlpm.ld,Log!$P$18,_xlpm.fx,IF(OR(_xlpm.ld="",_xlpm.ld="Full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"&amp;_xlpm.q,""))))&lt;&gt;"",IF(N573&lt;&gt;"","Load OK ✓ (checked)","⚠ "&amp;_xlfn.LET(_xlpm.q,E573,_xlpm.tk,P573,_xlpm.ld,Log!$P$18,_xlpm.fx,IF(OR(_xlpm.ld="",_xlpm.ld="Full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"&amp;_xlpm.q,""))))),IF(C573-I573&gt;=0.99,"next day",IF(C573-I573&gt;0.4,"12h → 24h","")))))))))))</f>
        <v/>
      </c>
      <c r="H573" s="4" t="str">
        <f t="shared" si="48"/>
        <v/>
      </c>
      <c r="I573" s="5" t="str">
        <f t="shared" si="49"/>
        <v/>
      </c>
      <c r="J573" s="6">
        <f t="shared" si="50"/>
        <v>0</v>
      </c>
      <c r="K573" s="4" t="str">
        <f t="shared" si="51"/>
        <v/>
      </c>
      <c r="L573" s="4" t="str">
        <f t="shared" si="52"/>
        <v/>
      </c>
      <c r="M573" s="4" t="b" cm="1">
        <f t="array" ref="M573">IF(H573="",FALSE,SUMPRODUCT(--(H$1:H572=H573))&gt;0)</f>
        <v>0</v>
      </c>
      <c r="N573" s="36"/>
      <c r="P573" s="1" t="str">
        <f t="shared" si="53"/>
        <v/>
      </c>
    </row>
    <row r="574" spans="1:16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"&amp;L574,IF(AND(MAX(K$1:K573)&gt;0,N(K574)-MAX(K$1:K573)&gt;180),"⚠ Gap &gt; 3h",IF(_xlfn.LET(_xlpm.q,E574,_xlpm.tk,P574,_xlpm.ld,Log!$P$18,_xlpm.fx,IF(OR(_xlpm.ld="",_xlpm.ld="Full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"&amp;_xlpm.q,""))))&lt;&gt;"",IF(N574&lt;&gt;"","Load OK ✓ (checked)","⚠ "&amp;_xlfn.LET(_xlpm.q,E574,_xlpm.tk,P574,_xlpm.ld,Log!$P$18,_xlpm.fx,IF(OR(_xlpm.ld="",_xlpm.ld="Full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"&amp;_xlpm.q,""))))),IF(C574-I574&gt;=0.99,"next day",IF(C574-I574&gt;0.4,"12h → 24h","")))))))))))</f>
        <v/>
      </c>
      <c r="H574" s="4" t="str">
        <f t="shared" si="48"/>
        <v/>
      </c>
      <c r="I574" s="5" t="str">
        <f t="shared" si="49"/>
        <v/>
      </c>
      <c r="J574" s="6">
        <f t="shared" si="50"/>
        <v>0</v>
      </c>
      <c r="K574" s="4" t="str">
        <f t="shared" si="51"/>
        <v/>
      </c>
      <c r="L574" s="4" t="str">
        <f t="shared" si="52"/>
        <v/>
      </c>
      <c r="M574" s="4" t="b" cm="1">
        <f t="array" ref="M574">IF(H574="",FALSE,SUMPRODUCT(--(H$1:H573=H574))&gt;0)</f>
        <v>0</v>
      </c>
      <c r="N574" s="36"/>
      <c r="P574" s="1" t="str">
        <f t="shared" si="53"/>
        <v/>
      </c>
    </row>
    <row r="575" spans="1:16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"&amp;L575,IF(AND(MAX(K$1:K574)&gt;0,N(K575)-MAX(K$1:K574)&gt;180),"⚠ Gap &gt; 3h",IF(_xlfn.LET(_xlpm.q,E575,_xlpm.tk,P575,_xlpm.ld,Log!$P$18,_xlpm.fx,IF(OR(_xlpm.ld="",_xlpm.ld="Full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"&amp;_xlpm.q,""))))&lt;&gt;"",IF(N575&lt;&gt;"","Load OK ✓ (checked)","⚠ "&amp;_xlfn.LET(_xlpm.q,E575,_xlpm.tk,P575,_xlpm.ld,Log!$P$18,_xlpm.fx,IF(OR(_xlpm.ld="",_xlpm.ld="Full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"&amp;_xlpm.q,""))))),IF(C575-I575&gt;=0.99,"next day",IF(C575-I575&gt;0.4,"12h → 24h","")))))))))))</f>
        <v/>
      </c>
      <c r="H575" s="4" t="str">
        <f t="shared" si="48"/>
        <v/>
      </c>
      <c r="I575" s="5" t="str">
        <f t="shared" si="49"/>
        <v/>
      </c>
      <c r="J575" s="6">
        <f t="shared" si="50"/>
        <v>0</v>
      </c>
      <c r="K575" s="4" t="str">
        <f t="shared" si="51"/>
        <v/>
      </c>
      <c r="L575" s="4" t="str">
        <f t="shared" si="52"/>
        <v/>
      </c>
      <c r="M575" s="4" t="b" cm="1">
        <f t="array" ref="M575">IF(H575="",FALSE,SUMPRODUCT(--(H$1:H574=H575))&gt;0)</f>
        <v>0</v>
      </c>
      <c r="N575" s="36"/>
      <c r="P575" s="1" t="str">
        <f t="shared" si="53"/>
        <v/>
      </c>
    </row>
    <row r="576" spans="1:16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"&amp;L576,IF(AND(MAX(K$1:K575)&gt;0,N(K576)-MAX(K$1:K575)&gt;180),"⚠ Gap &gt; 3h",IF(_xlfn.LET(_xlpm.q,E576,_xlpm.tk,P576,_xlpm.ld,Log!$P$18,_xlpm.fx,IF(OR(_xlpm.ld="",_xlpm.ld="Full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"&amp;_xlpm.q,""))))&lt;&gt;"",IF(N576&lt;&gt;"","Load OK ✓ (checked)","⚠ "&amp;_xlfn.LET(_xlpm.q,E576,_xlpm.tk,P576,_xlpm.ld,Log!$P$18,_xlpm.fx,IF(OR(_xlpm.ld="",_xlpm.ld="Full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"&amp;_xlpm.q,""))))),IF(C576-I576&gt;=0.99,"next day",IF(C576-I576&gt;0.4,"12h → 24h","")))))))))))</f>
        <v/>
      </c>
      <c r="H576" s="4" t="str">
        <f t="shared" si="48"/>
        <v/>
      </c>
      <c r="I576" s="5" t="str">
        <f t="shared" si="49"/>
        <v/>
      </c>
      <c r="J576" s="6">
        <f t="shared" si="50"/>
        <v>0</v>
      </c>
      <c r="K576" s="4" t="str">
        <f t="shared" si="51"/>
        <v/>
      </c>
      <c r="L576" s="4" t="str">
        <f t="shared" si="52"/>
        <v/>
      </c>
      <c r="M576" s="4" t="b" cm="1">
        <f t="array" ref="M576">IF(H576="",FALSE,SUMPRODUCT(--(H$1:H575=H576))&gt;0)</f>
        <v>0</v>
      </c>
      <c r="N576" s="36"/>
      <c r="P576" s="1" t="str">
        <f t="shared" si="53"/>
        <v/>
      </c>
    </row>
    <row r="577" spans="1:16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"&amp;L577,IF(AND(MAX(K$1:K576)&gt;0,N(K577)-MAX(K$1:K576)&gt;180),"⚠ Gap &gt; 3h",IF(_xlfn.LET(_xlpm.q,E577,_xlpm.tk,P577,_xlpm.ld,Log!$P$18,_xlpm.fx,IF(OR(_xlpm.ld="",_xlpm.ld="Full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"&amp;_xlpm.q,""))))&lt;&gt;"",IF(N577&lt;&gt;"","Load OK ✓ (checked)","⚠ "&amp;_xlfn.LET(_xlpm.q,E577,_xlpm.tk,P577,_xlpm.ld,Log!$P$18,_xlpm.fx,IF(OR(_xlpm.ld="",_xlpm.ld="Full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"&amp;_xlpm.q,""))))),IF(C577-I577&gt;=0.99,"next day",IF(C577-I577&gt;0.4,"12h → 24h","")))))))))))</f>
        <v/>
      </c>
      <c r="H577" s="4" t="str">
        <f t="shared" si="48"/>
        <v/>
      </c>
      <c r="I577" s="5" t="str">
        <f t="shared" si="49"/>
        <v/>
      </c>
      <c r="J577" s="6">
        <f t="shared" si="50"/>
        <v>0</v>
      </c>
      <c r="K577" s="4" t="str">
        <f t="shared" si="51"/>
        <v/>
      </c>
      <c r="L577" s="4" t="str">
        <f t="shared" si="52"/>
        <v/>
      </c>
      <c r="M577" s="4" t="b" cm="1">
        <f t="array" ref="M577">IF(H577="",FALSE,SUMPRODUCT(--(H$1:H576=H577))&gt;0)</f>
        <v>0</v>
      </c>
      <c r="N577" s="36"/>
      <c r="P577" s="1" t="str">
        <f t="shared" si="53"/>
        <v/>
      </c>
    </row>
    <row r="578" spans="1:16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"&amp;L578,IF(AND(MAX(K$1:K577)&gt;0,N(K578)-MAX(K$1:K577)&gt;180),"⚠ Gap &gt; 3h",IF(_xlfn.LET(_xlpm.q,E578,_xlpm.tk,P578,_xlpm.ld,Log!$P$18,_xlpm.fx,IF(OR(_xlpm.ld="",_xlpm.ld="Full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"&amp;_xlpm.q,""))))&lt;&gt;"",IF(N578&lt;&gt;"","Load OK ✓ (checked)","⚠ "&amp;_xlfn.LET(_xlpm.q,E578,_xlpm.tk,P578,_xlpm.ld,Log!$P$18,_xlpm.fx,IF(OR(_xlpm.ld="",_xlpm.ld="Full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"&amp;_xlpm.q,""))))),IF(C578-I578&gt;=0.99,"next day",IF(C578-I578&gt;0.4,"12h → 24h","")))))))))))</f>
        <v/>
      </c>
      <c r="H578" s="4" t="str">
        <f t="shared" ref="H578:H641" si="54">IF(B578="","",_xlfn.LET(_xlpm.t,TRIM(B578),IF(LEFT(_xlpm.t,1)="[",IFERROR(TRIM(MID(_xlpm.t,FIND(": ",_xlpm.t,FIND("]",_xlpm.t))+2,500)),_xlpm.t),_xlpm.t)))</f>
        <v/>
      </c>
      <c r="I578" s="5" t="str">
        <f t="shared" ref="I578:I641" si="55">IF(H578="","",IFERROR(TIMEVALUE(TRIM(SUBSTITUTE(SUBSTITUTE(MID(H578,SEARCH(":",H578)-2,5),".",""),"*",""))),""))</f>
        <v/>
      </c>
      <c r="J578" s="6">
        <f t="shared" ref="J578:J641" si="56">IF(OR(B578="",F578="",M578),0,IF(ISNUMBER(F578),F578,N(E578)))</f>
        <v>0</v>
      </c>
      <c r="K578" s="4" t="str">
        <f t="shared" ref="K578:K641" si="57">IF(OR(C578="",M578),"",ROUND(C578*1440,0))</f>
        <v/>
      </c>
      <c r="L578" s="4" t="str">
        <f t="shared" ref="L578:L641" si="58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  <c r="N578" s="36"/>
      <c r="P578" s="1" t="str">
        <f t="shared" ref="P578:P641" si="59">IF(OR(H578="",NOT(ISNUMBER(L578))),"",IFERROR(_xlfn.LET(_xlpm.t,TRIM(SUBSTITUTE(SUBSTITUTE(SUBSTITUTE(H578,"*",""),"_",""),"."," ")),_xlpm.s,TRIM(MID(SUBSTITUTE(_xlpm.t," ",REPT(" ",100)),101,100)),IF(AND(LEN(_xlpm.s)=3,ISNUMBER(--_xlpm.s)),--_xlpm.s,"")),""))</f>
        <v/>
      </c>
    </row>
    <row r="579" spans="1:16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"&amp;L579,IF(AND(MAX(K$1:K578)&gt;0,N(K579)-MAX(K$1:K578)&gt;180),"⚠ Gap &gt; 3h",IF(_xlfn.LET(_xlpm.q,E579,_xlpm.tk,P579,_xlpm.ld,Log!$P$18,_xlpm.fx,IF(OR(_xlpm.ld="",_xlpm.ld="Full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"&amp;_xlpm.q,""))))&lt;&gt;"",IF(N579&lt;&gt;"","Load OK ✓ (checked)","⚠ "&amp;_xlfn.LET(_xlpm.q,E579,_xlpm.tk,P579,_xlpm.ld,Log!$P$18,_xlpm.fx,IF(OR(_xlpm.ld="",_xlpm.ld="Full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"&amp;_xlpm.q,""))))),IF(C579-I579&gt;=0.99,"next day",IF(C579-I579&gt;0.4,"12h → 24h","")))))))))))</f>
        <v/>
      </c>
      <c r="H579" s="4" t="str">
        <f t="shared" si="54"/>
        <v/>
      </c>
      <c r="I579" s="5" t="str">
        <f t="shared" si="55"/>
        <v/>
      </c>
      <c r="J579" s="6">
        <f t="shared" si="56"/>
        <v>0</v>
      </c>
      <c r="K579" s="4" t="str">
        <f t="shared" si="57"/>
        <v/>
      </c>
      <c r="L579" s="4" t="str">
        <f t="shared" si="58"/>
        <v/>
      </c>
      <c r="M579" s="4" t="b" cm="1">
        <f t="array" ref="M579">IF(H579="",FALSE,SUMPRODUCT(--(H$1:H578=H579))&gt;0)</f>
        <v>0</v>
      </c>
      <c r="N579" s="36"/>
      <c r="P579" s="1" t="str">
        <f t="shared" si="59"/>
        <v/>
      </c>
    </row>
    <row r="580" spans="1:16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"&amp;L580,IF(AND(MAX(K$1:K579)&gt;0,N(K580)-MAX(K$1:K579)&gt;180),"⚠ Gap &gt; 3h",IF(_xlfn.LET(_xlpm.q,E580,_xlpm.tk,P580,_xlpm.ld,Log!$P$18,_xlpm.fx,IF(OR(_xlpm.ld="",_xlpm.ld="Full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"&amp;_xlpm.q,""))))&lt;&gt;"",IF(N580&lt;&gt;"","Load OK ✓ (checked)","⚠ "&amp;_xlfn.LET(_xlpm.q,E580,_xlpm.tk,P580,_xlpm.ld,Log!$P$18,_xlpm.fx,IF(OR(_xlpm.ld="",_xlpm.ld="Full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"&amp;_xlpm.q,""))))),IF(C580-I580&gt;=0.99,"next day",IF(C580-I580&gt;0.4,"12h → 24h","")))))))))))</f>
        <v/>
      </c>
      <c r="H580" s="4" t="str">
        <f t="shared" si="54"/>
        <v/>
      </c>
      <c r="I580" s="5" t="str">
        <f t="shared" si="55"/>
        <v/>
      </c>
      <c r="J580" s="6">
        <f t="shared" si="56"/>
        <v>0</v>
      </c>
      <c r="K580" s="4" t="str">
        <f t="shared" si="57"/>
        <v/>
      </c>
      <c r="L580" s="4" t="str">
        <f t="shared" si="58"/>
        <v/>
      </c>
      <c r="M580" s="4" t="b" cm="1">
        <f t="array" ref="M580">IF(H580="",FALSE,SUMPRODUCT(--(H$1:H579=H580))&gt;0)</f>
        <v>0</v>
      </c>
      <c r="N580" s="36"/>
      <c r="P580" s="1" t="str">
        <f t="shared" si="59"/>
        <v/>
      </c>
    </row>
    <row r="581" spans="1:16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"&amp;L581,IF(AND(MAX(K$1:K580)&gt;0,N(K581)-MAX(K$1:K580)&gt;180),"⚠ Gap &gt; 3h",IF(_xlfn.LET(_xlpm.q,E581,_xlpm.tk,P581,_xlpm.ld,Log!$P$18,_xlpm.fx,IF(OR(_xlpm.ld="",_xlpm.ld="Full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"&amp;_xlpm.q,""))))&lt;&gt;"",IF(N581&lt;&gt;"","Load OK ✓ (checked)","⚠ "&amp;_xlfn.LET(_xlpm.q,E581,_xlpm.tk,P581,_xlpm.ld,Log!$P$18,_xlpm.fx,IF(OR(_xlpm.ld="",_xlpm.ld="Full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"&amp;_xlpm.q,""))))),IF(C581-I581&gt;=0.99,"next day",IF(C581-I581&gt;0.4,"12h → 24h","")))))))))))</f>
        <v/>
      </c>
      <c r="H581" s="4" t="str">
        <f t="shared" si="54"/>
        <v/>
      </c>
      <c r="I581" s="5" t="str">
        <f t="shared" si="55"/>
        <v/>
      </c>
      <c r="J581" s="6">
        <f t="shared" si="56"/>
        <v>0</v>
      </c>
      <c r="K581" s="4" t="str">
        <f t="shared" si="57"/>
        <v/>
      </c>
      <c r="L581" s="4" t="str">
        <f t="shared" si="58"/>
        <v/>
      </c>
      <c r="M581" s="4" t="b" cm="1">
        <f t="array" ref="M581">IF(H581="",FALSE,SUMPRODUCT(--(H$1:H580=H581))&gt;0)</f>
        <v>0</v>
      </c>
      <c r="N581" s="36"/>
      <c r="P581" s="1" t="str">
        <f t="shared" si="59"/>
        <v/>
      </c>
    </row>
    <row r="582" spans="1:16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"&amp;L582,IF(AND(MAX(K$1:K581)&gt;0,N(K582)-MAX(K$1:K581)&gt;180),"⚠ Gap &gt; 3h",IF(_xlfn.LET(_xlpm.q,E582,_xlpm.tk,P582,_xlpm.ld,Log!$P$18,_xlpm.fx,IF(OR(_xlpm.ld="",_xlpm.ld="Full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"&amp;_xlpm.q,""))))&lt;&gt;"",IF(N582&lt;&gt;"","Load OK ✓ (checked)","⚠ "&amp;_xlfn.LET(_xlpm.q,E582,_xlpm.tk,P582,_xlpm.ld,Log!$P$18,_xlpm.fx,IF(OR(_xlpm.ld="",_xlpm.ld="Full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"&amp;_xlpm.q,""))))),IF(C582-I582&gt;=0.99,"next day",IF(C582-I582&gt;0.4,"12h → 24h","")))))))))))</f>
        <v/>
      </c>
      <c r="H582" s="4" t="str">
        <f t="shared" si="54"/>
        <v/>
      </c>
      <c r="I582" s="5" t="str">
        <f t="shared" si="55"/>
        <v/>
      </c>
      <c r="J582" s="6">
        <f t="shared" si="56"/>
        <v>0</v>
      </c>
      <c r="K582" s="4" t="str">
        <f t="shared" si="57"/>
        <v/>
      </c>
      <c r="L582" s="4" t="str">
        <f t="shared" si="58"/>
        <v/>
      </c>
      <c r="M582" s="4" t="b" cm="1">
        <f t="array" ref="M582">IF(H582="",FALSE,SUMPRODUCT(--(H$1:H581=H582))&gt;0)</f>
        <v>0</v>
      </c>
      <c r="N582" s="36"/>
      <c r="P582" s="1" t="str">
        <f t="shared" si="59"/>
        <v/>
      </c>
    </row>
    <row r="583" spans="1:16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"&amp;L583,IF(AND(MAX(K$1:K582)&gt;0,N(K583)-MAX(K$1:K582)&gt;180),"⚠ Gap &gt; 3h",IF(_xlfn.LET(_xlpm.q,E583,_xlpm.tk,P583,_xlpm.ld,Log!$P$18,_xlpm.fx,IF(OR(_xlpm.ld="",_xlpm.ld="Full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"&amp;_xlpm.q,""))))&lt;&gt;"",IF(N583&lt;&gt;"","Load OK ✓ (checked)","⚠ "&amp;_xlfn.LET(_xlpm.q,E583,_xlpm.tk,P583,_xlpm.ld,Log!$P$18,_xlpm.fx,IF(OR(_xlpm.ld="",_xlpm.ld="Full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"&amp;_xlpm.q,""))))),IF(C583-I583&gt;=0.99,"next day",IF(C583-I583&gt;0.4,"12h → 24h","")))))))))))</f>
        <v/>
      </c>
      <c r="H583" s="4" t="str">
        <f t="shared" si="54"/>
        <v/>
      </c>
      <c r="I583" s="5" t="str">
        <f t="shared" si="55"/>
        <v/>
      </c>
      <c r="J583" s="6">
        <f t="shared" si="56"/>
        <v>0</v>
      </c>
      <c r="K583" s="4" t="str">
        <f t="shared" si="57"/>
        <v/>
      </c>
      <c r="L583" s="4" t="str">
        <f t="shared" si="58"/>
        <v/>
      </c>
      <c r="M583" s="4" t="b" cm="1">
        <f t="array" ref="M583">IF(H583="",FALSE,SUMPRODUCT(--(H$1:H582=H583))&gt;0)</f>
        <v>0</v>
      </c>
      <c r="N583" s="36"/>
      <c r="P583" s="1" t="str">
        <f t="shared" si="59"/>
        <v/>
      </c>
    </row>
    <row r="584" spans="1:16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"&amp;L584,IF(AND(MAX(K$1:K583)&gt;0,N(K584)-MAX(K$1:K583)&gt;180),"⚠ Gap &gt; 3h",IF(_xlfn.LET(_xlpm.q,E584,_xlpm.tk,P584,_xlpm.ld,Log!$P$18,_xlpm.fx,IF(OR(_xlpm.ld="",_xlpm.ld="Full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"&amp;_xlpm.q,""))))&lt;&gt;"",IF(N584&lt;&gt;"","Load OK ✓ (checked)","⚠ "&amp;_xlfn.LET(_xlpm.q,E584,_xlpm.tk,P584,_xlpm.ld,Log!$P$18,_xlpm.fx,IF(OR(_xlpm.ld="",_xlpm.ld="Full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"&amp;_xlpm.q,""))))),IF(C584-I584&gt;=0.99,"next day",IF(C584-I584&gt;0.4,"12h → 24h","")))))))))))</f>
        <v/>
      </c>
      <c r="H584" s="4" t="str">
        <f t="shared" si="54"/>
        <v/>
      </c>
      <c r="I584" s="5" t="str">
        <f t="shared" si="55"/>
        <v/>
      </c>
      <c r="J584" s="6">
        <f t="shared" si="56"/>
        <v>0</v>
      </c>
      <c r="K584" s="4" t="str">
        <f t="shared" si="57"/>
        <v/>
      </c>
      <c r="L584" s="4" t="str">
        <f t="shared" si="58"/>
        <v/>
      </c>
      <c r="M584" s="4" t="b" cm="1">
        <f t="array" ref="M584">IF(H584="",FALSE,SUMPRODUCT(--(H$1:H583=H584))&gt;0)</f>
        <v>0</v>
      </c>
      <c r="N584" s="36"/>
      <c r="P584" s="1" t="str">
        <f t="shared" si="59"/>
        <v/>
      </c>
    </row>
    <row r="585" spans="1:16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"&amp;L585,IF(AND(MAX(K$1:K584)&gt;0,N(K585)-MAX(K$1:K584)&gt;180),"⚠ Gap &gt; 3h",IF(_xlfn.LET(_xlpm.q,E585,_xlpm.tk,P585,_xlpm.ld,Log!$P$18,_xlpm.fx,IF(OR(_xlpm.ld="",_xlpm.ld="Full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"&amp;_xlpm.q,""))))&lt;&gt;"",IF(N585&lt;&gt;"","Load OK ✓ (checked)","⚠ "&amp;_xlfn.LET(_xlpm.q,E585,_xlpm.tk,P585,_xlpm.ld,Log!$P$18,_xlpm.fx,IF(OR(_xlpm.ld="",_xlpm.ld="Full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"&amp;_xlpm.q,""))))),IF(C585-I585&gt;=0.99,"next day",IF(C585-I585&gt;0.4,"12h → 24h","")))))))))))</f>
        <v/>
      </c>
      <c r="H585" s="4" t="str">
        <f t="shared" si="54"/>
        <v/>
      </c>
      <c r="I585" s="5" t="str">
        <f t="shared" si="55"/>
        <v/>
      </c>
      <c r="J585" s="6">
        <f t="shared" si="56"/>
        <v>0</v>
      </c>
      <c r="K585" s="4" t="str">
        <f t="shared" si="57"/>
        <v/>
      </c>
      <c r="L585" s="4" t="str">
        <f t="shared" si="58"/>
        <v/>
      </c>
      <c r="M585" s="4" t="b" cm="1">
        <f t="array" ref="M585">IF(H585="",FALSE,SUMPRODUCT(--(H$1:H584=H585))&gt;0)</f>
        <v>0</v>
      </c>
      <c r="N585" s="36"/>
      <c r="P585" s="1" t="str">
        <f t="shared" si="59"/>
        <v/>
      </c>
    </row>
    <row r="586" spans="1:16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"&amp;L586,IF(AND(MAX(K$1:K585)&gt;0,N(K586)-MAX(K$1:K585)&gt;180),"⚠ Gap &gt; 3h",IF(_xlfn.LET(_xlpm.q,E586,_xlpm.tk,P586,_xlpm.ld,Log!$P$18,_xlpm.fx,IF(OR(_xlpm.ld="",_xlpm.ld="Full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"&amp;_xlpm.q,""))))&lt;&gt;"",IF(N586&lt;&gt;"","Load OK ✓ (checked)","⚠ "&amp;_xlfn.LET(_xlpm.q,E586,_xlpm.tk,P586,_xlpm.ld,Log!$P$18,_xlpm.fx,IF(OR(_xlpm.ld="",_xlpm.ld="Full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"&amp;_xlpm.q,""))))),IF(C586-I586&gt;=0.99,"next day",IF(C586-I586&gt;0.4,"12h → 24h","")))))))))))</f>
        <v/>
      </c>
      <c r="H586" s="4" t="str">
        <f t="shared" si="54"/>
        <v/>
      </c>
      <c r="I586" s="5" t="str">
        <f t="shared" si="55"/>
        <v/>
      </c>
      <c r="J586" s="6">
        <f t="shared" si="56"/>
        <v>0</v>
      </c>
      <c r="K586" s="4" t="str">
        <f t="shared" si="57"/>
        <v/>
      </c>
      <c r="L586" s="4" t="str">
        <f t="shared" si="58"/>
        <v/>
      </c>
      <c r="M586" s="4" t="b" cm="1">
        <f t="array" ref="M586">IF(H586="",FALSE,SUMPRODUCT(--(H$1:H585=H586))&gt;0)</f>
        <v>0</v>
      </c>
      <c r="N586" s="36"/>
      <c r="P586" s="1" t="str">
        <f t="shared" si="59"/>
        <v/>
      </c>
    </row>
    <row r="587" spans="1:16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"&amp;L587,IF(AND(MAX(K$1:K586)&gt;0,N(K587)-MAX(K$1:K586)&gt;180),"⚠ Gap &gt; 3h",IF(_xlfn.LET(_xlpm.q,E587,_xlpm.tk,P587,_xlpm.ld,Log!$P$18,_xlpm.fx,IF(OR(_xlpm.ld="",_xlpm.ld="Full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"&amp;_xlpm.q,""))))&lt;&gt;"",IF(N587&lt;&gt;"","Load OK ✓ (checked)","⚠ "&amp;_xlfn.LET(_xlpm.q,E587,_xlpm.tk,P587,_xlpm.ld,Log!$P$18,_xlpm.fx,IF(OR(_xlpm.ld="",_xlpm.ld="Full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"&amp;_xlpm.q,""))))),IF(C587-I587&gt;=0.99,"next day",IF(C587-I587&gt;0.4,"12h → 24h","")))))))))))</f>
        <v/>
      </c>
      <c r="H587" s="4" t="str">
        <f t="shared" si="54"/>
        <v/>
      </c>
      <c r="I587" s="5" t="str">
        <f t="shared" si="55"/>
        <v/>
      </c>
      <c r="J587" s="6">
        <f t="shared" si="56"/>
        <v>0</v>
      </c>
      <c r="K587" s="4" t="str">
        <f t="shared" si="57"/>
        <v/>
      </c>
      <c r="L587" s="4" t="str">
        <f t="shared" si="58"/>
        <v/>
      </c>
      <c r="M587" s="4" t="b" cm="1">
        <f t="array" ref="M587">IF(H587="",FALSE,SUMPRODUCT(--(H$1:H586=H587))&gt;0)</f>
        <v>0</v>
      </c>
      <c r="N587" s="36"/>
      <c r="P587" s="1" t="str">
        <f t="shared" si="59"/>
        <v/>
      </c>
    </row>
    <row r="588" spans="1:16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"&amp;L588,IF(AND(MAX(K$1:K587)&gt;0,N(K588)-MAX(K$1:K587)&gt;180),"⚠ Gap &gt; 3h",IF(_xlfn.LET(_xlpm.q,E588,_xlpm.tk,P588,_xlpm.ld,Log!$P$18,_xlpm.fx,IF(OR(_xlpm.ld="",_xlpm.ld="Full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"&amp;_xlpm.q,""))))&lt;&gt;"",IF(N588&lt;&gt;"","Load OK ✓ (checked)","⚠ "&amp;_xlfn.LET(_xlpm.q,E588,_xlpm.tk,P588,_xlpm.ld,Log!$P$18,_xlpm.fx,IF(OR(_xlpm.ld="",_xlpm.ld="Full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"&amp;_xlpm.q,""))))),IF(C588-I588&gt;=0.99,"next day",IF(C588-I588&gt;0.4,"12h → 24h","")))))))))))</f>
        <v/>
      </c>
      <c r="H588" s="4" t="str">
        <f t="shared" si="54"/>
        <v/>
      </c>
      <c r="I588" s="5" t="str">
        <f t="shared" si="55"/>
        <v/>
      </c>
      <c r="J588" s="6">
        <f t="shared" si="56"/>
        <v>0</v>
      </c>
      <c r="K588" s="4" t="str">
        <f t="shared" si="57"/>
        <v/>
      </c>
      <c r="L588" s="4" t="str">
        <f t="shared" si="58"/>
        <v/>
      </c>
      <c r="M588" s="4" t="b" cm="1">
        <f t="array" ref="M588">IF(H588="",FALSE,SUMPRODUCT(--(H$1:H587=H588))&gt;0)</f>
        <v>0</v>
      </c>
      <c r="N588" s="36"/>
      <c r="P588" s="1" t="str">
        <f t="shared" si="59"/>
        <v/>
      </c>
    </row>
    <row r="589" spans="1:16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"&amp;L589,IF(AND(MAX(K$1:K588)&gt;0,N(K589)-MAX(K$1:K588)&gt;180),"⚠ Gap &gt; 3h",IF(_xlfn.LET(_xlpm.q,E589,_xlpm.tk,P589,_xlpm.ld,Log!$P$18,_xlpm.fx,IF(OR(_xlpm.ld="",_xlpm.ld="Full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"&amp;_xlpm.q,""))))&lt;&gt;"",IF(N589&lt;&gt;"","Load OK ✓ (checked)","⚠ "&amp;_xlfn.LET(_xlpm.q,E589,_xlpm.tk,P589,_xlpm.ld,Log!$P$18,_xlpm.fx,IF(OR(_xlpm.ld="",_xlpm.ld="Full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"&amp;_xlpm.q,""))))),IF(C589-I589&gt;=0.99,"next day",IF(C589-I589&gt;0.4,"12h → 24h","")))))))))))</f>
        <v/>
      </c>
      <c r="H589" s="4" t="str">
        <f t="shared" si="54"/>
        <v/>
      </c>
      <c r="I589" s="5" t="str">
        <f t="shared" si="55"/>
        <v/>
      </c>
      <c r="J589" s="6">
        <f t="shared" si="56"/>
        <v>0</v>
      </c>
      <c r="K589" s="4" t="str">
        <f t="shared" si="57"/>
        <v/>
      </c>
      <c r="L589" s="4" t="str">
        <f t="shared" si="58"/>
        <v/>
      </c>
      <c r="M589" s="4" t="b" cm="1">
        <f t="array" ref="M589">IF(H589="",FALSE,SUMPRODUCT(--(H$1:H588=H589))&gt;0)</f>
        <v>0</v>
      </c>
      <c r="N589" s="36"/>
      <c r="P589" s="1" t="str">
        <f t="shared" si="59"/>
        <v/>
      </c>
    </row>
    <row r="590" spans="1:16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"&amp;L590,IF(AND(MAX(K$1:K589)&gt;0,N(K590)-MAX(K$1:K589)&gt;180),"⚠ Gap &gt; 3h",IF(_xlfn.LET(_xlpm.q,E590,_xlpm.tk,P590,_xlpm.ld,Log!$P$18,_xlpm.fx,IF(OR(_xlpm.ld="",_xlpm.ld="Full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"&amp;_xlpm.q,""))))&lt;&gt;"",IF(N590&lt;&gt;"","Load OK ✓ (checked)","⚠ "&amp;_xlfn.LET(_xlpm.q,E590,_xlpm.tk,P590,_xlpm.ld,Log!$P$18,_xlpm.fx,IF(OR(_xlpm.ld="",_xlpm.ld="Full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"&amp;_xlpm.q,""))))),IF(C590-I590&gt;=0.99,"next day",IF(C590-I590&gt;0.4,"12h → 24h","")))))))))))</f>
        <v/>
      </c>
      <c r="H590" s="4" t="str">
        <f t="shared" si="54"/>
        <v/>
      </c>
      <c r="I590" s="5" t="str">
        <f t="shared" si="55"/>
        <v/>
      </c>
      <c r="J590" s="6">
        <f t="shared" si="56"/>
        <v>0</v>
      </c>
      <c r="K590" s="4" t="str">
        <f t="shared" si="57"/>
        <v/>
      </c>
      <c r="L590" s="4" t="str">
        <f t="shared" si="58"/>
        <v/>
      </c>
      <c r="M590" s="4" t="b" cm="1">
        <f t="array" ref="M590">IF(H590="",FALSE,SUMPRODUCT(--(H$1:H589=H590))&gt;0)</f>
        <v>0</v>
      </c>
      <c r="N590" s="36"/>
      <c r="P590" s="1" t="str">
        <f t="shared" si="59"/>
        <v/>
      </c>
    </row>
    <row r="591" spans="1:16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"&amp;L591,IF(AND(MAX(K$1:K590)&gt;0,N(K591)-MAX(K$1:K590)&gt;180),"⚠ Gap &gt; 3h",IF(_xlfn.LET(_xlpm.q,E591,_xlpm.tk,P591,_xlpm.ld,Log!$P$18,_xlpm.fx,IF(OR(_xlpm.ld="",_xlpm.ld="Full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"&amp;_xlpm.q,""))))&lt;&gt;"",IF(N591&lt;&gt;"","Load OK ✓ (checked)","⚠ "&amp;_xlfn.LET(_xlpm.q,E591,_xlpm.tk,P591,_xlpm.ld,Log!$P$18,_xlpm.fx,IF(OR(_xlpm.ld="",_xlpm.ld="Full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"&amp;_xlpm.q,""))))),IF(C591-I591&gt;=0.99,"next day",IF(C591-I591&gt;0.4,"12h → 24h","")))))))))))</f>
        <v/>
      </c>
      <c r="H591" s="4" t="str">
        <f t="shared" si="54"/>
        <v/>
      </c>
      <c r="I591" s="5" t="str">
        <f t="shared" si="55"/>
        <v/>
      </c>
      <c r="J591" s="6">
        <f t="shared" si="56"/>
        <v>0</v>
      </c>
      <c r="K591" s="4" t="str">
        <f t="shared" si="57"/>
        <v/>
      </c>
      <c r="L591" s="4" t="str">
        <f t="shared" si="58"/>
        <v/>
      </c>
      <c r="M591" s="4" t="b" cm="1">
        <f t="array" ref="M591">IF(H591="",FALSE,SUMPRODUCT(--(H$1:H590=H591))&gt;0)</f>
        <v>0</v>
      </c>
      <c r="N591" s="36"/>
      <c r="P591" s="1" t="str">
        <f t="shared" si="59"/>
        <v/>
      </c>
    </row>
    <row r="592" spans="1:16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"&amp;L592,IF(AND(MAX(K$1:K591)&gt;0,N(K592)-MAX(K$1:K591)&gt;180),"⚠ Gap &gt; 3h",IF(_xlfn.LET(_xlpm.q,E592,_xlpm.tk,P592,_xlpm.ld,Log!$P$18,_xlpm.fx,IF(OR(_xlpm.ld="",_xlpm.ld="Full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"&amp;_xlpm.q,""))))&lt;&gt;"",IF(N592&lt;&gt;"","Load OK ✓ (checked)","⚠ "&amp;_xlfn.LET(_xlpm.q,E592,_xlpm.tk,P592,_xlpm.ld,Log!$P$18,_xlpm.fx,IF(OR(_xlpm.ld="",_xlpm.ld="Full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"&amp;_xlpm.q,""))))),IF(C592-I592&gt;=0.99,"next day",IF(C592-I592&gt;0.4,"12h → 24h","")))))))))))</f>
        <v/>
      </c>
      <c r="H592" s="4" t="str">
        <f t="shared" si="54"/>
        <v/>
      </c>
      <c r="I592" s="5" t="str">
        <f t="shared" si="55"/>
        <v/>
      </c>
      <c r="J592" s="6">
        <f t="shared" si="56"/>
        <v>0</v>
      </c>
      <c r="K592" s="4" t="str">
        <f t="shared" si="57"/>
        <v/>
      </c>
      <c r="L592" s="4" t="str">
        <f t="shared" si="58"/>
        <v/>
      </c>
      <c r="M592" s="4" t="b" cm="1">
        <f t="array" ref="M592">IF(H592="",FALSE,SUMPRODUCT(--(H$1:H591=H592))&gt;0)</f>
        <v>0</v>
      </c>
      <c r="N592" s="36"/>
      <c r="P592" s="1" t="str">
        <f t="shared" si="59"/>
        <v/>
      </c>
    </row>
    <row r="593" spans="1:16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"&amp;L593,IF(AND(MAX(K$1:K592)&gt;0,N(K593)-MAX(K$1:K592)&gt;180),"⚠ Gap &gt; 3h",IF(_xlfn.LET(_xlpm.q,E593,_xlpm.tk,P593,_xlpm.ld,Log!$P$18,_xlpm.fx,IF(OR(_xlpm.ld="",_xlpm.ld="Full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"&amp;_xlpm.q,""))))&lt;&gt;"",IF(N593&lt;&gt;"","Load OK ✓ (checked)","⚠ "&amp;_xlfn.LET(_xlpm.q,E593,_xlpm.tk,P593,_xlpm.ld,Log!$P$18,_xlpm.fx,IF(OR(_xlpm.ld="",_xlpm.ld="Full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"&amp;_xlpm.q,""))))),IF(C593-I593&gt;=0.99,"next day",IF(C593-I593&gt;0.4,"12h → 24h","")))))))))))</f>
        <v/>
      </c>
      <c r="H593" s="4" t="str">
        <f t="shared" si="54"/>
        <v/>
      </c>
      <c r="I593" s="5" t="str">
        <f t="shared" si="55"/>
        <v/>
      </c>
      <c r="J593" s="6">
        <f t="shared" si="56"/>
        <v>0</v>
      </c>
      <c r="K593" s="4" t="str">
        <f t="shared" si="57"/>
        <v/>
      </c>
      <c r="L593" s="4" t="str">
        <f t="shared" si="58"/>
        <v/>
      </c>
      <c r="M593" s="4" t="b" cm="1">
        <f t="array" ref="M593">IF(H593="",FALSE,SUMPRODUCT(--(H$1:H592=H593))&gt;0)</f>
        <v>0</v>
      </c>
      <c r="N593" s="36"/>
      <c r="P593" s="1" t="str">
        <f t="shared" si="59"/>
        <v/>
      </c>
    </row>
    <row r="594" spans="1:16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"&amp;L594,IF(AND(MAX(K$1:K593)&gt;0,N(K594)-MAX(K$1:K593)&gt;180),"⚠ Gap &gt; 3h",IF(_xlfn.LET(_xlpm.q,E594,_xlpm.tk,P594,_xlpm.ld,Log!$P$18,_xlpm.fx,IF(OR(_xlpm.ld="",_xlpm.ld="Full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"&amp;_xlpm.q,""))))&lt;&gt;"",IF(N594&lt;&gt;"","Load OK ✓ (checked)","⚠ "&amp;_xlfn.LET(_xlpm.q,E594,_xlpm.tk,P594,_xlpm.ld,Log!$P$18,_xlpm.fx,IF(OR(_xlpm.ld="",_xlpm.ld="Full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"&amp;_xlpm.q,""))))),IF(C594-I594&gt;=0.99,"next day",IF(C594-I594&gt;0.4,"12h → 24h","")))))))))))</f>
        <v/>
      </c>
      <c r="H594" s="4" t="str">
        <f t="shared" si="54"/>
        <v/>
      </c>
      <c r="I594" s="5" t="str">
        <f t="shared" si="55"/>
        <v/>
      </c>
      <c r="J594" s="6">
        <f t="shared" si="56"/>
        <v>0</v>
      </c>
      <c r="K594" s="4" t="str">
        <f t="shared" si="57"/>
        <v/>
      </c>
      <c r="L594" s="4" t="str">
        <f t="shared" si="58"/>
        <v/>
      </c>
      <c r="M594" s="4" t="b" cm="1">
        <f t="array" ref="M594">IF(H594="",FALSE,SUMPRODUCT(--(H$1:H593=H594))&gt;0)</f>
        <v>0</v>
      </c>
      <c r="N594" s="36"/>
      <c r="P594" s="1" t="str">
        <f t="shared" si="59"/>
        <v/>
      </c>
    </row>
    <row r="595" spans="1:16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"&amp;L595,IF(AND(MAX(K$1:K594)&gt;0,N(K595)-MAX(K$1:K594)&gt;180),"⚠ Gap &gt; 3h",IF(_xlfn.LET(_xlpm.q,E595,_xlpm.tk,P595,_xlpm.ld,Log!$P$18,_xlpm.fx,IF(OR(_xlpm.ld="",_xlpm.ld="Full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"&amp;_xlpm.q,""))))&lt;&gt;"",IF(N595&lt;&gt;"","Load OK ✓ (checked)","⚠ "&amp;_xlfn.LET(_xlpm.q,E595,_xlpm.tk,P595,_xlpm.ld,Log!$P$18,_xlpm.fx,IF(OR(_xlpm.ld="",_xlpm.ld="Full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"&amp;_xlpm.q,""))))),IF(C595-I595&gt;=0.99,"next day",IF(C595-I595&gt;0.4,"12h → 24h","")))))))))))</f>
        <v/>
      </c>
      <c r="H595" s="4" t="str">
        <f t="shared" si="54"/>
        <v/>
      </c>
      <c r="I595" s="5" t="str">
        <f t="shared" si="55"/>
        <v/>
      </c>
      <c r="J595" s="6">
        <f t="shared" si="56"/>
        <v>0</v>
      </c>
      <c r="K595" s="4" t="str">
        <f t="shared" si="57"/>
        <v/>
      </c>
      <c r="L595" s="4" t="str">
        <f t="shared" si="58"/>
        <v/>
      </c>
      <c r="M595" s="4" t="b" cm="1">
        <f t="array" ref="M595">IF(H595="",FALSE,SUMPRODUCT(--(H$1:H594=H595))&gt;0)</f>
        <v>0</v>
      </c>
      <c r="N595" s="36"/>
      <c r="P595" s="1" t="str">
        <f t="shared" si="59"/>
        <v/>
      </c>
    </row>
    <row r="596" spans="1:16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"&amp;L596,IF(AND(MAX(K$1:K595)&gt;0,N(K596)-MAX(K$1:K595)&gt;180),"⚠ Gap &gt; 3h",IF(_xlfn.LET(_xlpm.q,E596,_xlpm.tk,P596,_xlpm.ld,Log!$P$18,_xlpm.fx,IF(OR(_xlpm.ld="",_xlpm.ld="Full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"&amp;_xlpm.q,""))))&lt;&gt;"",IF(N596&lt;&gt;"","Load OK ✓ (checked)","⚠ "&amp;_xlfn.LET(_xlpm.q,E596,_xlpm.tk,P596,_xlpm.ld,Log!$P$18,_xlpm.fx,IF(OR(_xlpm.ld="",_xlpm.ld="Full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"&amp;_xlpm.q,""))))),IF(C596-I596&gt;=0.99,"next day",IF(C596-I596&gt;0.4,"12h → 24h","")))))))))))</f>
        <v/>
      </c>
      <c r="H596" s="4" t="str">
        <f t="shared" si="54"/>
        <v/>
      </c>
      <c r="I596" s="5" t="str">
        <f t="shared" si="55"/>
        <v/>
      </c>
      <c r="J596" s="6">
        <f t="shared" si="56"/>
        <v>0</v>
      </c>
      <c r="K596" s="4" t="str">
        <f t="shared" si="57"/>
        <v/>
      </c>
      <c r="L596" s="4" t="str">
        <f t="shared" si="58"/>
        <v/>
      </c>
      <c r="M596" s="4" t="b" cm="1">
        <f t="array" ref="M596">IF(H596="",FALSE,SUMPRODUCT(--(H$1:H595=H596))&gt;0)</f>
        <v>0</v>
      </c>
      <c r="N596" s="36"/>
      <c r="P596" s="1" t="str">
        <f t="shared" si="59"/>
        <v/>
      </c>
    </row>
    <row r="597" spans="1:16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"&amp;L597,IF(AND(MAX(K$1:K596)&gt;0,N(K597)-MAX(K$1:K596)&gt;180),"⚠ Gap &gt; 3h",IF(_xlfn.LET(_xlpm.q,E597,_xlpm.tk,P597,_xlpm.ld,Log!$P$18,_xlpm.fx,IF(OR(_xlpm.ld="",_xlpm.ld="Full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"&amp;_xlpm.q,""))))&lt;&gt;"",IF(N597&lt;&gt;"","Load OK ✓ (checked)","⚠ "&amp;_xlfn.LET(_xlpm.q,E597,_xlpm.tk,P597,_xlpm.ld,Log!$P$18,_xlpm.fx,IF(OR(_xlpm.ld="",_xlpm.ld="Full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"&amp;_xlpm.q,""))))),IF(C597-I597&gt;=0.99,"next day",IF(C597-I597&gt;0.4,"12h → 24h","")))))))))))</f>
        <v/>
      </c>
      <c r="H597" s="4" t="str">
        <f t="shared" si="54"/>
        <v/>
      </c>
      <c r="I597" s="5" t="str">
        <f t="shared" si="55"/>
        <v/>
      </c>
      <c r="J597" s="6">
        <f t="shared" si="56"/>
        <v>0</v>
      </c>
      <c r="K597" s="4" t="str">
        <f t="shared" si="57"/>
        <v/>
      </c>
      <c r="L597" s="4" t="str">
        <f t="shared" si="58"/>
        <v/>
      </c>
      <c r="M597" s="4" t="b" cm="1">
        <f t="array" ref="M597">IF(H597="",FALSE,SUMPRODUCT(--(H$1:H596=H597))&gt;0)</f>
        <v>0</v>
      </c>
      <c r="N597" s="36"/>
      <c r="P597" s="1" t="str">
        <f t="shared" si="59"/>
        <v/>
      </c>
    </row>
    <row r="598" spans="1:16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"&amp;L598,IF(AND(MAX(K$1:K597)&gt;0,N(K598)-MAX(K$1:K597)&gt;180),"⚠ Gap &gt; 3h",IF(_xlfn.LET(_xlpm.q,E598,_xlpm.tk,P598,_xlpm.ld,Log!$P$18,_xlpm.fx,IF(OR(_xlpm.ld="",_xlpm.ld="Full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"&amp;_xlpm.q,""))))&lt;&gt;"",IF(N598&lt;&gt;"","Load OK ✓ (checked)","⚠ "&amp;_xlfn.LET(_xlpm.q,E598,_xlpm.tk,P598,_xlpm.ld,Log!$P$18,_xlpm.fx,IF(OR(_xlpm.ld="",_xlpm.ld="Full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"&amp;_xlpm.q,""))))),IF(C598-I598&gt;=0.99,"next day",IF(C598-I598&gt;0.4,"12h → 24h","")))))))))))</f>
        <v/>
      </c>
      <c r="H598" s="4" t="str">
        <f t="shared" si="54"/>
        <v/>
      </c>
      <c r="I598" s="5" t="str">
        <f t="shared" si="55"/>
        <v/>
      </c>
      <c r="J598" s="6">
        <f t="shared" si="56"/>
        <v>0</v>
      </c>
      <c r="K598" s="4" t="str">
        <f t="shared" si="57"/>
        <v/>
      </c>
      <c r="L598" s="4" t="str">
        <f t="shared" si="58"/>
        <v/>
      </c>
      <c r="M598" s="4" t="b" cm="1">
        <f t="array" ref="M598">IF(H598="",FALSE,SUMPRODUCT(--(H$1:H597=H598))&gt;0)</f>
        <v>0</v>
      </c>
      <c r="N598" s="36"/>
      <c r="P598" s="1" t="str">
        <f t="shared" si="59"/>
        <v/>
      </c>
    </row>
    <row r="599" spans="1:16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"&amp;L599,IF(AND(MAX(K$1:K598)&gt;0,N(K599)-MAX(K$1:K598)&gt;180),"⚠ Gap &gt; 3h",IF(_xlfn.LET(_xlpm.q,E599,_xlpm.tk,P599,_xlpm.ld,Log!$P$18,_xlpm.fx,IF(OR(_xlpm.ld="",_xlpm.ld="Full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"&amp;_xlpm.q,""))))&lt;&gt;"",IF(N599&lt;&gt;"","Load OK ✓ (checked)","⚠ "&amp;_xlfn.LET(_xlpm.q,E599,_xlpm.tk,P599,_xlpm.ld,Log!$P$18,_xlpm.fx,IF(OR(_xlpm.ld="",_xlpm.ld="Full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"&amp;_xlpm.q,""))))),IF(C599-I599&gt;=0.99,"next day",IF(C599-I599&gt;0.4,"12h → 24h","")))))))))))</f>
        <v/>
      </c>
      <c r="H599" s="4" t="str">
        <f t="shared" si="54"/>
        <v/>
      </c>
      <c r="I599" s="5" t="str">
        <f t="shared" si="55"/>
        <v/>
      </c>
      <c r="J599" s="6">
        <f t="shared" si="56"/>
        <v>0</v>
      </c>
      <c r="K599" s="4" t="str">
        <f t="shared" si="57"/>
        <v/>
      </c>
      <c r="L599" s="4" t="str">
        <f t="shared" si="58"/>
        <v/>
      </c>
      <c r="M599" s="4" t="b" cm="1">
        <f t="array" ref="M599">IF(H599="",FALSE,SUMPRODUCT(--(H$1:H598=H599))&gt;0)</f>
        <v>0</v>
      </c>
      <c r="N599" s="36"/>
      <c r="P599" s="1" t="str">
        <f t="shared" si="59"/>
        <v/>
      </c>
    </row>
    <row r="600" spans="1:16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"&amp;L600,IF(AND(MAX(K$1:K599)&gt;0,N(K600)-MAX(K$1:K599)&gt;180),"⚠ Gap &gt; 3h",IF(_xlfn.LET(_xlpm.q,E600,_xlpm.tk,P600,_xlpm.ld,Log!$P$18,_xlpm.fx,IF(OR(_xlpm.ld="",_xlpm.ld="Full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"&amp;_xlpm.q,""))))&lt;&gt;"",IF(N600&lt;&gt;"","Load OK ✓ (checked)","⚠ "&amp;_xlfn.LET(_xlpm.q,E600,_xlpm.tk,P600,_xlpm.ld,Log!$P$18,_xlpm.fx,IF(OR(_xlpm.ld="",_xlpm.ld="Full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"&amp;_xlpm.q,""))))),IF(C600-I600&gt;=0.99,"next day",IF(C600-I600&gt;0.4,"12h → 24h","")))))))))))</f>
        <v/>
      </c>
      <c r="H600" s="4" t="str">
        <f t="shared" si="54"/>
        <v/>
      </c>
      <c r="I600" s="5" t="str">
        <f t="shared" si="55"/>
        <v/>
      </c>
      <c r="J600" s="6">
        <f t="shared" si="56"/>
        <v>0</v>
      </c>
      <c r="K600" s="4" t="str">
        <f t="shared" si="57"/>
        <v/>
      </c>
      <c r="L600" s="4" t="str">
        <f t="shared" si="58"/>
        <v/>
      </c>
      <c r="M600" s="4" t="b" cm="1">
        <f t="array" ref="M600">IF(H600="",FALSE,SUMPRODUCT(--(H$1:H599=H600))&gt;0)</f>
        <v>0</v>
      </c>
      <c r="N600" s="36"/>
      <c r="P600" s="1" t="str">
        <f t="shared" si="59"/>
        <v/>
      </c>
    </row>
    <row r="601" spans="1:16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"&amp;L601,IF(AND(MAX(K$1:K600)&gt;0,N(K601)-MAX(K$1:K600)&gt;180),"⚠ Gap &gt; 3h",IF(_xlfn.LET(_xlpm.q,E601,_xlpm.tk,P601,_xlpm.ld,Log!$P$18,_xlpm.fx,IF(OR(_xlpm.ld="",_xlpm.ld="Full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"&amp;_xlpm.q,""))))&lt;&gt;"",IF(N601&lt;&gt;"","Load OK ✓ (checked)","⚠ "&amp;_xlfn.LET(_xlpm.q,E601,_xlpm.tk,P601,_xlpm.ld,Log!$P$18,_xlpm.fx,IF(OR(_xlpm.ld="",_xlpm.ld="Full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"&amp;_xlpm.q,""))))),IF(C601-I601&gt;=0.99,"next day",IF(C601-I601&gt;0.4,"12h → 24h","")))))))))))</f>
        <v/>
      </c>
      <c r="H601" s="4" t="str">
        <f t="shared" si="54"/>
        <v/>
      </c>
      <c r="I601" s="5" t="str">
        <f t="shared" si="55"/>
        <v/>
      </c>
      <c r="J601" s="6">
        <f t="shared" si="56"/>
        <v>0</v>
      </c>
      <c r="K601" s="4" t="str">
        <f t="shared" si="57"/>
        <v/>
      </c>
      <c r="L601" s="4" t="str">
        <f t="shared" si="58"/>
        <v/>
      </c>
      <c r="M601" s="4" t="b" cm="1">
        <f t="array" ref="M601">IF(H601="",FALSE,SUMPRODUCT(--(H$1:H600=H601))&gt;0)</f>
        <v>0</v>
      </c>
      <c r="N601" s="36"/>
      <c r="P601" s="1" t="str">
        <f t="shared" si="59"/>
        <v/>
      </c>
    </row>
    <row r="602" spans="1:16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"&amp;L602,IF(AND(MAX(K$1:K601)&gt;0,N(K602)-MAX(K$1:K601)&gt;180),"⚠ Gap &gt; 3h",IF(_xlfn.LET(_xlpm.q,E602,_xlpm.tk,P602,_xlpm.ld,Log!$P$18,_xlpm.fx,IF(OR(_xlpm.ld="",_xlpm.ld="Full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"&amp;_xlpm.q,""))))&lt;&gt;"",IF(N602&lt;&gt;"","Load OK ✓ (checked)","⚠ "&amp;_xlfn.LET(_xlpm.q,E602,_xlpm.tk,P602,_xlpm.ld,Log!$P$18,_xlpm.fx,IF(OR(_xlpm.ld="",_xlpm.ld="Full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"&amp;_xlpm.q,""))))),IF(C602-I602&gt;=0.99,"next day",IF(C602-I602&gt;0.4,"12h → 24h","")))))))))))</f>
        <v/>
      </c>
      <c r="H602" s="4" t="str">
        <f t="shared" si="54"/>
        <v/>
      </c>
      <c r="I602" s="5" t="str">
        <f t="shared" si="55"/>
        <v/>
      </c>
      <c r="J602" s="6">
        <f t="shared" si="56"/>
        <v>0</v>
      </c>
      <c r="K602" s="4" t="str">
        <f t="shared" si="57"/>
        <v/>
      </c>
      <c r="L602" s="4" t="str">
        <f t="shared" si="58"/>
        <v/>
      </c>
      <c r="M602" s="4" t="b" cm="1">
        <f t="array" ref="M602">IF(H602="",FALSE,SUMPRODUCT(--(H$1:H601=H602))&gt;0)</f>
        <v>0</v>
      </c>
      <c r="N602" s="36"/>
      <c r="P602" s="1" t="str">
        <f t="shared" si="59"/>
        <v/>
      </c>
    </row>
    <row r="603" spans="1:16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"&amp;L603,IF(AND(MAX(K$1:K602)&gt;0,N(K603)-MAX(K$1:K602)&gt;180),"⚠ Gap &gt; 3h",IF(_xlfn.LET(_xlpm.q,E603,_xlpm.tk,P603,_xlpm.ld,Log!$P$18,_xlpm.fx,IF(OR(_xlpm.ld="",_xlpm.ld="Full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"&amp;_xlpm.q,""))))&lt;&gt;"",IF(N603&lt;&gt;"","Load OK ✓ (checked)","⚠ "&amp;_xlfn.LET(_xlpm.q,E603,_xlpm.tk,P603,_xlpm.ld,Log!$P$18,_xlpm.fx,IF(OR(_xlpm.ld="",_xlpm.ld="Full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"&amp;_xlpm.q,""))))),IF(C603-I603&gt;=0.99,"next day",IF(C603-I603&gt;0.4,"12h → 24h","")))))))))))</f>
        <v/>
      </c>
      <c r="H603" s="4" t="str">
        <f t="shared" si="54"/>
        <v/>
      </c>
      <c r="I603" s="5" t="str">
        <f t="shared" si="55"/>
        <v/>
      </c>
      <c r="J603" s="6">
        <f t="shared" si="56"/>
        <v>0</v>
      </c>
      <c r="K603" s="4" t="str">
        <f t="shared" si="57"/>
        <v/>
      </c>
      <c r="L603" s="4" t="str">
        <f t="shared" si="58"/>
        <v/>
      </c>
      <c r="M603" s="4" t="b" cm="1">
        <f t="array" ref="M603">IF(H603="",FALSE,SUMPRODUCT(--(H$1:H602=H603))&gt;0)</f>
        <v>0</v>
      </c>
      <c r="N603" s="36"/>
      <c r="P603" s="1" t="str">
        <f t="shared" si="59"/>
        <v/>
      </c>
    </row>
    <row r="604" spans="1:16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"&amp;L604,IF(AND(MAX(K$1:K603)&gt;0,N(K604)-MAX(K$1:K603)&gt;180),"⚠ Gap &gt; 3h",IF(_xlfn.LET(_xlpm.q,E604,_xlpm.tk,P604,_xlpm.ld,Log!$P$18,_xlpm.fx,IF(OR(_xlpm.ld="",_xlpm.ld="Full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"&amp;_xlpm.q,""))))&lt;&gt;"",IF(N604&lt;&gt;"","Load OK ✓ (checked)","⚠ "&amp;_xlfn.LET(_xlpm.q,E604,_xlpm.tk,P604,_xlpm.ld,Log!$P$18,_xlpm.fx,IF(OR(_xlpm.ld="",_xlpm.ld="Full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"&amp;_xlpm.q,""))))),IF(C604-I604&gt;=0.99,"next day",IF(C604-I604&gt;0.4,"12h → 24h","")))))))))))</f>
        <v/>
      </c>
      <c r="H604" s="4" t="str">
        <f t="shared" si="54"/>
        <v/>
      </c>
      <c r="I604" s="5" t="str">
        <f t="shared" si="55"/>
        <v/>
      </c>
      <c r="J604" s="6">
        <f t="shared" si="56"/>
        <v>0</v>
      </c>
      <c r="K604" s="4" t="str">
        <f t="shared" si="57"/>
        <v/>
      </c>
      <c r="L604" s="4" t="str">
        <f t="shared" si="58"/>
        <v/>
      </c>
      <c r="M604" s="4" t="b" cm="1">
        <f t="array" ref="M604">IF(H604="",FALSE,SUMPRODUCT(--(H$1:H603=H604))&gt;0)</f>
        <v>0</v>
      </c>
      <c r="N604" s="36"/>
      <c r="P604" s="1" t="str">
        <f t="shared" si="59"/>
        <v/>
      </c>
    </row>
    <row r="605" spans="1:16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"&amp;L605,IF(AND(MAX(K$1:K604)&gt;0,N(K605)-MAX(K$1:K604)&gt;180),"⚠ Gap &gt; 3h",IF(_xlfn.LET(_xlpm.q,E605,_xlpm.tk,P605,_xlpm.ld,Log!$P$18,_xlpm.fx,IF(OR(_xlpm.ld="",_xlpm.ld="Full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"&amp;_xlpm.q,""))))&lt;&gt;"",IF(N605&lt;&gt;"","Load OK ✓ (checked)","⚠ "&amp;_xlfn.LET(_xlpm.q,E605,_xlpm.tk,P605,_xlpm.ld,Log!$P$18,_xlpm.fx,IF(OR(_xlpm.ld="",_xlpm.ld="Full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"&amp;_xlpm.q,""))))),IF(C605-I605&gt;=0.99,"next day",IF(C605-I605&gt;0.4,"12h → 24h","")))))))))))</f>
        <v/>
      </c>
      <c r="H605" s="4" t="str">
        <f t="shared" si="54"/>
        <v/>
      </c>
      <c r="I605" s="5" t="str">
        <f t="shared" si="55"/>
        <v/>
      </c>
      <c r="J605" s="6">
        <f t="shared" si="56"/>
        <v>0</v>
      </c>
      <c r="K605" s="4" t="str">
        <f t="shared" si="57"/>
        <v/>
      </c>
      <c r="L605" s="4" t="str">
        <f t="shared" si="58"/>
        <v/>
      </c>
      <c r="M605" s="4" t="b" cm="1">
        <f t="array" ref="M605">IF(H605="",FALSE,SUMPRODUCT(--(H$1:H604=H605))&gt;0)</f>
        <v>0</v>
      </c>
      <c r="N605" s="36"/>
      <c r="P605" s="1" t="str">
        <f t="shared" si="59"/>
        <v/>
      </c>
    </row>
    <row r="606" spans="1:16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"&amp;L606,IF(AND(MAX(K$1:K605)&gt;0,N(K606)-MAX(K$1:K605)&gt;180),"⚠ Gap &gt; 3h",IF(_xlfn.LET(_xlpm.q,E606,_xlpm.tk,P606,_xlpm.ld,Log!$P$18,_xlpm.fx,IF(OR(_xlpm.ld="",_xlpm.ld="Full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"&amp;_xlpm.q,""))))&lt;&gt;"",IF(N606&lt;&gt;"","Load OK ✓ (checked)","⚠ "&amp;_xlfn.LET(_xlpm.q,E606,_xlpm.tk,P606,_xlpm.ld,Log!$P$18,_xlpm.fx,IF(OR(_xlpm.ld="",_xlpm.ld="Full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"&amp;_xlpm.q,""))))),IF(C606-I606&gt;=0.99,"next day",IF(C606-I606&gt;0.4,"12h → 24h","")))))))))))</f>
        <v/>
      </c>
      <c r="H606" s="4" t="str">
        <f t="shared" si="54"/>
        <v/>
      </c>
      <c r="I606" s="5" t="str">
        <f t="shared" si="55"/>
        <v/>
      </c>
      <c r="J606" s="6">
        <f t="shared" si="56"/>
        <v>0</v>
      </c>
      <c r="K606" s="4" t="str">
        <f t="shared" si="57"/>
        <v/>
      </c>
      <c r="L606" s="4" t="str">
        <f t="shared" si="58"/>
        <v/>
      </c>
      <c r="M606" s="4" t="b" cm="1">
        <f t="array" ref="M606">IF(H606="",FALSE,SUMPRODUCT(--(H$1:H605=H606))&gt;0)</f>
        <v>0</v>
      </c>
      <c r="N606" s="36"/>
      <c r="P606" s="1" t="str">
        <f t="shared" si="59"/>
        <v/>
      </c>
    </row>
    <row r="607" spans="1:16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"&amp;L607,IF(AND(MAX(K$1:K606)&gt;0,N(K607)-MAX(K$1:K606)&gt;180),"⚠ Gap &gt; 3h",IF(_xlfn.LET(_xlpm.q,E607,_xlpm.tk,P607,_xlpm.ld,Log!$P$18,_xlpm.fx,IF(OR(_xlpm.ld="",_xlpm.ld="Full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"&amp;_xlpm.q,""))))&lt;&gt;"",IF(N607&lt;&gt;"","Load OK ✓ (checked)","⚠ "&amp;_xlfn.LET(_xlpm.q,E607,_xlpm.tk,P607,_xlpm.ld,Log!$P$18,_xlpm.fx,IF(OR(_xlpm.ld="",_xlpm.ld="Full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"&amp;_xlpm.q,""))))),IF(C607-I607&gt;=0.99,"next day",IF(C607-I607&gt;0.4,"12h → 24h","")))))))))))</f>
        <v/>
      </c>
      <c r="H607" s="4" t="str">
        <f t="shared" si="54"/>
        <v/>
      </c>
      <c r="I607" s="5" t="str">
        <f t="shared" si="55"/>
        <v/>
      </c>
      <c r="J607" s="6">
        <f t="shared" si="56"/>
        <v>0</v>
      </c>
      <c r="K607" s="4" t="str">
        <f t="shared" si="57"/>
        <v/>
      </c>
      <c r="L607" s="4" t="str">
        <f t="shared" si="58"/>
        <v/>
      </c>
      <c r="M607" s="4" t="b" cm="1">
        <f t="array" ref="M607">IF(H607="",FALSE,SUMPRODUCT(--(H$1:H606=H607))&gt;0)</f>
        <v>0</v>
      </c>
      <c r="N607" s="36"/>
      <c r="P607" s="1" t="str">
        <f t="shared" si="59"/>
        <v/>
      </c>
    </row>
    <row r="608" spans="1:16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"&amp;L608,IF(AND(MAX(K$1:K607)&gt;0,N(K608)-MAX(K$1:K607)&gt;180),"⚠ Gap &gt; 3h",IF(_xlfn.LET(_xlpm.q,E608,_xlpm.tk,P608,_xlpm.ld,Log!$P$18,_xlpm.fx,IF(OR(_xlpm.ld="",_xlpm.ld="Full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"&amp;_xlpm.q,""))))&lt;&gt;"",IF(N608&lt;&gt;"","Load OK ✓ (checked)","⚠ "&amp;_xlfn.LET(_xlpm.q,E608,_xlpm.tk,P608,_xlpm.ld,Log!$P$18,_xlpm.fx,IF(OR(_xlpm.ld="",_xlpm.ld="Full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"&amp;_xlpm.q,""))))),IF(C608-I608&gt;=0.99,"next day",IF(C608-I608&gt;0.4,"12h → 24h","")))))))))))</f>
        <v/>
      </c>
      <c r="H608" s="4" t="str">
        <f t="shared" si="54"/>
        <v/>
      </c>
      <c r="I608" s="5" t="str">
        <f t="shared" si="55"/>
        <v/>
      </c>
      <c r="J608" s="6">
        <f t="shared" si="56"/>
        <v>0</v>
      </c>
      <c r="K608" s="4" t="str">
        <f t="shared" si="57"/>
        <v/>
      </c>
      <c r="L608" s="4" t="str">
        <f t="shared" si="58"/>
        <v/>
      </c>
      <c r="M608" s="4" t="b" cm="1">
        <f t="array" ref="M608">IF(H608="",FALSE,SUMPRODUCT(--(H$1:H607=H608))&gt;0)</f>
        <v>0</v>
      </c>
      <c r="N608" s="36"/>
      <c r="P608" s="1" t="str">
        <f t="shared" si="59"/>
        <v/>
      </c>
    </row>
    <row r="609" spans="1:16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"&amp;L609,IF(AND(MAX(K$1:K608)&gt;0,N(K609)-MAX(K$1:K608)&gt;180),"⚠ Gap &gt; 3h",IF(_xlfn.LET(_xlpm.q,E609,_xlpm.tk,P609,_xlpm.ld,Log!$P$18,_xlpm.fx,IF(OR(_xlpm.ld="",_xlpm.ld="Full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"&amp;_xlpm.q,""))))&lt;&gt;"",IF(N609&lt;&gt;"","Load OK ✓ (checked)","⚠ "&amp;_xlfn.LET(_xlpm.q,E609,_xlpm.tk,P609,_xlpm.ld,Log!$P$18,_xlpm.fx,IF(OR(_xlpm.ld="",_xlpm.ld="Full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"&amp;_xlpm.q,""))))),IF(C609-I609&gt;=0.99,"next day",IF(C609-I609&gt;0.4,"12h → 24h","")))))))))))</f>
        <v/>
      </c>
      <c r="H609" s="4" t="str">
        <f t="shared" si="54"/>
        <v/>
      </c>
      <c r="I609" s="5" t="str">
        <f t="shared" si="55"/>
        <v/>
      </c>
      <c r="J609" s="6">
        <f t="shared" si="56"/>
        <v>0</v>
      </c>
      <c r="K609" s="4" t="str">
        <f t="shared" si="57"/>
        <v/>
      </c>
      <c r="L609" s="4" t="str">
        <f t="shared" si="58"/>
        <v/>
      </c>
      <c r="M609" s="4" t="b" cm="1">
        <f t="array" ref="M609">IF(H609="",FALSE,SUMPRODUCT(--(H$1:H608=H609))&gt;0)</f>
        <v>0</v>
      </c>
      <c r="N609" s="36"/>
      <c r="P609" s="1" t="str">
        <f t="shared" si="59"/>
        <v/>
      </c>
    </row>
    <row r="610" spans="1:16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"&amp;L610,IF(AND(MAX(K$1:K609)&gt;0,N(K610)-MAX(K$1:K609)&gt;180),"⚠ Gap &gt; 3h",IF(_xlfn.LET(_xlpm.q,E610,_xlpm.tk,P610,_xlpm.ld,Log!$P$18,_xlpm.fx,IF(OR(_xlpm.ld="",_xlpm.ld="Full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"&amp;_xlpm.q,""))))&lt;&gt;"",IF(N610&lt;&gt;"","Load OK ✓ (checked)","⚠ "&amp;_xlfn.LET(_xlpm.q,E610,_xlpm.tk,P610,_xlpm.ld,Log!$P$18,_xlpm.fx,IF(OR(_xlpm.ld="",_xlpm.ld="Full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"&amp;_xlpm.q,""))))),IF(C610-I610&gt;=0.99,"next day",IF(C610-I610&gt;0.4,"12h → 24h","")))))))))))</f>
        <v/>
      </c>
      <c r="H610" s="4" t="str">
        <f t="shared" si="54"/>
        <v/>
      </c>
      <c r="I610" s="5" t="str">
        <f t="shared" si="55"/>
        <v/>
      </c>
      <c r="J610" s="6">
        <f t="shared" si="56"/>
        <v>0</v>
      </c>
      <c r="K610" s="4" t="str">
        <f t="shared" si="57"/>
        <v/>
      </c>
      <c r="L610" s="4" t="str">
        <f t="shared" si="58"/>
        <v/>
      </c>
      <c r="M610" s="4" t="b" cm="1">
        <f t="array" ref="M610">IF(H610="",FALSE,SUMPRODUCT(--(H$1:H609=H610))&gt;0)</f>
        <v>0</v>
      </c>
      <c r="N610" s="36"/>
      <c r="P610" s="1" t="str">
        <f t="shared" si="59"/>
        <v/>
      </c>
    </row>
    <row r="611" spans="1:16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"&amp;L611,IF(AND(MAX(K$1:K610)&gt;0,N(K611)-MAX(K$1:K610)&gt;180),"⚠ Gap &gt; 3h",IF(_xlfn.LET(_xlpm.q,E611,_xlpm.tk,P611,_xlpm.ld,Log!$P$18,_xlpm.fx,IF(OR(_xlpm.ld="",_xlpm.ld="Full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"&amp;_xlpm.q,""))))&lt;&gt;"",IF(N611&lt;&gt;"","Load OK ✓ (checked)","⚠ "&amp;_xlfn.LET(_xlpm.q,E611,_xlpm.tk,P611,_xlpm.ld,Log!$P$18,_xlpm.fx,IF(OR(_xlpm.ld="",_xlpm.ld="Full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"&amp;_xlpm.q,""))))),IF(C611-I611&gt;=0.99,"next day",IF(C611-I611&gt;0.4,"12h → 24h","")))))))))))</f>
        <v/>
      </c>
      <c r="H611" s="4" t="str">
        <f t="shared" si="54"/>
        <v/>
      </c>
      <c r="I611" s="5" t="str">
        <f t="shared" si="55"/>
        <v/>
      </c>
      <c r="J611" s="6">
        <f t="shared" si="56"/>
        <v>0</v>
      </c>
      <c r="K611" s="4" t="str">
        <f t="shared" si="57"/>
        <v/>
      </c>
      <c r="L611" s="4" t="str">
        <f t="shared" si="58"/>
        <v/>
      </c>
      <c r="M611" s="4" t="b" cm="1">
        <f t="array" ref="M611">IF(H611="",FALSE,SUMPRODUCT(--(H$1:H610=H611))&gt;0)</f>
        <v>0</v>
      </c>
      <c r="N611" s="36"/>
      <c r="P611" s="1" t="str">
        <f t="shared" si="59"/>
        <v/>
      </c>
    </row>
    <row r="612" spans="1:16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"&amp;L612,IF(AND(MAX(K$1:K611)&gt;0,N(K612)-MAX(K$1:K611)&gt;180),"⚠ Gap &gt; 3h",IF(_xlfn.LET(_xlpm.q,E612,_xlpm.tk,P612,_xlpm.ld,Log!$P$18,_xlpm.fx,IF(OR(_xlpm.ld="",_xlpm.ld="Full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"&amp;_xlpm.q,""))))&lt;&gt;"",IF(N612&lt;&gt;"","Load OK ✓ (checked)","⚠ "&amp;_xlfn.LET(_xlpm.q,E612,_xlpm.tk,P612,_xlpm.ld,Log!$P$18,_xlpm.fx,IF(OR(_xlpm.ld="",_xlpm.ld="Full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"&amp;_xlpm.q,""))))),IF(C612-I612&gt;=0.99,"next day",IF(C612-I612&gt;0.4,"12h → 24h","")))))))))))</f>
        <v/>
      </c>
      <c r="H612" s="4" t="str">
        <f t="shared" si="54"/>
        <v/>
      </c>
      <c r="I612" s="5" t="str">
        <f t="shared" si="55"/>
        <v/>
      </c>
      <c r="J612" s="6">
        <f t="shared" si="56"/>
        <v>0</v>
      </c>
      <c r="K612" s="4" t="str">
        <f t="shared" si="57"/>
        <v/>
      </c>
      <c r="L612" s="4" t="str">
        <f t="shared" si="58"/>
        <v/>
      </c>
      <c r="M612" s="4" t="b" cm="1">
        <f t="array" ref="M612">IF(H612="",FALSE,SUMPRODUCT(--(H$1:H611=H612))&gt;0)</f>
        <v>0</v>
      </c>
      <c r="N612" s="36"/>
      <c r="P612" s="1" t="str">
        <f t="shared" si="59"/>
        <v/>
      </c>
    </row>
    <row r="613" spans="1:16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"&amp;L613,IF(AND(MAX(K$1:K612)&gt;0,N(K613)-MAX(K$1:K612)&gt;180),"⚠ Gap &gt; 3h",IF(_xlfn.LET(_xlpm.q,E613,_xlpm.tk,P613,_xlpm.ld,Log!$P$18,_xlpm.fx,IF(OR(_xlpm.ld="",_xlpm.ld="Full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"&amp;_xlpm.q,""))))&lt;&gt;"",IF(N613&lt;&gt;"","Load OK ✓ (checked)","⚠ "&amp;_xlfn.LET(_xlpm.q,E613,_xlpm.tk,P613,_xlpm.ld,Log!$P$18,_xlpm.fx,IF(OR(_xlpm.ld="",_xlpm.ld="Full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"&amp;_xlpm.q,""))))),IF(C613-I613&gt;=0.99,"next day",IF(C613-I613&gt;0.4,"12h → 24h","")))))))))))</f>
        <v/>
      </c>
      <c r="H613" s="4" t="str">
        <f t="shared" si="54"/>
        <v/>
      </c>
      <c r="I613" s="5" t="str">
        <f t="shared" si="55"/>
        <v/>
      </c>
      <c r="J613" s="6">
        <f t="shared" si="56"/>
        <v>0</v>
      </c>
      <c r="K613" s="4" t="str">
        <f t="shared" si="57"/>
        <v/>
      </c>
      <c r="L613" s="4" t="str">
        <f t="shared" si="58"/>
        <v/>
      </c>
      <c r="M613" s="4" t="b" cm="1">
        <f t="array" ref="M613">IF(H613="",FALSE,SUMPRODUCT(--(H$1:H612=H613))&gt;0)</f>
        <v>0</v>
      </c>
      <c r="N613" s="36"/>
      <c r="P613" s="1" t="str">
        <f t="shared" si="59"/>
        <v/>
      </c>
    </row>
    <row r="614" spans="1:16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"&amp;L614,IF(AND(MAX(K$1:K613)&gt;0,N(K614)-MAX(K$1:K613)&gt;180),"⚠ Gap &gt; 3h",IF(_xlfn.LET(_xlpm.q,E614,_xlpm.tk,P614,_xlpm.ld,Log!$P$18,_xlpm.fx,IF(OR(_xlpm.ld="",_xlpm.ld="Full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"&amp;_xlpm.q,""))))&lt;&gt;"",IF(N614&lt;&gt;"","Load OK ✓ (checked)","⚠ "&amp;_xlfn.LET(_xlpm.q,E614,_xlpm.tk,P614,_xlpm.ld,Log!$P$18,_xlpm.fx,IF(OR(_xlpm.ld="",_xlpm.ld="Full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"&amp;_xlpm.q,""))))),IF(C614-I614&gt;=0.99,"next day",IF(C614-I614&gt;0.4,"12h → 24h","")))))))))))</f>
        <v/>
      </c>
      <c r="H614" s="4" t="str">
        <f t="shared" si="54"/>
        <v/>
      </c>
      <c r="I614" s="5" t="str">
        <f t="shared" si="55"/>
        <v/>
      </c>
      <c r="J614" s="6">
        <f t="shared" si="56"/>
        <v>0</v>
      </c>
      <c r="K614" s="4" t="str">
        <f t="shared" si="57"/>
        <v/>
      </c>
      <c r="L614" s="4" t="str">
        <f t="shared" si="58"/>
        <v/>
      </c>
      <c r="M614" s="4" t="b" cm="1">
        <f t="array" ref="M614">IF(H614="",FALSE,SUMPRODUCT(--(H$1:H613=H614))&gt;0)</f>
        <v>0</v>
      </c>
      <c r="N614" s="36"/>
      <c r="P614" s="1" t="str">
        <f t="shared" si="59"/>
        <v/>
      </c>
    </row>
    <row r="615" spans="1:16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"&amp;L615,IF(AND(MAX(K$1:K614)&gt;0,N(K615)-MAX(K$1:K614)&gt;180),"⚠ Gap &gt; 3h",IF(_xlfn.LET(_xlpm.q,E615,_xlpm.tk,P615,_xlpm.ld,Log!$P$18,_xlpm.fx,IF(OR(_xlpm.ld="",_xlpm.ld="Full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"&amp;_xlpm.q,""))))&lt;&gt;"",IF(N615&lt;&gt;"","Load OK ✓ (checked)","⚠ "&amp;_xlfn.LET(_xlpm.q,E615,_xlpm.tk,P615,_xlpm.ld,Log!$P$18,_xlpm.fx,IF(OR(_xlpm.ld="",_xlpm.ld="Full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"&amp;_xlpm.q,""))))),IF(C615-I615&gt;=0.99,"next day",IF(C615-I615&gt;0.4,"12h → 24h","")))))))))))</f>
        <v/>
      </c>
      <c r="H615" s="4" t="str">
        <f t="shared" si="54"/>
        <v/>
      </c>
      <c r="I615" s="5" t="str">
        <f t="shared" si="55"/>
        <v/>
      </c>
      <c r="J615" s="6">
        <f t="shared" si="56"/>
        <v>0</v>
      </c>
      <c r="K615" s="4" t="str">
        <f t="shared" si="57"/>
        <v/>
      </c>
      <c r="L615" s="4" t="str">
        <f t="shared" si="58"/>
        <v/>
      </c>
      <c r="M615" s="4" t="b" cm="1">
        <f t="array" ref="M615">IF(H615="",FALSE,SUMPRODUCT(--(H$1:H614=H615))&gt;0)</f>
        <v>0</v>
      </c>
      <c r="N615" s="36"/>
      <c r="P615" s="1" t="str">
        <f t="shared" si="59"/>
        <v/>
      </c>
    </row>
    <row r="616" spans="1:16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"&amp;L616,IF(AND(MAX(K$1:K615)&gt;0,N(K616)-MAX(K$1:K615)&gt;180),"⚠ Gap &gt; 3h",IF(_xlfn.LET(_xlpm.q,E616,_xlpm.tk,P616,_xlpm.ld,Log!$P$18,_xlpm.fx,IF(OR(_xlpm.ld="",_xlpm.ld="Full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"&amp;_xlpm.q,""))))&lt;&gt;"",IF(N616&lt;&gt;"","Load OK ✓ (checked)","⚠ "&amp;_xlfn.LET(_xlpm.q,E616,_xlpm.tk,P616,_xlpm.ld,Log!$P$18,_xlpm.fx,IF(OR(_xlpm.ld="",_xlpm.ld="Full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"&amp;_xlpm.q,""))))),IF(C616-I616&gt;=0.99,"next day",IF(C616-I616&gt;0.4,"12h → 24h","")))))))))))</f>
        <v/>
      </c>
      <c r="H616" s="4" t="str">
        <f t="shared" si="54"/>
        <v/>
      </c>
      <c r="I616" s="5" t="str">
        <f t="shared" si="55"/>
        <v/>
      </c>
      <c r="J616" s="6">
        <f t="shared" si="56"/>
        <v>0</v>
      </c>
      <c r="K616" s="4" t="str">
        <f t="shared" si="57"/>
        <v/>
      </c>
      <c r="L616" s="4" t="str">
        <f t="shared" si="58"/>
        <v/>
      </c>
      <c r="M616" s="4" t="b" cm="1">
        <f t="array" ref="M616">IF(H616="",FALSE,SUMPRODUCT(--(H$1:H615=H616))&gt;0)</f>
        <v>0</v>
      </c>
      <c r="N616" s="36"/>
      <c r="P616" s="1" t="str">
        <f t="shared" si="59"/>
        <v/>
      </c>
    </row>
    <row r="617" spans="1:16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"&amp;L617,IF(AND(MAX(K$1:K616)&gt;0,N(K617)-MAX(K$1:K616)&gt;180),"⚠ Gap &gt; 3h",IF(_xlfn.LET(_xlpm.q,E617,_xlpm.tk,P617,_xlpm.ld,Log!$P$18,_xlpm.fx,IF(OR(_xlpm.ld="",_xlpm.ld="Full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"&amp;_xlpm.q,""))))&lt;&gt;"",IF(N617&lt;&gt;"","Load OK ✓ (checked)","⚠ "&amp;_xlfn.LET(_xlpm.q,E617,_xlpm.tk,P617,_xlpm.ld,Log!$P$18,_xlpm.fx,IF(OR(_xlpm.ld="",_xlpm.ld="Full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"&amp;_xlpm.q,""))))),IF(C617-I617&gt;=0.99,"next day",IF(C617-I617&gt;0.4,"12h → 24h","")))))))))))</f>
        <v/>
      </c>
      <c r="H617" s="4" t="str">
        <f t="shared" si="54"/>
        <v/>
      </c>
      <c r="I617" s="5" t="str">
        <f t="shared" si="55"/>
        <v/>
      </c>
      <c r="J617" s="6">
        <f t="shared" si="56"/>
        <v>0</v>
      </c>
      <c r="K617" s="4" t="str">
        <f t="shared" si="57"/>
        <v/>
      </c>
      <c r="L617" s="4" t="str">
        <f t="shared" si="58"/>
        <v/>
      </c>
      <c r="M617" s="4" t="b" cm="1">
        <f t="array" ref="M617">IF(H617="",FALSE,SUMPRODUCT(--(H$1:H616=H617))&gt;0)</f>
        <v>0</v>
      </c>
      <c r="N617" s="36"/>
      <c r="P617" s="1" t="str">
        <f t="shared" si="59"/>
        <v/>
      </c>
    </row>
    <row r="618" spans="1:16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"&amp;L618,IF(AND(MAX(K$1:K617)&gt;0,N(K618)-MAX(K$1:K617)&gt;180),"⚠ Gap &gt; 3h",IF(_xlfn.LET(_xlpm.q,E618,_xlpm.tk,P618,_xlpm.ld,Log!$P$18,_xlpm.fx,IF(OR(_xlpm.ld="",_xlpm.ld="Full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"&amp;_xlpm.q,""))))&lt;&gt;"",IF(N618&lt;&gt;"","Load OK ✓ (checked)","⚠ "&amp;_xlfn.LET(_xlpm.q,E618,_xlpm.tk,P618,_xlpm.ld,Log!$P$18,_xlpm.fx,IF(OR(_xlpm.ld="",_xlpm.ld="Full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"&amp;_xlpm.q,""))))),IF(C618-I618&gt;=0.99,"next day",IF(C618-I618&gt;0.4,"12h → 24h","")))))))))))</f>
        <v/>
      </c>
      <c r="H618" s="4" t="str">
        <f t="shared" si="54"/>
        <v/>
      </c>
      <c r="I618" s="5" t="str">
        <f t="shared" si="55"/>
        <v/>
      </c>
      <c r="J618" s="6">
        <f t="shared" si="56"/>
        <v>0</v>
      </c>
      <c r="K618" s="4" t="str">
        <f t="shared" si="57"/>
        <v/>
      </c>
      <c r="L618" s="4" t="str">
        <f t="shared" si="58"/>
        <v/>
      </c>
      <c r="M618" s="4" t="b" cm="1">
        <f t="array" ref="M618">IF(H618="",FALSE,SUMPRODUCT(--(H$1:H617=H618))&gt;0)</f>
        <v>0</v>
      </c>
      <c r="N618" s="36"/>
      <c r="P618" s="1" t="str">
        <f t="shared" si="59"/>
        <v/>
      </c>
    </row>
    <row r="619" spans="1:16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"&amp;L619,IF(AND(MAX(K$1:K618)&gt;0,N(K619)-MAX(K$1:K618)&gt;180),"⚠ Gap &gt; 3h",IF(_xlfn.LET(_xlpm.q,E619,_xlpm.tk,P619,_xlpm.ld,Log!$P$18,_xlpm.fx,IF(OR(_xlpm.ld="",_xlpm.ld="Full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"&amp;_xlpm.q,""))))&lt;&gt;"",IF(N619&lt;&gt;"","Load OK ✓ (checked)","⚠ "&amp;_xlfn.LET(_xlpm.q,E619,_xlpm.tk,P619,_xlpm.ld,Log!$P$18,_xlpm.fx,IF(OR(_xlpm.ld="",_xlpm.ld="Full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"&amp;_xlpm.q,""))))),IF(C619-I619&gt;=0.99,"next day",IF(C619-I619&gt;0.4,"12h → 24h","")))))))))))</f>
        <v/>
      </c>
      <c r="H619" s="4" t="str">
        <f t="shared" si="54"/>
        <v/>
      </c>
      <c r="I619" s="5" t="str">
        <f t="shared" si="55"/>
        <v/>
      </c>
      <c r="J619" s="6">
        <f t="shared" si="56"/>
        <v>0</v>
      </c>
      <c r="K619" s="4" t="str">
        <f t="shared" si="57"/>
        <v/>
      </c>
      <c r="L619" s="4" t="str">
        <f t="shared" si="58"/>
        <v/>
      </c>
      <c r="M619" s="4" t="b" cm="1">
        <f t="array" ref="M619">IF(H619="",FALSE,SUMPRODUCT(--(H$1:H618=H619))&gt;0)</f>
        <v>0</v>
      </c>
      <c r="N619" s="36"/>
      <c r="P619" s="1" t="str">
        <f t="shared" si="59"/>
        <v/>
      </c>
    </row>
    <row r="620" spans="1:16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"&amp;L620,IF(AND(MAX(K$1:K619)&gt;0,N(K620)-MAX(K$1:K619)&gt;180),"⚠ Gap &gt; 3h",IF(_xlfn.LET(_xlpm.q,E620,_xlpm.tk,P620,_xlpm.ld,Log!$P$18,_xlpm.fx,IF(OR(_xlpm.ld="",_xlpm.ld="Full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"&amp;_xlpm.q,""))))&lt;&gt;"",IF(N620&lt;&gt;"","Load OK ✓ (checked)","⚠ "&amp;_xlfn.LET(_xlpm.q,E620,_xlpm.tk,P620,_xlpm.ld,Log!$P$18,_xlpm.fx,IF(OR(_xlpm.ld="",_xlpm.ld="Full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"&amp;_xlpm.q,""))))),IF(C620-I620&gt;=0.99,"next day",IF(C620-I620&gt;0.4,"12h → 24h","")))))))))))</f>
        <v/>
      </c>
      <c r="H620" s="4" t="str">
        <f t="shared" si="54"/>
        <v/>
      </c>
      <c r="I620" s="5" t="str">
        <f t="shared" si="55"/>
        <v/>
      </c>
      <c r="J620" s="6">
        <f t="shared" si="56"/>
        <v>0</v>
      </c>
      <c r="K620" s="4" t="str">
        <f t="shared" si="57"/>
        <v/>
      </c>
      <c r="L620" s="4" t="str">
        <f t="shared" si="58"/>
        <v/>
      </c>
      <c r="M620" s="4" t="b" cm="1">
        <f t="array" ref="M620">IF(H620="",FALSE,SUMPRODUCT(--(H$1:H619=H620))&gt;0)</f>
        <v>0</v>
      </c>
      <c r="N620" s="36"/>
      <c r="P620" s="1" t="str">
        <f t="shared" si="59"/>
        <v/>
      </c>
    </row>
    <row r="621" spans="1:16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"&amp;L621,IF(AND(MAX(K$1:K620)&gt;0,N(K621)-MAX(K$1:K620)&gt;180),"⚠ Gap &gt; 3h",IF(_xlfn.LET(_xlpm.q,E621,_xlpm.tk,P621,_xlpm.ld,Log!$P$18,_xlpm.fx,IF(OR(_xlpm.ld="",_xlpm.ld="Full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"&amp;_xlpm.q,""))))&lt;&gt;"",IF(N621&lt;&gt;"","Load OK ✓ (checked)","⚠ "&amp;_xlfn.LET(_xlpm.q,E621,_xlpm.tk,P621,_xlpm.ld,Log!$P$18,_xlpm.fx,IF(OR(_xlpm.ld="",_xlpm.ld="Full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"&amp;_xlpm.q,""))))),IF(C621-I621&gt;=0.99,"next day",IF(C621-I621&gt;0.4,"12h → 24h","")))))))))))</f>
        <v/>
      </c>
      <c r="H621" s="4" t="str">
        <f t="shared" si="54"/>
        <v/>
      </c>
      <c r="I621" s="5" t="str">
        <f t="shared" si="55"/>
        <v/>
      </c>
      <c r="J621" s="6">
        <f t="shared" si="56"/>
        <v>0</v>
      </c>
      <c r="K621" s="4" t="str">
        <f t="shared" si="57"/>
        <v/>
      </c>
      <c r="L621" s="4" t="str">
        <f t="shared" si="58"/>
        <v/>
      </c>
      <c r="M621" s="4" t="b" cm="1">
        <f t="array" ref="M621">IF(H621="",FALSE,SUMPRODUCT(--(H$1:H620=H621))&gt;0)</f>
        <v>0</v>
      </c>
      <c r="N621" s="36"/>
      <c r="P621" s="1" t="str">
        <f t="shared" si="59"/>
        <v/>
      </c>
    </row>
    <row r="622" spans="1:16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"&amp;L622,IF(AND(MAX(K$1:K621)&gt;0,N(K622)-MAX(K$1:K621)&gt;180),"⚠ Gap &gt; 3h",IF(_xlfn.LET(_xlpm.q,E622,_xlpm.tk,P622,_xlpm.ld,Log!$P$18,_xlpm.fx,IF(OR(_xlpm.ld="",_xlpm.ld="Full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"&amp;_xlpm.q,""))))&lt;&gt;"",IF(N622&lt;&gt;"","Load OK ✓ (checked)","⚠ "&amp;_xlfn.LET(_xlpm.q,E622,_xlpm.tk,P622,_xlpm.ld,Log!$P$18,_xlpm.fx,IF(OR(_xlpm.ld="",_xlpm.ld="Full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"&amp;_xlpm.q,""))))),IF(C622-I622&gt;=0.99,"next day",IF(C622-I622&gt;0.4,"12h → 24h","")))))))))))</f>
        <v/>
      </c>
      <c r="H622" s="4" t="str">
        <f t="shared" si="54"/>
        <v/>
      </c>
      <c r="I622" s="5" t="str">
        <f t="shared" si="55"/>
        <v/>
      </c>
      <c r="J622" s="6">
        <f t="shared" si="56"/>
        <v>0</v>
      </c>
      <c r="K622" s="4" t="str">
        <f t="shared" si="57"/>
        <v/>
      </c>
      <c r="L622" s="4" t="str">
        <f t="shared" si="58"/>
        <v/>
      </c>
      <c r="M622" s="4" t="b" cm="1">
        <f t="array" ref="M622">IF(H622="",FALSE,SUMPRODUCT(--(H$1:H621=H622))&gt;0)</f>
        <v>0</v>
      </c>
      <c r="N622" s="36"/>
      <c r="P622" s="1" t="str">
        <f t="shared" si="59"/>
        <v/>
      </c>
    </row>
    <row r="623" spans="1:16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"&amp;L623,IF(AND(MAX(K$1:K622)&gt;0,N(K623)-MAX(K$1:K622)&gt;180),"⚠ Gap &gt; 3h",IF(_xlfn.LET(_xlpm.q,E623,_xlpm.tk,P623,_xlpm.ld,Log!$P$18,_xlpm.fx,IF(OR(_xlpm.ld="",_xlpm.ld="Full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"&amp;_xlpm.q,""))))&lt;&gt;"",IF(N623&lt;&gt;"","Load OK ✓ (checked)","⚠ "&amp;_xlfn.LET(_xlpm.q,E623,_xlpm.tk,P623,_xlpm.ld,Log!$P$18,_xlpm.fx,IF(OR(_xlpm.ld="",_xlpm.ld="Full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"&amp;_xlpm.q,""))))),IF(C623-I623&gt;=0.99,"next day",IF(C623-I623&gt;0.4,"12h → 24h","")))))))))))</f>
        <v/>
      </c>
      <c r="H623" s="4" t="str">
        <f t="shared" si="54"/>
        <v/>
      </c>
      <c r="I623" s="5" t="str">
        <f t="shared" si="55"/>
        <v/>
      </c>
      <c r="J623" s="6">
        <f t="shared" si="56"/>
        <v>0</v>
      </c>
      <c r="K623" s="4" t="str">
        <f t="shared" si="57"/>
        <v/>
      </c>
      <c r="L623" s="4" t="str">
        <f t="shared" si="58"/>
        <v/>
      </c>
      <c r="M623" s="4" t="b" cm="1">
        <f t="array" ref="M623">IF(H623="",FALSE,SUMPRODUCT(--(H$1:H622=H623))&gt;0)</f>
        <v>0</v>
      </c>
      <c r="N623" s="36"/>
      <c r="P623" s="1" t="str">
        <f t="shared" si="59"/>
        <v/>
      </c>
    </row>
    <row r="624" spans="1:16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"&amp;L624,IF(AND(MAX(K$1:K623)&gt;0,N(K624)-MAX(K$1:K623)&gt;180),"⚠ Gap &gt; 3h",IF(_xlfn.LET(_xlpm.q,E624,_xlpm.tk,P624,_xlpm.ld,Log!$P$18,_xlpm.fx,IF(OR(_xlpm.ld="",_xlpm.ld="Full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"&amp;_xlpm.q,""))))&lt;&gt;"",IF(N624&lt;&gt;"","Load OK ✓ (checked)","⚠ "&amp;_xlfn.LET(_xlpm.q,E624,_xlpm.tk,P624,_xlpm.ld,Log!$P$18,_xlpm.fx,IF(OR(_xlpm.ld="",_xlpm.ld="Full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"&amp;_xlpm.q,""))))),IF(C624-I624&gt;=0.99,"next day",IF(C624-I624&gt;0.4,"12h → 24h","")))))))))))</f>
        <v/>
      </c>
      <c r="H624" s="4" t="str">
        <f t="shared" si="54"/>
        <v/>
      </c>
      <c r="I624" s="5" t="str">
        <f t="shared" si="55"/>
        <v/>
      </c>
      <c r="J624" s="6">
        <f t="shared" si="56"/>
        <v>0</v>
      </c>
      <c r="K624" s="4" t="str">
        <f t="shared" si="57"/>
        <v/>
      </c>
      <c r="L624" s="4" t="str">
        <f t="shared" si="58"/>
        <v/>
      </c>
      <c r="M624" s="4" t="b" cm="1">
        <f t="array" ref="M624">IF(H624="",FALSE,SUMPRODUCT(--(H$1:H623=H624))&gt;0)</f>
        <v>0</v>
      </c>
      <c r="N624" s="36"/>
      <c r="P624" s="1" t="str">
        <f t="shared" si="59"/>
        <v/>
      </c>
    </row>
    <row r="625" spans="1:16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"&amp;L625,IF(AND(MAX(K$1:K624)&gt;0,N(K625)-MAX(K$1:K624)&gt;180),"⚠ Gap &gt; 3h",IF(_xlfn.LET(_xlpm.q,E625,_xlpm.tk,P625,_xlpm.ld,Log!$P$18,_xlpm.fx,IF(OR(_xlpm.ld="",_xlpm.ld="Full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"&amp;_xlpm.q,""))))&lt;&gt;"",IF(N625&lt;&gt;"","Load OK ✓ (checked)","⚠ "&amp;_xlfn.LET(_xlpm.q,E625,_xlpm.tk,P625,_xlpm.ld,Log!$P$18,_xlpm.fx,IF(OR(_xlpm.ld="",_xlpm.ld="Full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"&amp;_xlpm.q,""))))),IF(C625-I625&gt;=0.99,"next day",IF(C625-I625&gt;0.4,"12h → 24h","")))))))))))</f>
        <v/>
      </c>
      <c r="H625" s="4" t="str">
        <f t="shared" si="54"/>
        <v/>
      </c>
      <c r="I625" s="5" t="str">
        <f t="shared" si="55"/>
        <v/>
      </c>
      <c r="J625" s="6">
        <f t="shared" si="56"/>
        <v>0</v>
      </c>
      <c r="K625" s="4" t="str">
        <f t="shared" si="57"/>
        <v/>
      </c>
      <c r="L625" s="4" t="str">
        <f t="shared" si="58"/>
        <v/>
      </c>
      <c r="M625" s="4" t="b" cm="1">
        <f t="array" ref="M625">IF(H625="",FALSE,SUMPRODUCT(--(H$1:H624=H625))&gt;0)</f>
        <v>0</v>
      </c>
      <c r="N625" s="36"/>
      <c r="P625" s="1" t="str">
        <f t="shared" si="59"/>
        <v/>
      </c>
    </row>
    <row r="626" spans="1:16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"&amp;L626,IF(AND(MAX(K$1:K625)&gt;0,N(K626)-MAX(K$1:K625)&gt;180),"⚠ Gap &gt; 3h",IF(_xlfn.LET(_xlpm.q,E626,_xlpm.tk,P626,_xlpm.ld,Log!$P$18,_xlpm.fx,IF(OR(_xlpm.ld="",_xlpm.ld="Full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"&amp;_xlpm.q,""))))&lt;&gt;"",IF(N626&lt;&gt;"","Load OK ✓ (checked)","⚠ "&amp;_xlfn.LET(_xlpm.q,E626,_xlpm.tk,P626,_xlpm.ld,Log!$P$18,_xlpm.fx,IF(OR(_xlpm.ld="",_xlpm.ld="Full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"&amp;_xlpm.q,""))))),IF(C626-I626&gt;=0.99,"next day",IF(C626-I626&gt;0.4,"12h → 24h","")))))))))))</f>
        <v/>
      </c>
      <c r="H626" s="4" t="str">
        <f t="shared" si="54"/>
        <v/>
      </c>
      <c r="I626" s="5" t="str">
        <f t="shared" si="55"/>
        <v/>
      </c>
      <c r="J626" s="6">
        <f t="shared" si="56"/>
        <v>0</v>
      </c>
      <c r="K626" s="4" t="str">
        <f t="shared" si="57"/>
        <v/>
      </c>
      <c r="L626" s="4" t="str">
        <f t="shared" si="58"/>
        <v/>
      </c>
      <c r="M626" s="4" t="b" cm="1">
        <f t="array" ref="M626">IF(H626="",FALSE,SUMPRODUCT(--(H$1:H625=H626))&gt;0)</f>
        <v>0</v>
      </c>
      <c r="N626" s="36"/>
      <c r="P626" s="1" t="str">
        <f t="shared" si="59"/>
        <v/>
      </c>
    </row>
    <row r="627" spans="1:16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"&amp;L627,IF(AND(MAX(K$1:K626)&gt;0,N(K627)-MAX(K$1:K626)&gt;180),"⚠ Gap &gt; 3h",IF(_xlfn.LET(_xlpm.q,E627,_xlpm.tk,P627,_xlpm.ld,Log!$P$18,_xlpm.fx,IF(OR(_xlpm.ld="",_xlpm.ld="Full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"&amp;_xlpm.q,""))))&lt;&gt;"",IF(N627&lt;&gt;"","Load OK ✓ (checked)","⚠ "&amp;_xlfn.LET(_xlpm.q,E627,_xlpm.tk,P627,_xlpm.ld,Log!$P$18,_xlpm.fx,IF(OR(_xlpm.ld="",_xlpm.ld="Full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"&amp;_xlpm.q,""))))),IF(C627-I627&gt;=0.99,"next day",IF(C627-I627&gt;0.4,"12h → 24h","")))))))))))</f>
        <v/>
      </c>
      <c r="H627" s="4" t="str">
        <f t="shared" si="54"/>
        <v/>
      </c>
      <c r="I627" s="5" t="str">
        <f t="shared" si="55"/>
        <v/>
      </c>
      <c r="J627" s="6">
        <f t="shared" si="56"/>
        <v>0</v>
      </c>
      <c r="K627" s="4" t="str">
        <f t="shared" si="57"/>
        <v/>
      </c>
      <c r="L627" s="4" t="str">
        <f t="shared" si="58"/>
        <v/>
      </c>
      <c r="M627" s="4" t="b" cm="1">
        <f t="array" ref="M627">IF(H627="",FALSE,SUMPRODUCT(--(H$1:H626=H627))&gt;0)</f>
        <v>0</v>
      </c>
      <c r="N627" s="36"/>
      <c r="P627" s="1" t="str">
        <f t="shared" si="59"/>
        <v/>
      </c>
    </row>
    <row r="628" spans="1:16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"&amp;L628,IF(AND(MAX(K$1:K627)&gt;0,N(K628)-MAX(K$1:K627)&gt;180),"⚠ Gap &gt; 3h",IF(_xlfn.LET(_xlpm.q,E628,_xlpm.tk,P628,_xlpm.ld,Log!$P$18,_xlpm.fx,IF(OR(_xlpm.ld="",_xlpm.ld="Full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"&amp;_xlpm.q,""))))&lt;&gt;"",IF(N628&lt;&gt;"","Load OK ✓ (checked)","⚠ "&amp;_xlfn.LET(_xlpm.q,E628,_xlpm.tk,P628,_xlpm.ld,Log!$P$18,_xlpm.fx,IF(OR(_xlpm.ld="",_xlpm.ld="Full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"&amp;_xlpm.q,""))))),IF(C628-I628&gt;=0.99,"next day",IF(C628-I628&gt;0.4,"12h → 24h","")))))))))))</f>
        <v/>
      </c>
      <c r="H628" s="4" t="str">
        <f t="shared" si="54"/>
        <v/>
      </c>
      <c r="I628" s="5" t="str">
        <f t="shared" si="55"/>
        <v/>
      </c>
      <c r="J628" s="6">
        <f t="shared" si="56"/>
        <v>0</v>
      </c>
      <c r="K628" s="4" t="str">
        <f t="shared" si="57"/>
        <v/>
      </c>
      <c r="L628" s="4" t="str">
        <f t="shared" si="58"/>
        <v/>
      </c>
      <c r="M628" s="4" t="b" cm="1">
        <f t="array" ref="M628">IF(H628="",FALSE,SUMPRODUCT(--(H$1:H627=H628))&gt;0)</f>
        <v>0</v>
      </c>
      <c r="N628" s="36"/>
      <c r="P628" s="1" t="str">
        <f t="shared" si="59"/>
        <v/>
      </c>
    </row>
    <row r="629" spans="1:16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"&amp;L629,IF(AND(MAX(K$1:K628)&gt;0,N(K629)-MAX(K$1:K628)&gt;180),"⚠ Gap &gt; 3h",IF(_xlfn.LET(_xlpm.q,E629,_xlpm.tk,P629,_xlpm.ld,Log!$P$18,_xlpm.fx,IF(OR(_xlpm.ld="",_xlpm.ld="Full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"&amp;_xlpm.q,""))))&lt;&gt;"",IF(N629&lt;&gt;"","Load OK ✓ (checked)","⚠ "&amp;_xlfn.LET(_xlpm.q,E629,_xlpm.tk,P629,_xlpm.ld,Log!$P$18,_xlpm.fx,IF(OR(_xlpm.ld="",_xlpm.ld="Full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"&amp;_xlpm.q,""))))),IF(C629-I629&gt;=0.99,"next day",IF(C629-I629&gt;0.4,"12h → 24h","")))))))))))</f>
        <v/>
      </c>
      <c r="H629" s="4" t="str">
        <f t="shared" si="54"/>
        <v/>
      </c>
      <c r="I629" s="5" t="str">
        <f t="shared" si="55"/>
        <v/>
      </c>
      <c r="J629" s="6">
        <f t="shared" si="56"/>
        <v>0</v>
      </c>
      <c r="K629" s="4" t="str">
        <f t="shared" si="57"/>
        <v/>
      </c>
      <c r="L629" s="4" t="str">
        <f t="shared" si="58"/>
        <v/>
      </c>
      <c r="M629" s="4" t="b" cm="1">
        <f t="array" ref="M629">IF(H629="",FALSE,SUMPRODUCT(--(H$1:H628=H629))&gt;0)</f>
        <v>0</v>
      </c>
      <c r="N629" s="36"/>
      <c r="P629" s="1" t="str">
        <f t="shared" si="59"/>
        <v/>
      </c>
    </row>
    <row r="630" spans="1:16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"&amp;L630,IF(AND(MAX(K$1:K629)&gt;0,N(K630)-MAX(K$1:K629)&gt;180),"⚠ Gap &gt; 3h",IF(_xlfn.LET(_xlpm.q,E630,_xlpm.tk,P630,_xlpm.ld,Log!$P$18,_xlpm.fx,IF(OR(_xlpm.ld="",_xlpm.ld="Full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"&amp;_xlpm.q,""))))&lt;&gt;"",IF(N630&lt;&gt;"","Load OK ✓ (checked)","⚠ "&amp;_xlfn.LET(_xlpm.q,E630,_xlpm.tk,P630,_xlpm.ld,Log!$P$18,_xlpm.fx,IF(OR(_xlpm.ld="",_xlpm.ld="Full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"&amp;_xlpm.q,""))))),IF(C630-I630&gt;=0.99,"next day",IF(C630-I630&gt;0.4,"12h → 24h","")))))))))))</f>
        <v/>
      </c>
      <c r="H630" s="4" t="str">
        <f t="shared" si="54"/>
        <v/>
      </c>
      <c r="I630" s="5" t="str">
        <f t="shared" si="55"/>
        <v/>
      </c>
      <c r="J630" s="6">
        <f t="shared" si="56"/>
        <v>0</v>
      </c>
      <c r="K630" s="4" t="str">
        <f t="shared" si="57"/>
        <v/>
      </c>
      <c r="L630" s="4" t="str">
        <f t="shared" si="58"/>
        <v/>
      </c>
      <c r="M630" s="4" t="b" cm="1">
        <f t="array" ref="M630">IF(H630="",FALSE,SUMPRODUCT(--(H$1:H629=H630))&gt;0)</f>
        <v>0</v>
      </c>
      <c r="N630" s="36"/>
      <c r="P630" s="1" t="str">
        <f t="shared" si="59"/>
        <v/>
      </c>
    </row>
    <row r="631" spans="1:16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"&amp;L631,IF(AND(MAX(K$1:K630)&gt;0,N(K631)-MAX(K$1:K630)&gt;180),"⚠ Gap &gt; 3h",IF(_xlfn.LET(_xlpm.q,E631,_xlpm.tk,P631,_xlpm.ld,Log!$P$18,_xlpm.fx,IF(OR(_xlpm.ld="",_xlpm.ld="Full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"&amp;_xlpm.q,""))))&lt;&gt;"",IF(N631&lt;&gt;"","Load OK ✓ (checked)","⚠ "&amp;_xlfn.LET(_xlpm.q,E631,_xlpm.tk,P631,_xlpm.ld,Log!$P$18,_xlpm.fx,IF(OR(_xlpm.ld="",_xlpm.ld="Full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"&amp;_xlpm.q,""))))),IF(C631-I631&gt;=0.99,"next day",IF(C631-I631&gt;0.4,"12h → 24h","")))))))))))</f>
        <v/>
      </c>
      <c r="H631" s="4" t="str">
        <f t="shared" si="54"/>
        <v/>
      </c>
      <c r="I631" s="5" t="str">
        <f t="shared" si="55"/>
        <v/>
      </c>
      <c r="J631" s="6">
        <f t="shared" si="56"/>
        <v>0</v>
      </c>
      <c r="K631" s="4" t="str">
        <f t="shared" si="57"/>
        <v/>
      </c>
      <c r="L631" s="4" t="str">
        <f t="shared" si="58"/>
        <v/>
      </c>
      <c r="M631" s="4" t="b" cm="1">
        <f t="array" ref="M631">IF(H631="",FALSE,SUMPRODUCT(--(H$1:H630=H631))&gt;0)</f>
        <v>0</v>
      </c>
      <c r="N631" s="36"/>
      <c r="P631" s="1" t="str">
        <f t="shared" si="59"/>
        <v/>
      </c>
    </row>
    <row r="632" spans="1:16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"&amp;L632,IF(AND(MAX(K$1:K631)&gt;0,N(K632)-MAX(K$1:K631)&gt;180),"⚠ Gap &gt; 3h",IF(_xlfn.LET(_xlpm.q,E632,_xlpm.tk,P632,_xlpm.ld,Log!$P$18,_xlpm.fx,IF(OR(_xlpm.ld="",_xlpm.ld="Full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"&amp;_xlpm.q,""))))&lt;&gt;"",IF(N632&lt;&gt;"","Load OK ✓ (checked)","⚠ "&amp;_xlfn.LET(_xlpm.q,E632,_xlpm.tk,P632,_xlpm.ld,Log!$P$18,_xlpm.fx,IF(OR(_xlpm.ld="",_xlpm.ld="Full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"&amp;_xlpm.q,""))))),IF(C632-I632&gt;=0.99,"next day",IF(C632-I632&gt;0.4,"12h → 24h","")))))))))))</f>
        <v/>
      </c>
      <c r="H632" s="4" t="str">
        <f t="shared" si="54"/>
        <v/>
      </c>
      <c r="I632" s="5" t="str">
        <f t="shared" si="55"/>
        <v/>
      </c>
      <c r="J632" s="6">
        <f t="shared" si="56"/>
        <v>0</v>
      </c>
      <c r="K632" s="4" t="str">
        <f t="shared" si="57"/>
        <v/>
      </c>
      <c r="L632" s="4" t="str">
        <f t="shared" si="58"/>
        <v/>
      </c>
      <c r="M632" s="4" t="b" cm="1">
        <f t="array" ref="M632">IF(H632="",FALSE,SUMPRODUCT(--(H$1:H631=H632))&gt;0)</f>
        <v>0</v>
      </c>
      <c r="N632" s="36"/>
      <c r="P632" s="1" t="str">
        <f t="shared" si="59"/>
        <v/>
      </c>
    </row>
    <row r="633" spans="1:16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"&amp;L633,IF(AND(MAX(K$1:K632)&gt;0,N(K633)-MAX(K$1:K632)&gt;180),"⚠ Gap &gt; 3h",IF(_xlfn.LET(_xlpm.q,E633,_xlpm.tk,P633,_xlpm.ld,Log!$P$18,_xlpm.fx,IF(OR(_xlpm.ld="",_xlpm.ld="Full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"&amp;_xlpm.q,""))))&lt;&gt;"",IF(N633&lt;&gt;"","Load OK ✓ (checked)","⚠ "&amp;_xlfn.LET(_xlpm.q,E633,_xlpm.tk,P633,_xlpm.ld,Log!$P$18,_xlpm.fx,IF(OR(_xlpm.ld="",_xlpm.ld="Full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"&amp;_xlpm.q,""))))),IF(C633-I633&gt;=0.99,"next day",IF(C633-I633&gt;0.4,"12h → 24h","")))))))))))</f>
        <v/>
      </c>
      <c r="H633" s="4" t="str">
        <f t="shared" si="54"/>
        <v/>
      </c>
      <c r="I633" s="5" t="str">
        <f t="shared" si="55"/>
        <v/>
      </c>
      <c r="J633" s="6">
        <f t="shared" si="56"/>
        <v>0</v>
      </c>
      <c r="K633" s="4" t="str">
        <f t="shared" si="57"/>
        <v/>
      </c>
      <c r="L633" s="4" t="str">
        <f t="shared" si="58"/>
        <v/>
      </c>
      <c r="M633" s="4" t="b" cm="1">
        <f t="array" ref="M633">IF(H633="",FALSE,SUMPRODUCT(--(H$1:H632=H633))&gt;0)</f>
        <v>0</v>
      </c>
      <c r="N633" s="36"/>
      <c r="P633" s="1" t="str">
        <f t="shared" si="59"/>
        <v/>
      </c>
    </row>
    <row r="634" spans="1:16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"&amp;L634,IF(AND(MAX(K$1:K633)&gt;0,N(K634)-MAX(K$1:K633)&gt;180),"⚠ Gap &gt; 3h",IF(_xlfn.LET(_xlpm.q,E634,_xlpm.tk,P634,_xlpm.ld,Log!$P$18,_xlpm.fx,IF(OR(_xlpm.ld="",_xlpm.ld="Full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"&amp;_xlpm.q,""))))&lt;&gt;"",IF(N634&lt;&gt;"","Load OK ✓ (checked)","⚠ "&amp;_xlfn.LET(_xlpm.q,E634,_xlpm.tk,P634,_xlpm.ld,Log!$P$18,_xlpm.fx,IF(OR(_xlpm.ld="",_xlpm.ld="Full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"&amp;_xlpm.q,""))))),IF(C634-I634&gt;=0.99,"next day",IF(C634-I634&gt;0.4,"12h → 24h","")))))))))))</f>
        <v/>
      </c>
      <c r="H634" s="4" t="str">
        <f t="shared" si="54"/>
        <v/>
      </c>
      <c r="I634" s="5" t="str">
        <f t="shared" si="55"/>
        <v/>
      </c>
      <c r="J634" s="6">
        <f t="shared" si="56"/>
        <v>0</v>
      </c>
      <c r="K634" s="4" t="str">
        <f t="shared" si="57"/>
        <v/>
      </c>
      <c r="L634" s="4" t="str">
        <f t="shared" si="58"/>
        <v/>
      </c>
      <c r="M634" s="4" t="b" cm="1">
        <f t="array" ref="M634">IF(H634="",FALSE,SUMPRODUCT(--(H$1:H633=H634))&gt;0)</f>
        <v>0</v>
      </c>
      <c r="N634" s="36"/>
      <c r="P634" s="1" t="str">
        <f t="shared" si="59"/>
        <v/>
      </c>
    </row>
    <row r="635" spans="1:16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"&amp;L635,IF(AND(MAX(K$1:K634)&gt;0,N(K635)-MAX(K$1:K634)&gt;180),"⚠ Gap &gt; 3h",IF(_xlfn.LET(_xlpm.q,E635,_xlpm.tk,P635,_xlpm.ld,Log!$P$18,_xlpm.fx,IF(OR(_xlpm.ld="",_xlpm.ld="Full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"&amp;_xlpm.q,""))))&lt;&gt;"",IF(N635&lt;&gt;"","Load OK ✓ (checked)","⚠ "&amp;_xlfn.LET(_xlpm.q,E635,_xlpm.tk,P635,_xlpm.ld,Log!$P$18,_xlpm.fx,IF(OR(_xlpm.ld="",_xlpm.ld="Full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"&amp;_xlpm.q,""))))),IF(C635-I635&gt;=0.99,"next day",IF(C635-I635&gt;0.4,"12h → 24h","")))))))))))</f>
        <v/>
      </c>
      <c r="H635" s="4" t="str">
        <f t="shared" si="54"/>
        <v/>
      </c>
      <c r="I635" s="5" t="str">
        <f t="shared" si="55"/>
        <v/>
      </c>
      <c r="J635" s="6">
        <f t="shared" si="56"/>
        <v>0</v>
      </c>
      <c r="K635" s="4" t="str">
        <f t="shared" si="57"/>
        <v/>
      </c>
      <c r="L635" s="4" t="str">
        <f t="shared" si="58"/>
        <v/>
      </c>
      <c r="M635" s="4" t="b" cm="1">
        <f t="array" ref="M635">IF(H635="",FALSE,SUMPRODUCT(--(H$1:H634=H635))&gt;0)</f>
        <v>0</v>
      </c>
      <c r="N635" s="36"/>
      <c r="P635" s="1" t="str">
        <f t="shared" si="59"/>
        <v/>
      </c>
    </row>
    <row r="636" spans="1:16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"&amp;L636,IF(AND(MAX(K$1:K635)&gt;0,N(K636)-MAX(K$1:K635)&gt;180),"⚠ Gap &gt; 3h",IF(_xlfn.LET(_xlpm.q,E636,_xlpm.tk,P636,_xlpm.ld,Log!$P$18,_xlpm.fx,IF(OR(_xlpm.ld="",_xlpm.ld="Full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"&amp;_xlpm.q,""))))&lt;&gt;"",IF(N636&lt;&gt;"","Load OK ✓ (checked)","⚠ "&amp;_xlfn.LET(_xlpm.q,E636,_xlpm.tk,P636,_xlpm.ld,Log!$P$18,_xlpm.fx,IF(OR(_xlpm.ld="",_xlpm.ld="Full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"&amp;_xlpm.q,""))))),IF(C636-I636&gt;=0.99,"next day",IF(C636-I636&gt;0.4,"12h → 24h","")))))))))))</f>
        <v/>
      </c>
      <c r="H636" s="4" t="str">
        <f t="shared" si="54"/>
        <v/>
      </c>
      <c r="I636" s="5" t="str">
        <f t="shared" si="55"/>
        <v/>
      </c>
      <c r="J636" s="6">
        <f t="shared" si="56"/>
        <v>0</v>
      </c>
      <c r="K636" s="4" t="str">
        <f t="shared" si="57"/>
        <v/>
      </c>
      <c r="L636" s="4" t="str">
        <f t="shared" si="58"/>
        <v/>
      </c>
      <c r="M636" s="4" t="b" cm="1">
        <f t="array" ref="M636">IF(H636="",FALSE,SUMPRODUCT(--(H$1:H635=H636))&gt;0)</f>
        <v>0</v>
      </c>
      <c r="N636" s="36"/>
      <c r="P636" s="1" t="str">
        <f t="shared" si="59"/>
        <v/>
      </c>
    </row>
    <row r="637" spans="1:16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"&amp;L637,IF(AND(MAX(K$1:K636)&gt;0,N(K637)-MAX(K$1:K636)&gt;180),"⚠ Gap &gt; 3h",IF(_xlfn.LET(_xlpm.q,E637,_xlpm.tk,P637,_xlpm.ld,Log!$P$18,_xlpm.fx,IF(OR(_xlpm.ld="",_xlpm.ld="Full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"&amp;_xlpm.q,""))))&lt;&gt;"",IF(N637&lt;&gt;"","Load OK ✓ (checked)","⚠ "&amp;_xlfn.LET(_xlpm.q,E637,_xlpm.tk,P637,_xlpm.ld,Log!$P$18,_xlpm.fx,IF(OR(_xlpm.ld="",_xlpm.ld="Full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"&amp;_xlpm.q,""))))),IF(C637-I637&gt;=0.99,"next day",IF(C637-I637&gt;0.4,"12h → 24h","")))))))))))</f>
        <v/>
      </c>
      <c r="H637" s="4" t="str">
        <f t="shared" si="54"/>
        <v/>
      </c>
      <c r="I637" s="5" t="str">
        <f t="shared" si="55"/>
        <v/>
      </c>
      <c r="J637" s="6">
        <f t="shared" si="56"/>
        <v>0</v>
      </c>
      <c r="K637" s="4" t="str">
        <f t="shared" si="57"/>
        <v/>
      </c>
      <c r="L637" s="4" t="str">
        <f t="shared" si="58"/>
        <v/>
      </c>
      <c r="M637" s="4" t="b" cm="1">
        <f t="array" ref="M637">IF(H637="",FALSE,SUMPRODUCT(--(H$1:H636=H637))&gt;0)</f>
        <v>0</v>
      </c>
      <c r="N637" s="36"/>
      <c r="P637" s="1" t="str">
        <f t="shared" si="59"/>
        <v/>
      </c>
    </row>
    <row r="638" spans="1:16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"&amp;L638,IF(AND(MAX(K$1:K637)&gt;0,N(K638)-MAX(K$1:K637)&gt;180),"⚠ Gap &gt; 3h",IF(_xlfn.LET(_xlpm.q,E638,_xlpm.tk,P638,_xlpm.ld,Log!$P$18,_xlpm.fx,IF(OR(_xlpm.ld="",_xlpm.ld="Full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"&amp;_xlpm.q,""))))&lt;&gt;"",IF(N638&lt;&gt;"","Load OK ✓ (checked)","⚠ "&amp;_xlfn.LET(_xlpm.q,E638,_xlpm.tk,P638,_xlpm.ld,Log!$P$18,_xlpm.fx,IF(OR(_xlpm.ld="",_xlpm.ld="Full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"&amp;_xlpm.q,""))))),IF(C638-I638&gt;=0.99,"next day",IF(C638-I638&gt;0.4,"12h → 24h","")))))))))))</f>
        <v/>
      </c>
      <c r="H638" s="4" t="str">
        <f t="shared" si="54"/>
        <v/>
      </c>
      <c r="I638" s="5" t="str">
        <f t="shared" si="55"/>
        <v/>
      </c>
      <c r="J638" s="6">
        <f t="shared" si="56"/>
        <v>0</v>
      </c>
      <c r="K638" s="4" t="str">
        <f t="shared" si="57"/>
        <v/>
      </c>
      <c r="L638" s="4" t="str">
        <f t="shared" si="58"/>
        <v/>
      </c>
      <c r="M638" s="4" t="b" cm="1">
        <f t="array" ref="M638">IF(H638="",FALSE,SUMPRODUCT(--(H$1:H637=H638))&gt;0)</f>
        <v>0</v>
      </c>
      <c r="N638" s="36"/>
      <c r="P638" s="1" t="str">
        <f t="shared" si="59"/>
        <v/>
      </c>
    </row>
    <row r="639" spans="1:16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"&amp;L639,IF(AND(MAX(K$1:K638)&gt;0,N(K639)-MAX(K$1:K638)&gt;180),"⚠ Gap &gt; 3h",IF(_xlfn.LET(_xlpm.q,E639,_xlpm.tk,P639,_xlpm.ld,Log!$P$18,_xlpm.fx,IF(OR(_xlpm.ld="",_xlpm.ld="Full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"&amp;_xlpm.q,""))))&lt;&gt;"",IF(N639&lt;&gt;"","Load OK ✓ (checked)","⚠ "&amp;_xlfn.LET(_xlpm.q,E639,_xlpm.tk,P639,_xlpm.ld,Log!$P$18,_xlpm.fx,IF(OR(_xlpm.ld="",_xlpm.ld="Full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"&amp;_xlpm.q,""))))),IF(C639-I639&gt;=0.99,"next day",IF(C639-I639&gt;0.4,"12h → 24h","")))))))))))</f>
        <v/>
      </c>
      <c r="H639" s="4" t="str">
        <f t="shared" si="54"/>
        <v/>
      </c>
      <c r="I639" s="5" t="str">
        <f t="shared" si="55"/>
        <v/>
      </c>
      <c r="J639" s="6">
        <f t="shared" si="56"/>
        <v>0</v>
      </c>
      <c r="K639" s="4" t="str">
        <f t="shared" si="57"/>
        <v/>
      </c>
      <c r="L639" s="4" t="str">
        <f t="shared" si="58"/>
        <v/>
      </c>
      <c r="M639" s="4" t="b" cm="1">
        <f t="array" ref="M639">IF(H639="",FALSE,SUMPRODUCT(--(H$1:H638=H639))&gt;0)</f>
        <v>0</v>
      </c>
      <c r="N639" s="36"/>
      <c r="P639" s="1" t="str">
        <f t="shared" si="59"/>
        <v/>
      </c>
    </row>
    <row r="640" spans="1:16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"&amp;L640,IF(AND(MAX(K$1:K639)&gt;0,N(K640)-MAX(K$1:K639)&gt;180),"⚠ Gap &gt; 3h",IF(_xlfn.LET(_xlpm.q,E640,_xlpm.tk,P640,_xlpm.ld,Log!$P$18,_xlpm.fx,IF(OR(_xlpm.ld="",_xlpm.ld="Full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"&amp;_xlpm.q,""))))&lt;&gt;"",IF(N640&lt;&gt;"","Load OK ✓ (checked)","⚠ "&amp;_xlfn.LET(_xlpm.q,E640,_xlpm.tk,P640,_xlpm.ld,Log!$P$18,_xlpm.fx,IF(OR(_xlpm.ld="",_xlpm.ld="Full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"&amp;_xlpm.q,""))))),IF(C640-I640&gt;=0.99,"next day",IF(C640-I640&gt;0.4,"12h → 24h","")))))))))))</f>
        <v/>
      </c>
      <c r="H640" s="4" t="str">
        <f t="shared" si="54"/>
        <v/>
      </c>
      <c r="I640" s="5" t="str">
        <f t="shared" si="55"/>
        <v/>
      </c>
      <c r="J640" s="6">
        <f t="shared" si="56"/>
        <v>0</v>
      </c>
      <c r="K640" s="4" t="str">
        <f t="shared" si="57"/>
        <v/>
      </c>
      <c r="L640" s="4" t="str">
        <f t="shared" si="58"/>
        <v/>
      </c>
      <c r="M640" s="4" t="b" cm="1">
        <f t="array" ref="M640">IF(H640="",FALSE,SUMPRODUCT(--(H$1:H639=H640))&gt;0)</f>
        <v>0</v>
      </c>
      <c r="N640" s="36"/>
      <c r="P640" s="1" t="str">
        <f t="shared" si="59"/>
        <v/>
      </c>
    </row>
    <row r="641" spans="1:16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"&amp;L641,IF(AND(MAX(K$1:K640)&gt;0,N(K641)-MAX(K$1:K640)&gt;180),"⚠ Gap &gt; 3h",IF(_xlfn.LET(_xlpm.q,E641,_xlpm.tk,P641,_xlpm.ld,Log!$P$18,_xlpm.fx,IF(OR(_xlpm.ld="",_xlpm.ld="Full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"&amp;_xlpm.q,""))))&lt;&gt;"",IF(N641&lt;&gt;"","Load OK ✓ (checked)","⚠ "&amp;_xlfn.LET(_xlpm.q,E641,_xlpm.tk,P641,_xlpm.ld,Log!$P$18,_xlpm.fx,IF(OR(_xlpm.ld="",_xlpm.ld="Full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"&amp;_xlpm.q,""))))),IF(C641-I641&gt;=0.99,"next day",IF(C641-I641&gt;0.4,"12h → 24h","")))))))))))</f>
        <v/>
      </c>
      <c r="H641" s="4" t="str">
        <f t="shared" si="54"/>
        <v/>
      </c>
      <c r="I641" s="5" t="str">
        <f t="shared" si="55"/>
        <v/>
      </c>
      <c r="J641" s="6">
        <f t="shared" si="56"/>
        <v>0</v>
      </c>
      <c r="K641" s="4" t="str">
        <f t="shared" si="57"/>
        <v/>
      </c>
      <c r="L641" s="4" t="str">
        <f t="shared" si="58"/>
        <v/>
      </c>
      <c r="M641" s="4" t="b" cm="1">
        <f t="array" ref="M641">IF(H641="",FALSE,SUMPRODUCT(--(H$1:H640=H641))&gt;0)</f>
        <v>0</v>
      </c>
      <c r="N641" s="36"/>
      <c r="P641" s="1" t="str">
        <f t="shared" si="59"/>
        <v/>
      </c>
    </row>
    <row r="642" spans="1:16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"&amp;L642,IF(AND(MAX(K$1:K641)&gt;0,N(K642)-MAX(K$1:K641)&gt;180),"⚠ Gap &gt; 3h",IF(_xlfn.LET(_xlpm.q,E642,_xlpm.tk,P642,_xlpm.ld,Log!$P$18,_xlpm.fx,IF(OR(_xlpm.ld="",_xlpm.ld="Full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"&amp;_xlpm.q,""))))&lt;&gt;"",IF(N642&lt;&gt;"","Load OK ✓ (checked)","⚠ "&amp;_xlfn.LET(_xlpm.q,E642,_xlpm.tk,P642,_xlpm.ld,Log!$P$18,_xlpm.fx,IF(OR(_xlpm.ld="",_xlpm.ld="Full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"&amp;_xlpm.q,""))))),IF(C642-I642&gt;=0.99,"next day",IF(C642-I642&gt;0.4,"12h → 24h","")))))))))))</f>
        <v/>
      </c>
      <c r="H642" s="4" t="str">
        <f t="shared" ref="H642:H705" si="60">IF(B642="","",_xlfn.LET(_xlpm.t,TRIM(B642),IF(LEFT(_xlpm.t,1)="[",IFERROR(TRIM(MID(_xlpm.t,FIND(": ",_xlpm.t,FIND("]",_xlpm.t))+2,500)),_xlpm.t),_xlpm.t)))</f>
        <v/>
      </c>
      <c r="I642" s="5" t="str">
        <f t="shared" ref="I642:I705" si="61">IF(H642="","",IFERROR(TIMEVALUE(TRIM(SUBSTITUTE(SUBSTITUTE(MID(H642,SEARCH(":",H642)-2,5),".",""),"*",""))),""))</f>
        <v/>
      </c>
      <c r="J642" s="6">
        <f t="shared" ref="J642:J705" si="62">IF(OR(B642="",F642="",M642),0,IF(ISNUMBER(F642),F642,N(E642)))</f>
        <v>0</v>
      </c>
      <c r="K642" s="4" t="str">
        <f t="shared" ref="K642:K705" si="63">IF(OR(C642="",M642),"",ROUND(C642*1440,0))</f>
        <v/>
      </c>
      <c r="L642" s="4" t="str">
        <f t="shared" ref="L642:L705" si="6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  <c r="N642" s="36"/>
      <c r="P642" s="1" t="str">
        <f t="shared" ref="P642:P705" si="65">IF(OR(H642="",NOT(ISNUMBER(L642))),"",IFERROR(_xlfn.LET(_xlpm.t,TRIM(SUBSTITUTE(SUBSTITUTE(SUBSTITUTE(H642,"*",""),"_",""),"."," ")),_xlpm.s,TRIM(MID(SUBSTITUTE(_xlpm.t," ",REPT(" ",100)),101,100)),IF(AND(LEN(_xlpm.s)=3,ISNUMBER(--_xlpm.s)),--_xlpm.s,"")),""))</f>
        <v/>
      </c>
    </row>
    <row r="643" spans="1:16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"&amp;L643,IF(AND(MAX(K$1:K642)&gt;0,N(K643)-MAX(K$1:K642)&gt;180),"⚠ Gap &gt; 3h",IF(_xlfn.LET(_xlpm.q,E643,_xlpm.tk,P643,_xlpm.ld,Log!$P$18,_xlpm.fx,IF(OR(_xlpm.ld="",_xlpm.ld="Full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"&amp;_xlpm.q,""))))&lt;&gt;"",IF(N643&lt;&gt;"","Load OK ✓ (checked)","⚠ "&amp;_xlfn.LET(_xlpm.q,E643,_xlpm.tk,P643,_xlpm.ld,Log!$P$18,_xlpm.fx,IF(OR(_xlpm.ld="",_xlpm.ld="Full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"&amp;_xlpm.q,""))))),IF(C643-I643&gt;=0.99,"next day",IF(C643-I643&gt;0.4,"12h → 24h","")))))))))))</f>
        <v/>
      </c>
      <c r="H643" s="4" t="str">
        <f t="shared" si="60"/>
        <v/>
      </c>
      <c r="I643" s="5" t="str">
        <f t="shared" si="61"/>
        <v/>
      </c>
      <c r="J643" s="6">
        <f t="shared" si="62"/>
        <v>0</v>
      </c>
      <c r="K643" s="4" t="str">
        <f t="shared" si="63"/>
        <v/>
      </c>
      <c r="L643" s="4" t="str">
        <f t="shared" si="64"/>
        <v/>
      </c>
      <c r="M643" s="4" t="b" cm="1">
        <f t="array" ref="M643">IF(H643="",FALSE,SUMPRODUCT(--(H$1:H642=H643))&gt;0)</f>
        <v>0</v>
      </c>
      <c r="N643" s="36"/>
      <c r="P643" s="1" t="str">
        <f t="shared" si="65"/>
        <v/>
      </c>
    </row>
    <row r="644" spans="1:16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"&amp;L644,IF(AND(MAX(K$1:K643)&gt;0,N(K644)-MAX(K$1:K643)&gt;180),"⚠ Gap &gt; 3h",IF(_xlfn.LET(_xlpm.q,E644,_xlpm.tk,P644,_xlpm.ld,Log!$P$18,_xlpm.fx,IF(OR(_xlpm.ld="",_xlpm.ld="Full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"&amp;_xlpm.q,""))))&lt;&gt;"",IF(N644&lt;&gt;"","Load OK ✓ (checked)","⚠ "&amp;_xlfn.LET(_xlpm.q,E644,_xlpm.tk,P644,_xlpm.ld,Log!$P$18,_xlpm.fx,IF(OR(_xlpm.ld="",_xlpm.ld="Full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"&amp;_xlpm.q,""))))),IF(C644-I644&gt;=0.99,"next day",IF(C644-I644&gt;0.4,"12h → 24h","")))))))))))</f>
        <v/>
      </c>
      <c r="H644" s="4" t="str">
        <f t="shared" si="60"/>
        <v/>
      </c>
      <c r="I644" s="5" t="str">
        <f t="shared" si="61"/>
        <v/>
      </c>
      <c r="J644" s="6">
        <f t="shared" si="62"/>
        <v>0</v>
      </c>
      <c r="K644" s="4" t="str">
        <f t="shared" si="63"/>
        <v/>
      </c>
      <c r="L644" s="4" t="str">
        <f t="shared" si="64"/>
        <v/>
      </c>
      <c r="M644" s="4" t="b" cm="1">
        <f t="array" ref="M644">IF(H644="",FALSE,SUMPRODUCT(--(H$1:H643=H644))&gt;0)</f>
        <v>0</v>
      </c>
      <c r="N644" s="36"/>
      <c r="P644" s="1" t="str">
        <f t="shared" si="65"/>
        <v/>
      </c>
    </row>
    <row r="645" spans="1:16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"&amp;L645,IF(AND(MAX(K$1:K644)&gt;0,N(K645)-MAX(K$1:K644)&gt;180),"⚠ Gap &gt; 3h",IF(_xlfn.LET(_xlpm.q,E645,_xlpm.tk,P645,_xlpm.ld,Log!$P$18,_xlpm.fx,IF(OR(_xlpm.ld="",_xlpm.ld="Full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"&amp;_xlpm.q,""))))&lt;&gt;"",IF(N645&lt;&gt;"","Load OK ✓ (checked)","⚠ "&amp;_xlfn.LET(_xlpm.q,E645,_xlpm.tk,P645,_xlpm.ld,Log!$P$18,_xlpm.fx,IF(OR(_xlpm.ld="",_xlpm.ld="Full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"&amp;_xlpm.q,""))))),IF(C645-I645&gt;=0.99,"next day",IF(C645-I645&gt;0.4,"12h → 24h","")))))))))))</f>
        <v/>
      </c>
      <c r="H645" s="4" t="str">
        <f t="shared" si="60"/>
        <v/>
      </c>
      <c r="I645" s="5" t="str">
        <f t="shared" si="61"/>
        <v/>
      </c>
      <c r="J645" s="6">
        <f t="shared" si="62"/>
        <v>0</v>
      </c>
      <c r="K645" s="4" t="str">
        <f t="shared" si="63"/>
        <v/>
      </c>
      <c r="L645" s="4" t="str">
        <f t="shared" si="64"/>
        <v/>
      </c>
      <c r="M645" s="4" t="b" cm="1">
        <f t="array" ref="M645">IF(H645="",FALSE,SUMPRODUCT(--(H$1:H644=H645))&gt;0)</f>
        <v>0</v>
      </c>
      <c r="N645" s="36"/>
      <c r="P645" s="1" t="str">
        <f t="shared" si="65"/>
        <v/>
      </c>
    </row>
    <row r="646" spans="1:16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"&amp;L646,IF(AND(MAX(K$1:K645)&gt;0,N(K646)-MAX(K$1:K645)&gt;180),"⚠ Gap &gt; 3h",IF(_xlfn.LET(_xlpm.q,E646,_xlpm.tk,P646,_xlpm.ld,Log!$P$18,_xlpm.fx,IF(OR(_xlpm.ld="",_xlpm.ld="Full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"&amp;_xlpm.q,""))))&lt;&gt;"",IF(N646&lt;&gt;"","Load OK ✓ (checked)","⚠ "&amp;_xlfn.LET(_xlpm.q,E646,_xlpm.tk,P646,_xlpm.ld,Log!$P$18,_xlpm.fx,IF(OR(_xlpm.ld="",_xlpm.ld="Full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"&amp;_xlpm.q,""))))),IF(C646-I646&gt;=0.99,"next day",IF(C646-I646&gt;0.4,"12h → 24h","")))))))))))</f>
        <v/>
      </c>
      <c r="H646" s="4" t="str">
        <f t="shared" si="60"/>
        <v/>
      </c>
      <c r="I646" s="5" t="str">
        <f t="shared" si="61"/>
        <v/>
      </c>
      <c r="J646" s="6">
        <f t="shared" si="62"/>
        <v>0</v>
      </c>
      <c r="K646" s="4" t="str">
        <f t="shared" si="63"/>
        <v/>
      </c>
      <c r="L646" s="4" t="str">
        <f t="shared" si="64"/>
        <v/>
      </c>
      <c r="M646" s="4" t="b" cm="1">
        <f t="array" ref="M646">IF(H646="",FALSE,SUMPRODUCT(--(H$1:H645=H646))&gt;0)</f>
        <v>0</v>
      </c>
      <c r="N646" s="36"/>
      <c r="P646" s="1" t="str">
        <f t="shared" si="65"/>
        <v/>
      </c>
    </row>
    <row r="647" spans="1:16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"&amp;L647,IF(AND(MAX(K$1:K646)&gt;0,N(K647)-MAX(K$1:K646)&gt;180),"⚠ Gap &gt; 3h",IF(_xlfn.LET(_xlpm.q,E647,_xlpm.tk,P647,_xlpm.ld,Log!$P$18,_xlpm.fx,IF(OR(_xlpm.ld="",_xlpm.ld="Full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"&amp;_xlpm.q,""))))&lt;&gt;"",IF(N647&lt;&gt;"","Load OK ✓ (checked)","⚠ "&amp;_xlfn.LET(_xlpm.q,E647,_xlpm.tk,P647,_xlpm.ld,Log!$P$18,_xlpm.fx,IF(OR(_xlpm.ld="",_xlpm.ld="Full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"&amp;_xlpm.q,""))))),IF(C647-I647&gt;=0.99,"next day",IF(C647-I647&gt;0.4,"12h → 24h","")))))))))))</f>
        <v/>
      </c>
      <c r="H647" s="4" t="str">
        <f t="shared" si="60"/>
        <v/>
      </c>
      <c r="I647" s="5" t="str">
        <f t="shared" si="61"/>
        <v/>
      </c>
      <c r="J647" s="6">
        <f t="shared" si="62"/>
        <v>0</v>
      </c>
      <c r="K647" s="4" t="str">
        <f t="shared" si="63"/>
        <v/>
      </c>
      <c r="L647" s="4" t="str">
        <f t="shared" si="64"/>
        <v/>
      </c>
      <c r="M647" s="4" t="b" cm="1">
        <f t="array" ref="M647">IF(H647="",FALSE,SUMPRODUCT(--(H$1:H646=H647))&gt;0)</f>
        <v>0</v>
      </c>
      <c r="N647" s="36"/>
      <c r="P647" s="1" t="str">
        <f t="shared" si="65"/>
        <v/>
      </c>
    </row>
    <row r="648" spans="1:16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"&amp;L648,IF(AND(MAX(K$1:K647)&gt;0,N(K648)-MAX(K$1:K647)&gt;180),"⚠ Gap &gt; 3h",IF(_xlfn.LET(_xlpm.q,E648,_xlpm.tk,P648,_xlpm.ld,Log!$P$18,_xlpm.fx,IF(OR(_xlpm.ld="",_xlpm.ld="Full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"&amp;_xlpm.q,""))))&lt;&gt;"",IF(N648&lt;&gt;"","Load OK ✓ (checked)","⚠ "&amp;_xlfn.LET(_xlpm.q,E648,_xlpm.tk,P648,_xlpm.ld,Log!$P$18,_xlpm.fx,IF(OR(_xlpm.ld="",_xlpm.ld="Full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"&amp;_xlpm.q,""))))),IF(C648-I648&gt;=0.99,"next day",IF(C648-I648&gt;0.4,"12h → 24h","")))))))))))</f>
        <v/>
      </c>
      <c r="H648" s="4" t="str">
        <f t="shared" si="60"/>
        <v/>
      </c>
      <c r="I648" s="5" t="str">
        <f t="shared" si="61"/>
        <v/>
      </c>
      <c r="J648" s="6">
        <f t="shared" si="62"/>
        <v>0</v>
      </c>
      <c r="K648" s="4" t="str">
        <f t="shared" si="63"/>
        <v/>
      </c>
      <c r="L648" s="4" t="str">
        <f t="shared" si="64"/>
        <v/>
      </c>
      <c r="M648" s="4" t="b" cm="1">
        <f t="array" ref="M648">IF(H648="",FALSE,SUMPRODUCT(--(H$1:H647=H648))&gt;0)</f>
        <v>0</v>
      </c>
      <c r="N648" s="36"/>
      <c r="P648" s="1" t="str">
        <f t="shared" si="65"/>
        <v/>
      </c>
    </row>
    <row r="649" spans="1:16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"&amp;L649,IF(AND(MAX(K$1:K648)&gt;0,N(K649)-MAX(K$1:K648)&gt;180),"⚠ Gap &gt; 3h",IF(_xlfn.LET(_xlpm.q,E649,_xlpm.tk,P649,_xlpm.ld,Log!$P$18,_xlpm.fx,IF(OR(_xlpm.ld="",_xlpm.ld="Full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"&amp;_xlpm.q,""))))&lt;&gt;"",IF(N649&lt;&gt;"","Load OK ✓ (checked)","⚠ "&amp;_xlfn.LET(_xlpm.q,E649,_xlpm.tk,P649,_xlpm.ld,Log!$P$18,_xlpm.fx,IF(OR(_xlpm.ld="",_xlpm.ld="Full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"&amp;_xlpm.q,""))))),IF(C649-I649&gt;=0.99,"next day",IF(C649-I649&gt;0.4,"12h → 24h","")))))))))))</f>
        <v/>
      </c>
      <c r="H649" s="4" t="str">
        <f t="shared" si="60"/>
        <v/>
      </c>
      <c r="I649" s="5" t="str">
        <f t="shared" si="61"/>
        <v/>
      </c>
      <c r="J649" s="6">
        <f t="shared" si="62"/>
        <v>0</v>
      </c>
      <c r="K649" s="4" t="str">
        <f t="shared" si="63"/>
        <v/>
      </c>
      <c r="L649" s="4" t="str">
        <f t="shared" si="64"/>
        <v/>
      </c>
      <c r="M649" s="4" t="b" cm="1">
        <f t="array" ref="M649">IF(H649="",FALSE,SUMPRODUCT(--(H$1:H648=H649))&gt;0)</f>
        <v>0</v>
      </c>
      <c r="N649" s="36"/>
      <c r="P649" s="1" t="str">
        <f t="shared" si="65"/>
        <v/>
      </c>
    </row>
    <row r="650" spans="1:16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"&amp;L650,IF(AND(MAX(K$1:K649)&gt;0,N(K650)-MAX(K$1:K649)&gt;180),"⚠ Gap &gt; 3h",IF(_xlfn.LET(_xlpm.q,E650,_xlpm.tk,P650,_xlpm.ld,Log!$P$18,_xlpm.fx,IF(OR(_xlpm.ld="",_xlpm.ld="Full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"&amp;_xlpm.q,""))))&lt;&gt;"",IF(N650&lt;&gt;"","Load OK ✓ (checked)","⚠ "&amp;_xlfn.LET(_xlpm.q,E650,_xlpm.tk,P650,_xlpm.ld,Log!$P$18,_xlpm.fx,IF(OR(_xlpm.ld="",_xlpm.ld="Full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"&amp;_xlpm.q,""))))),IF(C650-I650&gt;=0.99,"next day",IF(C650-I650&gt;0.4,"12h → 24h","")))))))))))</f>
        <v/>
      </c>
      <c r="H650" s="4" t="str">
        <f t="shared" si="60"/>
        <v/>
      </c>
      <c r="I650" s="5" t="str">
        <f t="shared" si="61"/>
        <v/>
      </c>
      <c r="J650" s="6">
        <f t="shared" si="62"/>
        <v>0</v>
      </c>
      <c r="K650" s="4" t="str">
        <f t="shared" si="63"/>
        <v/>
      </c>
      <c r="L650" s="4" t="str">
        <f t="shared" si="64"/>
        <v/>
      </c>
      <c r="M650" s="4" t="b" cm="1">
        <f t="array" ref="M650">IF(H650="",FALSE,SUMPRODUCT(--(H$1:H649=H650))&gt;0)</f>
        <v>0</v>
      </c>
      <c r="N650" s="36"/>
      <c r="P650" s="1" t="str">
        <f t="shared" si="65"/>
        <v/>
      </c>
    </row>
    <row r="651" spans="1:16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"&amp;L651,IF(AND(MAX(K$1:K650)&gt;0,N(K651)-MAX(K$1:K650)&gt;180),"⚠ Gap &gt; 3h",IF(_xlfn.LET(_xlpm.q,E651,_xlpm.tk,P651,_xlpm.ld,Log!$P$18,_xlpm.fx,IF(OR(_xlpm.ld="",_xlpm.ld="Full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"&amp;_xlpm.q,""))))&lt;&gt;"",IF(N651&lt;&gt;"","Load OK ✓ (checked)","⚠ "&amp;_xlfn.LET(_xlpm.q,E651,_xlpm.tk,P651,_xlpm.ld,Log!$P$18,_xlpm.fx,IF(OR(_xlpm.ld="",_xlpm.ld="Full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"&amp;_xlpm.q,""))))),IF(C651-I651&gt;=0.99,"next day",IF(C651-I651&gt;0.4,"12h → 24h","")))))))))))</f>
        <v/>
      </c>
      <c r="H651" s="4" t="str">
        <f t="shared" si="60"/>
        <v/>
      </c>
      <c r="I651" s="5" t="str">
        <f t="shared" si="61"/>
        <v/>
      </c>
      <c r="J651" s="6">
        <f t="shared" si="62"/>
        <v>0</v>
      </c>
      <c r="K651" s="4" t="str">
        <f t="shared" si="63"/>
        <v/>
      </c>
      <c r="L651" s="4" t="str">
        <f t="shared" si="64"/>
        <v/>
      </c>
      <c r="M651" s="4" t="b" cm="1">
        <f t="array" ref="M651">IF(H651="",FALSE,SUMPRODUCT(--(H$1:H650=H651))&gt;0)</f>
        <v>0</v>
      </c>
      <c r="N651" s="36"/>
      <c r="P651" s="1" t="str">
        <f t="shared" si="65"/>
        <v/>
      </c>
    </row>
    <row r="652" spans="1:16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"&amp;L652,IF(AND(MAX(K$1:K651)&gt;0,N(K652)-MAX(K$1:K651)&gt;180),"⚠ Gap &gt; 3h",IF(_xlfn.LET(_xlpm.q,E652,_xlpm.tk,P652,_xlpm.ld,Log!$P$18,_xlpm.fx,IF(OR(_xlpm.ld="",_xlpm.ld="Full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"&amp;_xlpm.q,""))))&lt;&gt;"",IF(N652&lt;&gt;"","Load OK ✓ (checked)","⚠ "&amp;_xlfn.LET(_xlpm.q,E652,_xlpm.tk,P652,_xlpm.ld,Log!$P$18,_xlpm.fx,IF(OR(_xlpm.ld="",_xlpm.ld="Full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"&amp;_xlpm.q,""))))),IF(C652-I652&gt;=0.99,"next day",IF(C652-I652&gt;0.4,"12h → 24h","")))))))))))</f>
        <v/>
      </c>
      <c r="H652" s="4" t="str">
        <f t="shared" si="60"/>
        <v/>
      </c>
      <c r="I652" s="5" t="str">
        <f t="shared" si="61"/>
        <v/>
      </c>
      <c r="J652" s="6">
        <f t="shared" si="62"/>
        <v>0</v>
      </c>
      <c r="K652" s="4" t="str">
        <f t="shared" si="63"/>
        <v/>
      </c>
      <c r="L652" s="4" t="str">
        <f t="shared" si="64"/>
        <v/>
      </c>
      <c r="M652" s="4" t="b" cm="1">
        <f t="array" ref="M652">IF(H652="",FALSE,SUMPRODUCT(--(H$1:H651=H652))&gt;0)</f>
        <v>0</v>
      </c>
      <c r="N652" s="36"/>
      <c r="P652" s="1" t="str">
        <f t="shared" si="65"/>
        <v/>
      </c>
    </row>
    <row r="653" spans="1:16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"&amp;L653,IF(AND(MAX(K$1:K652)&gt;0,N(K653)-MAX(K$1:K652)&gt;180),"⚠ Gap &gt; 3h",IF(_xlfn.LET(_xlpm.q,E653,_xlpm.tk,P653,_xlpm.ld,Log!$P$18,_xlpm.fx,IF(OR(_xlpm.ld="",_xlpm.ld="Full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"&amp;_xlpm.q,""))))&lt;&gt;"",IF(N653&lt;&gt;"","Load OK ✓ (checked)","⚠ "&amp;_xlfn.LET(_xlpm.q,E653,_xlpm.tk,P653,_xlpm.ld,Log!$P$18,_xlpm.fx,IF(OR(_xlpm.ld="",_xlpm.ld="Full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"&amp;_xlpm.q,""))))),IF(C653-I653&gt;=0.99,"next day",IF(C653-I653&gt;0.4,"12h → 24h","")))))))))))</f>
        <v/>
      </c>
      <c r="H653" s="4" t="str">
        <f t="shared" si="60"/>
        <v/>
      </c>
      <c r="I653" s="5" t="str">
        <f t="shared" si="61"/>
        <v/>
      </c>
      <c r="J653" s="6">
        <f t="shared" si="62"/>
        <v>0</v>
      </c>
      <c r="K653" s="4" t="str">
        <f t="shared" si="63"/>
        <v/>
      </c>
      <c r="L653" s="4" t="str">
        <f t="shared" si="64"/>
        <v/>
      </c>
      <c r="M653" s="4" t="b" cm="1">
        <f t="array" ref="M653">IF(H653="",FALSE,SUMPRODUCT(--(H$1:H652=H653))&gt;0)</f>
        <v>0</v>
      </c>
      <c r="N653" s="36"/>
      <c r="P653" s="1" t="str">
        <f t="shared" si="65"/>
        <v/>
      </c>
    </row>
    <row r="654" spans="1:16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"&amp;L654,IF(AND(MAX(K$1:K653)&gt;0,N(K654)-MAX(K$1:K653)&gt;180),"⚠ Gap &gt; 3h",IF(_xlfn.LET(_xlpm.q,E654,_xlpm.tk,P654,_xlpm.ld,Log!$P$18,_xlpm.fx,IF(OR(_xlpm.ld="",_xlpm.ld="Full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"&amp;_xlpm.q,""))))&lt;&gt;"",IF(N654&lt;&gt;"","Load OK ✓ (checked)","⚠ "&amp;_xlfn.LET(_xlpm.q,E654,_xlpm.tk,P654,_xlpm.ld,Log!$P$18,_xlpm.fx,IF(OR(_xlpm.ld="",_xlpm.ld="Full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"&amp;_xlpm.q,""))))),IF(C654-I654&gt;=0.99,"next day",IF(C654-I654&gt;0.4,"12h → 24h","")))))))))))</f>
        <v/>
      </c>
      <c r="H654" s="4" t="str">
        <f t="shared" si="60"/>
        <v/>
      </c>
      <c r="I654" s="5" t="str">
        <f t="shared" si="61"/>
        <v/>
      </c>
      <c r="J654" s="6">
        <f t="shared" si="62"/>
        <v>0</v>
      </c>
      <c r="K654" s="4" t="str">
        <f t="shared" si="63"/>
        <v/>
      </c>
      <c r="L654" s="4" t="str">
        <f t="shared" si="64"/>
        <v/>
      </c>
      <c r="M654" s="4" t="b" cm="1">
        <f t="array" ref="M654">IF(H654="",FALSE,SUMPRODUCT(--(H$1:H653=H654))&gt;0)</f>
        <v>0</v>
      </c>
      <c r="N654" s="36"/>
      <c r="P654" s="1" t="str">
        <f t="shared" si="65"/>
        <v/>
      </c>
    </row>
    <row r="655" spans="1:16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"&amp;L655,IF(AND(MAX(K$1:K654)&gt;0,N(K655)-MAX(K$1:K654)&gt;180),"⚠ Gap &gt; 3h",IF(_xlfn.LET(_xlpm.q,E655,_xlpm.tk,P655,_xlpm.ld,Log!$P$18,_xlpm.fx,IF(OR(_xlpm.ld="",_xlpm.ld="Full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"&amp;_xlpm.q,""))))&lt;&gt;"",IF(N655&lt;&gt;"","Load OK ✓ (checked)","⚠ "&amp;_xlfn.LET(_xlpm.q,E655,_xlpm.tk,P655,_xlpm.ld,Log!$P$18,_xlpm.fx,IF(OR(_xlpm.ld="",_xlpm.ld="Full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"&amp;_xlpm.q,""))))),IF(C655-I655&gt;=0.99,"next day",IF(C655-I655&gt;0.4,"12h → 24h","")))))))))))</f>
        <v/>
      </c>
      <c r="H655" s="4" t="str">
        <f t="shared" si="60"/>
        <v/>
      </c>
      <c r="I655" s="5" t="str">
        <f t="shared" si="61"/>
        <v/>
      </c>
      <c r="J655" s="6">
        <f t="shared" si="62"/>
        <v>0</v>
      </c>
      <c r="K655" s="4" t="str">
        <f t="shared" si="63"/>
        <v/>
      </c>
      <c r="L655" s="4" t="str">
        <f t="shared" si="64"/>
        <v/>
      </c>
      <c r="M655" s="4" t="b" cm="1">
        <f t="array" ref="M655">IF(H655="",FALSE,SUMPRODUCT(--(H$1:H654=H655))&gt;0)</f>
        <v>0</v>
      </c>
      <c r="N655" s="36"/>
      <c r="P655" s="1" t="str">
        <f t="shared" si="65"/>
        <v/>
      </c>
    </row>
    <row r="656" spans="1:16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"&amp;L656,IF(AND(MAX(K$1:K655)&gt;0,N(K656)-MAX(K$1:K655)&gt;180),"⚠ Gap &gt; 3h",IF(_xlfn.LET(_xlpm.q,E656,_xlpm.tk,P656,_xlpm.ld,Log!$P$18,_xlpm.fx,IF(OR(_xlpm.ld="",_xlpm.ld="Full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"&amp;_xlpm.q,""))))&lt;&gt;"",IF(N656&lt;&gt;"","Load OK ✓ (checked)","⚠ "&amp;_xlfn.LET(_xlpm.q,E656,_xlpm.tk,P656,_xlpm.ld,Log!$P$18,_xlpm.fx,IF(OR(_xlpm.ld="",_xlpm.ld="Full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"&amp;_xlpm.q,""))))),IF(C656-I656&gt;=0.99,"next day",IF(C656-I656&gt;0.4,"12h → 24h","")))))))))))</f>
        <v/>
      </c>
      <c r="H656" s="4" t="str">
        <f t="shared" si="60"/>
        <v/>
      </c>
      <c r="I656" s="5" t="str">
        <f t="shared" si="61"/>
        <v/>
      </c>
      <c r="J656" s="6">
        <f t="shared" si="62"/>
        <v>0</v>
      </c>
      <c r="K656" s="4" t="str">
        <f t="shared" si="63"/>
        <v/>
      </c>
      <c r="L656" s="4" t="str">
        <f t="shared" si="64"/>
        <v/>
      </c>
      <c r="M656" s="4" t="b" cm="1">
        <f t="array" ref="M656">IF(H656="",FALSE,SUMPRODUCT(--(H$1:H655=H656))&gt;0)</f>
        <v>0</v>
      </c>
      <c r="N656" s="36"/>
      <c r="P656" s="1" t="str">
        <f t="shared" si="65"/>
        <v/>
      </c>
    </row>
    <row r="657" spans="1:16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"&amp;L657,IF(AND(MAX(K$1:K656)&gt;0,N(K657)-MAX(K$1:K656)&gt;180),"⚠ Gap &gt; 3h",IF(_xlfn.LET(_xlpm.q,E657,_xlpm.tk,P657,_xlpm.ld,Log!$P$18,_xlpm.fx,IF(OR(_xlpm.ld="",_xlpm.ld="Full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"&amp;_xlpm.q,""))))&lt;&gt;"",IF(N657&lt;&gt;"","Load OK ✓ (checked)","⚠ "&amp;_xlfn.LET(_xlpm.q,E657,_xlpm.tk,P657,_xlpm.ld,Log!$P$18,_xlpm.fx,IF(OR(_xlpm.ld="",_xlpm.ld="Full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"&amp;_xlpm.q,""))))),IF(C657-I657&gt;=0.99,"next day",IF(C657-I657&gt;0.4,"12h → 24h","")))))))))))</f>
        <v/>
      </c>
      <c r="H657" s="4" t="str">
        <f t="shared" si="60"/>
        <v/>
      </c>
      <c r="I657" s="5" t="str">
        <f t="shared" si="61"/>
        <v/>
      </c>
      <c r="J657" s="6">
        <f t="shared" si="62"/>
        <v>0</v>
      </c>
      <c r="K657" s="4" t="str">
        <f t="shared" si="63"/>
        <v/>
      </c>
      <c r="L657" s="4" t="str">
        <f t="shared" si="64"/>
        <v/>
      </c>
      <c r="M657" s="4" t="b" cm="1">
        <f t="array" ref="M657">IF(H657="",FALSE,SUMPRODUCT(--(H$1:H656=H657))&gt;0)</f>
        <v>0</v>
      </c>
      <c r="N657" s="36"/>
      <c r="P657" s="1" t="str">
        <f t="shared" si="65"/>
        <v/>
      </c>
    </row>
    <row r="658" spans="1:16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"&amp;L658,IF(AND(MAX(K$1:K657)&gt;0,N(K658)-MAX(K$1:K657)&gt;180),"⚠ Gap &gt; 3h",IF(_xlfn.LET(_xlpm.q,E658,_xlpm.tk,P658,_xlpm.ld,Log!$P$18,_xlpm.fx,IF(OR(_xlpm.ld="",_xlpm.ld="Full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"&amp;_xlpm.q,""))))&lt;&gt;"",IF(N658&lt;&gt;"","Load OK ✓ (checked)","⚠ "&amp;_xlfn.LET(_xlpm.q,E658,_xlpm.tk,P658,_xlpm.ld,Log!$P$18,_xlpm.fx,IF(OR(_xlpm.ld="",_xlpm.ld="Full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"&amp;_xlpm.q,""))))),IF(C658-I658&gt;=0.99,"next day",IF(C658-I658&gt;0.4,"12h → 24h","")))))))))))</f>
        <v/>
      </c>
      <c r="H658" s="4" t="str">
        <f t="shared" si="60"/>
        <v/>
      </c>
      <c r="I658" s="5" t="str">
        <f t="shared" si="61"/>
        <v/>
      </c>
      <c r="J658" s="6">
        <f t="shared" si="62"/>
        <v>0</v>
      </c>
      <c r="K658" s="4" t="str">
        <f t="shared" si="63"/>
        <v/>
      </c>
      <c r="L658" s="4" t="str">
        <f t="shared" si="64"/>
        <v/>
      </c>
      <c r="M658" s="4" t="b" cm="1">
        <f t="array" ref="M658">IF(H658="",FALSE,SUMPRODUCT(--(H$1:H657=H658))&gt;0)</f>
        <v>0</v>
      </c>
      <c r="N658" s="36"/>
      <c r="P658" s="1" t="str">
        <f t="shared" si="65"/>
        <v/>
      </c>
    </row>
    <row r="659" spans="1:16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"&amp;L659,IF(AND(MAX(K$1:K658)&gt;0,N(K659)-MAX(K$1:K658)&gt;180),"⚠ Gap &gt; 3h",IF(_xlfn.LET(_xlpm.q,E659,_xlpm.tk,P659,_xlpm.ld,Log!$P$18,_xlpm.fx,IF(OR(_xlpm.ld="",_xlpm.ld="Full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"&amp;_xlpm.q,""))))&lt;&gt;"",IF(N659&lt;&gt;"","Load OK ✓ (checked)","⚠ "&amp;_xlfn.LET(_xlpm.q,E659,_xlpm.tk,P659,_xlpm.ld,Log!$P$18,_xlpm.fx,IF(OR(_xlpm.ld="",_xlpm.ld="Full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"&amp;_xlpm.q,""))))),IF(C659-I659&gt;=0.99,"next day",IF(C659-I659&gt;0.4,"12h → 24h","")))))))))))</f>
        <v/>
      </c>
      <c r="H659" s="4" t="str">
        <f t="shared" si="60"/>
        <v/>
      </c>
      <c r="I659" s="5" t="str">
        <f t="shared" si="61"/>
        <v/>
      </c>
      <c r="J659" s="6">
        <f t="shared" si="62"/>
        <v>0</v>
      </c>
      <c r="K659" s="4" t="str">
        <f t="shared" si="63"/>
        <v/>
      </c>
      <c r="L659" s="4" t="str">
        <f t="shared" si="64"/>
        <v/>
      </c>
      <c r="M659" s="4" t="b" cm="1">
        <f t="array" ref="M659">IF(H659="",FALSE,SUMPRODUCT(--(H$1:H658=H659))&gt;0)</f>
        <v>0</v>
      </c>
      <c r="N659" s="36"/>
      <c r="P659" s="1" t="str">
        <f t="shared" si="65"/>
        <v/>
      </c>
    </row>
    <row r="660" spans="1:16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"&amp;L660,IF(AND(MAX(K$1:K659)&gt;0,N(K660)-MAX(K$1:K659)&gt;180),"⚠ Gap &gt; 3h",IF(_xlfn.LET(_xlpm.q,E660,_xlpm.tk,P660,_xlpm.ld,Log!$P$18,_xlpm.fx,IF(OR(_xlpm.ld="",_xlpm.ld="Full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"&amp;_xlpm.q,""))))&lt;&gt;"",IF(N660&lt;&gt;"","Load OK ✓ (checked)","⚠ "&amp;_xlfn.LET(_xlpm.q,E660,_xlpm.tk,P660,_xlpm.ld,Log!$P$18,_xlpm.fx,IF(OR(_xlpm.ld="",_xlpm.ld="Full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"&amp;_xlpm.q,""))))),IF(C660-I660&gt;=0.99,"next day",IF(C660-I660&gt;0.4,"12h → 24h","")))))))))))</f>
        <v/>
      </c>
      <c r="H660" s="4" t="str">
        <f t="shared" si="60"/>
        <v/>
      </c>
      <c r="I660" s="5" t="str">
        <f t="shared" si="61"/>
        <v/>
      </c>
      <c r="J660" s="6">
        <f t="shared" si="62"/>
        <v>0</v>
      </c>
      <c r="K660" s="4" t="str">
        <f t="shared" si="63"/>
        <v/>
      </c>
      <c r="L660" s="4" t="str">
        <f t="shared" si="64"/>
        <v/>
      </c>
      <c r="M660" s="4" t="b" cm="1">
        <f t="array" ref="M660">IF(H660="",FALSE,SUMPRODUCT(--(H$1:H659=H660))&gt;0)</f>
        <v>0</v>
      </c>
      <c r="N660" s="36"/>
      <c r="P660" s="1" t="str">
        <f t="shared" si="65"/>
        <v/>
      </c>
    </row>
    <row r="661" spans="1:16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"&amp;L661,IF(AND(MAX(K$1:K660)&gt;0,N(K661)-MAX(K$1:K660)&gt;180),"⚠ Gap &gt; 3h",IF(_xlfn.LET(_xlpm.q,E661,_xlpm.tk,P661,_xlpm.ld,Log!$P$18,_xlpm.fx,IF(OR(_xlpm.ld="",_xlpm.ld="Full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"&amp;_xlpm.q,""))))&lt;&gt;"",IF(N661&lt;&gt;"","Load OK ✓ (checked)","⚠ "&amp;_xlfn.LET(_xlpm.q,E661,_xlpm.tk,P661,_xlpm.ld,Log!$P$18,_xlpm.fx,IF(OR(_xlpm.ld="",_xlpm.ld="Full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"&amp;_xlpm.q,""))))),IF(C661-I661&gt;=0.99,"next day",IF(C661-I661&gt;0.4,"12h → 24h","")))))))))))</f>
        <v/>
      </c>
      <c r="H661" s="4" t="str">
        <f t="shared" si="60"/>
        <v/>
      </c>
      <c r="I661" s="5" t="str">
        <f t="shared" si="61"/>
        <v/>
      </c>
      <c r="J661" s="6">
        <f t="shared" si="62"/>
        <v>0</v>
      </c>
      <c r="K661" s="4" t="str">
        <f t="shared" si="63"/>
        <v/>
      </c>
      <c r="L661" s="4" t="str">
        <f t="shared" si="64"/>
        <v/>
      </c>
      <c r="M661" s="4" t="b" cm="1">
        <f t="array" ref="M661">IF(H661="",FALSE,SUMPRODUCT(--(H$1:H660=H661))&gt;0)</f>
        <v>0</v>
      </c>
      <c r="N661" s="36"/>
      <c r="P661" s="1" t="str">
        <f t="shared" si="65"/>
        <v/>
      </c>
    </row>
    <row r="662" spans="1:16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"&amp;L662,IF(AND(MAX(K$1:K661)&gt;0,N(K662)-MAX(K$1:K661)&gt;180),"⚠ Gap &gt; 3h",IF(_xlfn.LET(_xlpm.q,E662,_xlpm.tk,P662,_xlpm.ld,Log!$P$18,_xlpm.fx,IF(OR(_xlpm.ld="",_xlpm.ld="Full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"&amp;_xlpm.q,""))))&lt;&gt;"",IF(N662&lt;&gt;"","Load OK ✓ (checked)","⚠ "&amp;_xlfn.LET(_xlpm.q,E662,_xlpm.tk,P662,_xlpm.ld,Log!$P$18,_xlpm.fx,IF(OR(_xlpm.ld="",_xlpm.ld="Full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"&amp;_xlpm.q,""))))),IF(C662-I662&gt;=0.99,"next day",IF(C662-I662&gt;0.4,"12h → 24h","")))))))))))</f>
        <v/>
      </c>
      <c r="H662" s="4" t="str">
        <f t="shared" si="60"/>
        <v/>
      </c>
      <c r="I662" s="5" t="str">
        <f t="shared" si="61"/>
        <v/>
      </c>
      <c r="J662" s="6">
        <f t="shared" si="62"/>
        <v>0</v>
      </c>
      <c r="K662" s="4" t="str">
        <f t="shared" si="63"/>
        <v/>
      </c>
      <c r="L662" s="4" t="str">
        <f t="shared" si="64"/>
        <v/>
      </c>
      <c r="M662" s="4" t="b" cm="1">
        <f t="array" ref="M662">IF(H662="",FALSE,SUMPRODUCT(--(H$1:H661=H662))&gt;0)</f>
        <v>0</v>
      </c>
      <c r="N662" s="36"/>
      <c r="P662" s="1" t="str">
        <f t="shared" si="65"/>
        <v/>
      </c>
    </row>
    <row r="663" spans="1:16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"&amp;L663,IF(AND(MAX(K$1:K662)&gt;0,N(K663)-MAX(K$1:K662)&gt;180),"⚠ Gap &gt; 3h",IF(_xlfn.LET(_xlpm.q,E663,_xlpm.tk,P663,_xlpm.ld,Log!$P$18,_xlpm.fx,IF(OR(_xlpm.ld="",_xlpm.ld="Full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"&amp;_xlpm.q,""))))&lt;&gt;"",IF(N663&lt;&gt;"","Load OK ✓ (checked)","⚠ "&amp;_xlfn.LET(_xlpm.q,E663,_xlpm.tk,P663,_xlpm.ld,Log!$P$18,_xlpm.fx,IF(OR(_xlpm.ld="",_xlpm.ld="Full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"&amp;_xlpm.q,""))))),IF(C663-I663&gt;=0.99,"next day",IF(C663-I663&gt;0.4,"12h → 24h","")))))))))))</f>
        <v/>
      </c>
      <c r="H663" s="4" t="str">
        <f t="shared" si="60"/>
        <v/>
      </c>
      <c r="I663" s="5" t="str">
        <f t="shared" si="61"/>
        <v/>
      </c>
      <c r="J663" s="6">
        <f t="shared" si="62"/>
        <v>0</v>
      </c>
      <c r="K663" s="4" t="str">
        <f t="shared" si="63"/>
        <v/>
      </c>
      <c r="L663" s="4" t="str">
        <f t="shared" si="64"/>
        <v/>
      </c>
      <c r="M663" s="4" t="b" cm="1">
        <f t="array" ref="M663">IF(H663="",FALSE,SUMPRODUCT(--(H$1:H662=H663))&gt;0)</f>
        <v>0</v>
      </c>
      <c r="N663" s="36"/>
      <c r="P663" s="1" t="str">
        <f t="shared" si="65"/>
        <v/>
      </c>
    </row>
    <row r="664" spans="1:16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"&amp;L664,IF(AND(MAX(K$1:K663)&gt;0,N(K664)-MAX(K$1:K663)&gt;180),"⚠ Gap &gt; 3h",IF(_xlfn.LET(_xlpm.q,E664,_xlpm.tk,P664,_xlpm.ld,Log!$P$18,_xlpm.fx,IF(OR(_xlpm.ld="",_xlpm.ld="Full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"&amp;_xlpm.q,""))))&lt;&gt;"",IF(N664&lt;&gt;"","Load OK ✓ (checked)","⚠ "&amp;_xlfn.LET(_xlpm.q,E664,_xlpm.tk,P664,_xlpm.ld,Log!$P$18,_xlpm.fx,IF(OR(_xlpm.ld="",_xlpm.ld="Full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"&amp;_xlpm.q,""))))),IF(C664-I664&gt;=0.99,"next day",IF(C664-I664&gt;0.4,"12h → 24h","")))))))))))</f>
        <v/>
      </c>
      <c r="H664" s="4" t="str">
        <f t="shared" si="60"/>
        <v/>
      </c>
      <c r="I664" s="5" t="str">
        <f t="shared" si="61"/>
        <v/>
      </c>
      <c r="J664" s="6">
        <f t="shared" si="62"/>
        <v>0</v>
      </c>
      <c r="K664" s="4" t="str">
        <f t="shared" si="63"/>
        <v/>
      </c>
      <c r="L664" s="4" t="str">
        <f t="shared" si="64"/>
        <v/>
      </c>
      <c r="M664" s="4" t="b" cm="1">
        <f t="array" ref="M664">IF(H664="",FALSE,SUMPRODUCT(--(H$1:H663=H664))&gt;0)</f>
        <v>0</v>
      </c>
      <c r="N664" s="36"/>
      <c r="P664" s="1" t="str">
        <f t="shared" si="65"/>
        <v/>
      </c>
    </row>
    <row r="665" spans="1:16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"&amp;L665,IF(AND(MAX(K$1:K664)&gt;0,N(K665)-MAX(K$1:K664)&gt;180),"⚠ Gap &gt; 3h",IF(_xlfn.LET(_xlpm.q,E665,_xlpm.tk,P665,_xlpm.ld,Log!$P$18,_xlpm.fx,IF(OR(_xlpm.ld="",_xlpm.ld="Full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"&amp;_xlpm.q,""))))&lt;&gt;"",IF(N665&lt;&gt;"","Load OK ✓ (checked)","⚠ "&amp;_xlfn.LET(_xlpm.q,E665,_xlpm.tk,P665,_xlpm.ld,Log!$P$18,_xlpm.fx,IF(OR(_xlpm.ld="",_xlpm.ld="Full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"&amp;_xlpm.q,""))))),IF(C665-I665&gt;=0.99,"next day",IF(C665-I665&gt;0.4,"12h → 24h","")))))))))))</f>
        <v/>
      </c>
      <c r="H665" s="4" t="str">
        <f t="shared" si="60"/>
        <v/>
      </c>
      <c r="I665" s="5" t="str">
        <f t="shared" si="61"/>
        <v/>
      </c>
      <c r="J665" s="6">
        <f t="shared" si="62"/>
        <v>0</v>
      </c>
      <c r="K665" s="4" t="str">
        <f t="shared" si="63"/>
        <v/>
      </c>
      <c r="L665" s="4" t="str">
        <f t="shared" si="64"/>
        <v/>
      </c>
      <c r="M665" s="4" t="b" cm="1">
        <f t="array" ref="M665">IF(H665="",FALSE,SUMPRODUCT(--(H$1:H664=H665))&gt;0)</f>
        <v>0</v>
      </c>
      <c r="N665" s="36"/>
      <c r="P665" s="1" t="str">
        <f t="shared" si="65"/>
        <v/>
      </c>
    </row>
    <row r="666" spans="1:16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"&amp;L666,IF(AND(MAX(K$1:K665)&gt;0,N(K666)-MAX(K$1:K665)&gt;180),"⚠ Gap &gt; 3h",IF(_xlfn.LET(_xlpm.q,E666,_xlpm.tk,P666,_xlpm.ld,Log!$P$18,_xlpm.fx,IF(OR(_xlpm.ld="",_xlpm.ld="Full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"&amp;_xlpm.q,""))))&lt;&gt;"",IF(N666&lt;&gt;"","Load OK ✓ (checked)","⚠ "&amp;_xlfn.LET(_xlpm.q,E666,_xlpm.tk,P666,_xlpm.ld,Log!$P$18,_xlpm.fx,IF(OR(_xlpm.ld="",_xlpm.ld="Full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"&amp;_xlpm.q,""))))),IF(C666-I666&gt;=0.99,"next day",IF(C666-I666&gt;0.4,"12h → 24h","")))))))))))</f>
        <v/>
      </c>
      <c r="H666" s="4" t="str">
        <f t="shared" si="60"/>
        <v/>
      </c>
      <c r="I666" s="5" t="str">
        <f t="shared" si="61"/>
        <v/>
      </c>
      <c r="J666" s="6">
        <f t="shared" si="62"/>
        <v>0</v>
      </c>
      <c r="K666" s="4" t="str">
        <f t="shared" si="63"/>
        <v/>
      </c>
      <c r="L666" s="4" t="str">
        <f t="shared" si="64"/>
        <v/>
      </c>
      <c r="M666" s="4" t="b" cm="1">
        <f t="array" ref="M666">IF(H666="",FALSE,SUMPRODUCT(--(H$1:H665=H666))&gt;0)</f>
        <v>0</v>
      </c>
      <c r="N666" s="36"/>
      <c r="P666" s="1" t="str">
        <f t="shared" si="65"/>
        <v/>
      </c>
    </row>
    <row r="667" spans="1:16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"&amp;L667,IF(AND(MAX(K$1:K666)&gt;0,N(K667)-MAX(K$1:K666)&gt;180),"⚠ Gap &gt; 3h",IF(_xlfn.LET(_xlpm.q,E667,_xlpm.tk,P667,_xlpm.ld,Log!$P$18,_xlpm.fx,IF(OR(_xlpm.ld="",_xlpm.ld="Full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"&amp;_xlpm.q,""))))&lt;&gt;"",IF(N667&lt;&gt;"","Load OK ✓ (checked)","⚠ "&amp;_xlfn.LET(_xlpm.q,E667,_xlpm.tk,P667,_xlpm.ld,Log!$P$18,_xlpm.fx,IF(OR(_xlpm.ld="",_xlpm.ld="Full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"&amp;_xlpm.q,""))))),IF(C667-I667&gt;=0.99,"next day",IF(C667-I667&gt;0.4,"12h → 24h","")))))))))))</f>
        <v/>
      </c>
      <c r="H667" s="4" t="str">
        <f t="shared" si="60"/>
        <v/>
      </c>
      <c r="I667" s="5" t="str">
        <f t="shared" si="61"/>
        <v/>
      </c>
      <c r="J667" s="6">
        <f t="shared" si="62"/>
        <v>0</v>
      </c>
      <c r="K667" s="4" t="str">
        <f t="shared" si="63"/>
        <v/>
      </c>
      <c r="L667" s="4" t="str">
        <f t="shared" si="64"/>
        <v/>
      </c>
      <c r="M667" s="4" t="b" cm="1">
        <f t="array" ref="M667">IF(H667="",FALSE,SUMPRODUCT(--(H$1:H666=H667))&gt;0)</f>
        <v>0</v>
      </c>
      <c r="N667" s="36"/>
      <c r="P667" s="1" t="str">
        <f t="shared" si="65"/>
        <v/>
      </c>
    </row>
    <row r="668" spans="1:16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"&amp;L668,IF(AND(MAX(K$1:K667)&gt;0,N(K668)-MAX(K$1:K667)&gt;180),"⚠ Gap &gt; 3h",IF(_xlfn.LET(_xlpm.q,E668,_xlpm.tk,P668,_xlpm.ld,Log!$P$18,_xlpm.fx,IF(OR(_xlpm.ld="",_xlpm.ld="Full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"&amp;_xlpm.q,""))))&lt;&gt;"",IF(N668&lt;&gt;"","Load OK ✓ (checked)","⚠ "&amp;_xlfn.LET(_xlpm.q,E668,_xlpm.tk,P668,_xlpm.ld,Log!$P$18,_xlpm.fx,IF(OR(_xlpm.ld="",_xlpm.ld="Full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"&amp;_xlpm.q,""))))),IF(C668-I668&gt;=0.99,"next day",IF(C668-I668&gt;0.4,"12h → 24h","")))))))))))</f>
        <v/>
      </c>
      <c r="H668" s="4" t="str">
        <f t="shared" si="60"/>
        <v/>
      </c>
      <c r="I668" s="5" t="str">
        <f t="shared" si="61"/>
        <v/>
      </c>
      <c r="J668" s="6">
        <f t="shared" si="62"/>
        <v>0</v>
      </c>
      <c r="K668" s="4" t="str">
        <f t="shared" si="63"/>
        <v/>
      </c>
      <c r="L668" s="4" t="str">
        <f t="shared" si="64"/>
        <v/>
      </c>
      <c r="M668" s="4" t="b" cm="1">
        <f t="array" ref="M668">IF(H668="",FALSE,SUMPRODUCT(--(H$1:H667=H668))&gt;0)</f>
        <v>0</v>
      </c>
      <c r="N668" s="36"/>
      <c r="P668" s="1" t="str">
        <f t="shared" si="65"/>
        <v/>
      </c>
    </row>
    <row r="669" spans="1:16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"&amp;L669,IF(AND(MAX(K$1:K668)&gt;0,N(K669)-MAX(K$1:K668)&gt;180),"⚠ Gap &gt; 3h",IF(_xlfn.LET(_xlpm.q,E669,_xlpm.tk,P669,_xlpm.ld,Log!$P$18,_xlpm.fx,IF(OR(_xlpm.ld="",_xlpm.ld="Full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"&amp;_xlpm.q,""))))&lt;&gt;"",IF(N669&lt;&gt;"","Load OK ✓ (checked)","⚠ "&amp;_xlfn.LET(_xlpm.q,E669,_xlpm.tk,P669,_xlpm.ld,Log!$P$18,_xlpm.fx,IF(OR(_xlpm.ld="",_xlpm.ld="Full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"&amp;_xlpm.q,""))))),IF(C669-I669&gt;=0.99,"next day",IF(C669-I669&gt;0.4,"12h → 24h","")))))))))))</f>
        <v/>
      </c>
      <c r="H669" s="4" t="str">
        <f t="shared" si="60"/>
        <v/>
      </c>
      <c r="I669" s="5" t="str">
        <f t="shared" si="61"/>
        <v/>
      </c>
      <c r="J669" s="6">
        <f t="shared" si="62"/>
        <v>0</v>
      </c>
      <c r="K669" s="4" t="str">
        <f t="shared" si="63"/>
        <v/>
      </c>
      <c r="L669" s="4" t="str">
        <f t="shared" si="64"/>
        <v/>
      </c>
      <c r="M669" s="4" t="b" cm="1">
        <f t="array" ref="M669">IF(H669="",FALSE,SUMPRODUCT(--(H$1:H668=H669))&gt;0)</f>
        <v>0</v>
      </c>
      <c r="N669" s="36"/>
      <c r="P669" s="1" t="str">
        <f t="shared" si="65"/>
        <v/>
      </c>
    </row>
    <row r="670" spans="1:16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"&amp;L670,IF(AND(MAX(K$1:K669)&gt;0,N(K670)-MAX(K$1:K669)&gt;180),"⚠ Gap &gt; 3h",IF(_xlfn.LET(_xlpm.q,E670,_xlpm.tk,P670,_xlpm.ld,Log!$P$18,_xlpm.fx,IF(OR(_xlpm.ld="",_xlpm.ld="Full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"&amp;_xlpm.q,""))))&lt;&gt;"",IF(N670&lt;&gt;"","Load OK ✓ (checked)","⚠ "&amp;_xlfn.LET(_xlpm.q,E670,_xlpm.tk,P670,_xlpm.ld,Log!$P$18,_xlpm.fx,IF(OR(_xlpm.ld="",_xlpm.ld="Full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"&amp;_xlpm.q,""))))),IF(C670-I670&gt;=0.99,"next day",IF(C670-I670&gt;0.4,"12h → 24h","")))))))))))</f>
        <v/>
      </c>
      <c r="H670" s="4" t="str">
        <f t="shared" si="60"/>
        <v/>
      </c>
      <c r="I670" s="5" t="str">
        <f t="shared" si="61"/>
        <v/>
      </c>
      <c r="J670" s="6">
        <f t="shared" si="62"/>
        <v>0</v>
      </c>
      <c r="K670" s="4" t="str">
        <f t="shared" si="63"/>
        <v/>
      </c>
      <c r="L670" s="4" t="str">
        <f t="shared" si="64"/>
        <v/>
      </c>
      <c r="M670" s="4" t="b" cm="1">
        <f t="array" ref="M670">IF(H670="",FALSE,SUMPRODUCT(--(H$1:H669=H670))&gt;0)</f>
        <v>0</v>
      </c>
      <c r="N670" s="36"/>
      <c r="P670" s="1" t="str">
        <f t="shared" si="65"/>
        <v/>
      </c>
    </row>
    <row r="671" spans="1:16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"&amp;L671,IF(AND(MAX(K$1:K670)&gt;0,N(K671)-MAX(K$1:K670)&gt;180),"⚠ Gap &gt; 3h",IF(_xlfn.LET(_xlpm.q,E671,_xlpm.tk,P671,_xlpm.ld,Log!$P$18,_xlpm.fx,IF(OR(_xlpm.ld="",_xlpm.ld="Full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"&amp;_xlpm.q,""))))&lt;&gt;"",IF(N671&lt;&gt;"","Load OK ✓ (checked)","⚠ "&amp;_xlfn.LET(_xlpm.q,E671,_xlpm.tk,P671,_xlpm.ld,Log!$P$18,_xlpm.fx,IF(OR(_xlpm.ld="",_xlpm.ld="Full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"&amp;_xlpm.q,""))))),IF(C671-I671&gt;=0.99,"next day",IF(C671-I671&gt;0.4,"12h → 24h","")))))))))))</f>
        <v/>
      </c>
      <c r="H671" s="4" t="str">
        <f t="shared" si="60"/>
        <v/>
      </c>
      <c r="I671" s="5" t="str">
        <f t="shared" si="61"/>
        <v/>
      </c>
      <c r="J671" s="6">
        <f t="shared" si="62"/>
        <v>0</v>
      </c>
      <c r="K671" s="4" t="str">
        <f t="shared" si="63"/>
        <v/>
      </c>
      <c r="L671" s="4" t="str">
        <f t="shared" si="64"/>
        <v/>
      </c>
      <c r="M671" s="4" t="b" cm="1">
        <f t="array" ref="M671">IF(H671="",FALSE,SUMPRODUCT(--(H$1:H670=H671))&gt;0)</f>
        <v>0</v>
      </c>
      <c r="N671" s="36"/>
      <c r="P671" s="1" t="str">
        <f t="shared" si="65"/>
        <v/>
      </c>
    </row>
    <row r="672" spans="1:16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"&amp;L672,IF(AND(MAX(K$1:K671)&gt;0,N(K672)-MAX(K$1:K671)&gt;180),"⚠ Gap &gt; 3h",IF(_xlfn.LET(_xlpm.q,E672,_xlpm.tk,P672,_xlpm.ld,Log!$P$18,_xlpm.fx,IF(OR(_xlpm.ld="",_xlpm.ld="Full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"&amp;_xlpm.q,""))))&lt;&gt;"",IF(N672&lt;&gt;"","Load OK ✓ (checked)","⚠ "&amp;_xlfn.LET(_xlpm.q,E672,_xlpm.tk,P672,_xlpm.ld,Log!$P$18,_xlpm.fx,IF(OR(_xlpm.ld="",_xlpm.ld="Full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"&amp;_xlpm.q,""))))),IF(C672-I672&gt;=0.99,"next day",IF(C672-I672&gt;0.4,"12h → 24h","")))))))))))</f>
        <v/>
      </c>
      <c r="H672" s="4" t="str">
        <f t="shared" si="60"/>
        <v/>
      </c>
      <c r="I672" s="5" t="str">
        <f t="shared" si="61"/>
        <v/>
      </c>
      <c r="J672" s="6">
        <f t="shared" si="62"/>
        <v>0</v>
      </c>
      <c r="K672" s="4" t="str">
        <f t="shared" si="63"/>
        <v/>
      </c>
      <c r="L672" s="4" t="str">
        <f t="shared" si="64"/>
        <v/>
      </c>
      <c r="M672" s="4" t="b" cm="1">
        <f t="array" ref="M672">IF(H672="",FALSE,SUMPRODUCT(--(H$1:H671=H672))&gt;0)</f>
        <v>0</v>
      </c>
      <c r="N672" s="36"/>
      <c r="P672" s="1" t="str">
        <f t="shared" si="65"/>
        <v/>
      </c>
    </row>
    <row r="673" spans="1:16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"&amp;L673,IF(AND(MAX(K$1:K672)&gt;0,N(K673)-MAX(K$1:K672)&gt;180),"⚠ Gap &gt; 3h",IF(_xlfn.LET(_xlpm.q,E673,_xlpm.tk,P673,_xlpm.ld,Log!$P$18,_xlpm.fx,IF(OR(_xlpm.ld="",_xlpm.ld="Full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"&amp;_xlpm.q,""))))&lt;&gt;"",IF(N673&lt;&gt;"","Load OK ✓ (checked)","⚠ "&amp;_xlfn.LET(_xlpm.q,E673,_xlpm.tk,P673,_xlpm.ld,Log!$P$18,_xlpm.fx,IF(OR(_xlpm.ld="",_xlpm.ld="Full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"&amp;_xlpm.q,""))))),IF(C673-I673&gt;=0.99,"next day",IF(C673-I673&gt;0.4,"12h → 24h","")))))))))))</f>
        <v/>
      </c>
      <c r="H673" s="4" t="str">
        <f t="shared" si="60"/>
        <v/>
      </c>
      <c r="I673" s="5" t="str">
        <f t="shared" si="61"/>
        <v/>
      </c>
      <c r="J673" s="6">
        <f t="shared" si="62"/>
        <v>0</v>
      </c>
      <c r="K673" s="4" t="str">
        <f t="shared" si="63"/>
        <v/>
      </c>
      <c r="L673" s="4" t="str">
        <f t="shared" si="64"/>
        <v/>
      </c>
      <c r="M673" s="4" t="b" cm="1">
        <f t="array" ref="M673">IF(H673="",FALSE,SUMPRODUCT(--(H$1:H672=H673))&gt;0)</f>
        <v>0</v>
      </c>
      <c r="N673" s="36"/>
      <c r="P673" s="1" t="str">
        <f t="shared" si="65"/>
        <v/>
      </c>
    </row>
    <row r="674" spans="1:16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"&amp;L674,IF(AND(MAX(K$1:K673)&gt;0,N(K674)-MAX(K$1:K673)&gt;180),"⚠ Gap &gt; 3h",IF(_xlfn.LET(_xlpm.q,E674,_xlpm.tk,P674,_xlpm.ld,Log!$P$18,_xlpm.fx,IF(OR(_xlpm.ld="",_xlpm.ld="Full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"&amp;_xlpm.q,""))))&lt;&gt;"",IF(N674&lt;&gt;"","Load OK ✓ (checked)","⚠ "&amp;_xlfn.LET(_xlpm.q,E674,_xlpm.tk,P674,_xlpm.ld,Log!$P$18,_xlpm.fx,IF(OR(_xlpm.ld="",_xlpm.ld="Full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"&amp;_xlpm.q,""))))),IF(C674-I674&gt;=0.99,"next day",IF(C674-I674&gt;0.4,"12h → 24h","")))))))))))</f>
        <v/>
      </c>
      <c r="H674" s="4" t="str">
        <f t="shared" si="60"/>
        <v/>
      </c>
      <c r="I674" s="5" t="str">
        <f t="shared" si="61"/>
        <v/>
      </c>
      <c r="J674" s="6">
        <f t="shared" si="62"/>
        <v>0</v>
      </c>
      <c r="K674" s="4" t="str">
        <f t="shared" si="63"/>
        <v/>
      </c>
      <c r="L674" s="4" t="str">
        <f t="shared" si="64"/>
        <v/>
      </c>
      <c r="M674" s="4" t="b" cm="1">
        <f t="array" ref="M674">IF(H674="",FALSE,SUMPRODUCT(--(H$1:H673=H674))&gt;0)</f>
        <v>0</v>
      </c>
      <c r="N674" s="36"/>
      <c r="P674" s="1" t="str">
        <f t="shared" si="65"/>
        <v/>
      </c>
    </row>
    <row r="675" spans="1:16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"&amp;L675,IF(AND(MAX(K$1:K674)&gt;0,N(K675)-MAX(K$1:K674)&gt;180),"⚠ Gap &gt; 3h",IF(_xlfn.LET(_xlpm.q,E675,_xlpm.tk,P675,_xlpm.ld,Log!$P$18,_xlpm.fx,IF(OR(_xlpm.ld="",_xlpm.ld="Full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"&amp;_xlpm.q,""))))&lt;&gt;"",IF(N675&lt;&gt;"","Load OK ✓ (checked)","⚠ "&amp;_xlfn.LET(_xlpm.q,E675,_xlpm.tk,P675,_xlpm.ld,Log!$P$18,_xlpm.fx,IF(OR(_xlpm.ld="",_xlpm.ld="Full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"&amp;_xlpm.q,""))))),IF(C675-I675&gt;=0.99,"next day",IF(C675-I675&gt;0.4,"12h → 24h","")))))))))))</f>
        <v/>
      </c>
      <c r="H675" s="4" t="str">
        <f t="shared" si="60"/>
        <v/>
      </c>
      <c r="I675" s="5" t="str">
        <f t="shared" si="61"/>
        <v/>
      </c>
      <c r="J675" s="6">
        <f t="shared" si="62"/>
        <v>0</v>
      </c>
      <c r="K675" s="4" t="str">
        <f t="shared" si="63"/>
        <v/>
      </c>
      <c r="L675" s="4" t="str">
        <f t="shared" si="64"/>
        <v/>
      </c>
      <c r="M675" s="4" t="b" cm="1">
        <f t="array" ref="M675">IF(H675="",FALSE,SUMPRODUCT(--(H$1:H674=H675))&gt;0)</f>
        <v>0</v>
      </c>
      <c r="N675" s="36"/>
      <c r="P675" s="1" t="str">
        <f t="shared" si="65"/>
        <v/>
      </c>
    </row>
    <row r="676" spans="1:16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"&amp;L676,IF(AND(MAX(K$1:K675)&gt;0,N(K676)-MAX(K$1:K675)&gt;180),"⚠ Gap &gt; 3h",IF(_xlfn.LET(_xlpm.q,E676,_xlpm.tk,P676,_xlpm.ld,Log!$P$18,_xlpm.fx,IF(OR(_xlpm.ld="",_xlpm.ld="Full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"&amp;_xlpm.q,""))))&lt;&gt;"",IF(N676&lt;&gt;"","Load OK ✓ (checked)","⚠ "&amp;_xlfn.LET(_xlpm.q,E676,_xlpm.tk,P676,_xlpm.ld,Log!$P$18,_xlpm.fx,IF(OR(_xlpm.ld="",_xlpm.ld="Full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"&amp;_xlpm.q,""))))),IF(C676-I676&gt;=0.99,"next day",IF(C676-I676&gt;0.4,"12h → 24h","")))))))))))</f>
        <v/>
      </c>
      <c r="H676" s="4" t="str">
        <f t="shared" si="60"/>
        <v/>
      </c>
      <c r="I676" s="5" t="str">
        <f t="shared" si="61"/>
        <v/>
      </c>
      <c r="J676" s="6">
        <f t="shared" si="62"/>
        <v>0</v>
      </c>
      <c r="K676" s="4" t="str">
        <f t="shared" si="63"/>
        <v/>
      </c>
      <c r="L676" s="4" t="str">
        <f t="shared" si="64"/>
        <v/>
      </c>
      <c r="M676" s="4" t="b" cm="1">
        <f t="array" ref="M676">IF(H676="",FALSE,SUMPRODUCT(--(H$1:H675=H676))&gt;0)</f>
        <v>0</v>
      </c>
      <c r="N676" s="36"/>
      <c r="P676" s="1" t="str">
        <f t="shared" si="65"/>
        <v/>
      </c>
    </row>
    <row r="677" spans="1:16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"&amp;L677,IF(AND(MAX(K$1:K676)&gt;0,N(K677)-MAX(K$1:K676)&gt;180),"⚠ Gap &gt; 3h",IF(_xlfn.LET(_xlpm.q,E677,_xlpm.tk,P677,_xlpm.ld,Log!$P$18,_xlpm.fx,IF(OR(_xlpm.ld="",_xlpm.ld="Full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"&amp;_xlpm.q,""))))&lt;&gt;"",IF(N677&lt;&gt;"","Load OK ✓ (checked)","⚠ "&amp;_xlfn.LET(_xlpm.q,E677,_xlpm.tk,P677,_xlpm.ld,Log!$P$18,_xlpm.fx,IF(OR(_xlpm.ld="",_xlpm.ld="Full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"&amp;_xlpm.q,""))))),IF(C677-I677&gt;=0.99,"next day",IF(C677-I677&gt;0.4,"12h → 24h","")))))))))))</f>
        <v/>
      </c>
      <c r="H677" s="4" t="str">
        <f t="shared" si="60"/>
        <v/>
      </c>
      <c r="I677" s="5" t="str">
        <f t="shared" si="61"/>
        <v/>
      </c>
      <c r="J677" s="6">
        <f t="shared" si="62"/>
        <v>0</v>
      </c>
      <c r="K677" s="4" t="str">
        <f t="shared" si="63"/>
        <v/>
      </c>
      <c r="L677" s="4" t="str">
        <f t="shared" si="64"/>
        <v/>
      </c>
      <c r="M677" s="4" t="b" cm="1">
        <f t="array" ref="M677">IF(H677="",FALSE,SUMPRODUCT(--(H$1:H676=H677))&gt;0)</f>
        <v>0</v>
      </c>
      <c r="N677" s="36"/>
      <c r="P677" s="1" t="str">
        <f t="shared" si="65"/>
        <v/>
      </c>
    </row>
    <row r="678" spans="1:16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"&amp;L678,IF(AND(MAX(K$1:K677)&gt;0,N(K678)-MAX(K$1:K677)&gt;180),"⚠ Gap &gt; 3h",IF(_xlfn.LET(_xlpm.q,E678,_xlpm.tk,P678,_xlpm.ld,Log!$P$18,_xlpm.fx,IF(OR(_xlpm.ld="",_xlpm.ld="Full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"&amp;_xlpm.q,""))))&lt;&gt;"",IF(N678&lt;&gt;"","Load OK ✓ (checked)","⚠ "&amp;_xlfn.LET(_xlpm.q,E678,_xlpm.tk,P678,_xlpm.ld,Log!$P$18,_xlpm.fx,IF(OR(_xlpm.ld="",_xlpm.ld="Full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"&amp;_xlpm.q,""))))),IF(C678-I678&gt;=0.99,"next day",IF(C678-I678&gt;0.4,"12h → 24h","")))))))))))</f>
        <v/>
      </c>
      <c r="H678" s="4" t="str">
        <f t="shared" si="60"/>
        <v/>
      </c>
      <c r="I678" s="5" t="str">
        <f t="shared" si="61"/>
        <v/>
      </c>
      <c r="J678" s="6">
        <f t="shared" si="62"/>
        <v>0</v>
      </c>
      <c r="K678" s="4" t="str">
        <f t="shared" si="63"/>
        <v/>
      </c>
      <c r="L678" s="4" t="str">
        <f t="shared" si="64"/>
        <v/>
      </c>
      <c r="M678" s="4" t="b" cm="1">
        <f t="array" ref="M678">IF(H678="",FALSE,SUMPRODUCT(--(H$1:H677=H678))&gt;0)</f>
        <v>0</v>
      </c>
      <c r="N678" s="36"/>
      <c r="P678" s="1" t="str">
        <f t="shared" si="65"/>
        <v/>
      </c>
    </row>
    <row r="679" spans="1:16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"&amp;L679,IF(AND(MAX(K$1:K678)&gt;0,N(K679)-MAX(K$1:K678)&gt;180),"⚠ Gap &gt; 3h",IF(_xlfn.LET(_xlpm.q,E679,_xlpm.tk,P679,_xlpm.ld,Log!$P$18,_xlpm.fx,IF(OR(_xlpm.ld="",_xlpm.ld="Full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"&amp;_xlpm.q,""))))&lt;&gt;"",IF(N679&lt;&gt;"","Load OK ✓ (checked)","⚠ "&amp;_xlfn.LET(_xlpm.q,E679,_xlpm.tk,P679,_xlpm.ld,Log!$P$18,_xlpm.fx,IF(OR(_xlpm.ld="",_xlpm.ld="Full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"&amp;_xlpm.q,""))))),IF(C679-I679&gt;=0.99,"next day",IF(C679-I679&gt;0.4,"12h → 24h","")))))))))))</f>
        <v/>
      </c>
      <c r="H679" s="4" t="str">
        <f t="shared" si="60"/>
        <v/>
      </c>
      <c r="I679" s="5" t="str">
        <f t="shared" si="61"/>
        <v/>
      </c>
      <c r="J679" s="6">
        <f t="shared" si="62"/>
        <v>0</v>
      </c>
      <c r="K679" s="4" t="str">
        <f t="shared" si="63"/>
        <v/>
      </c>
      <c r="L679" s="4" t="str">
        <f t="shared" si="64"/>
        <v/>
      </c>
      <c r="M679" s="4" t="b" cm="1">
        <f t="array" ref="M679">IF(H679="",FALSE,SUMPRODUCT(--(H$1:H678=H679))&gt;0)</f>
        <v>0</v>
      </c>
      <c r="N679" s="36"/>
      <c r="P679" s="1" t="str">
        <f t="shared" si="65"/>
        <v/>
      </c>
    </row>
    <row r="680" spans="1:16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"&amp;L680,IF(AND(MAX(K$1:K679)&gt;0,N(K680)-MAX(K$1:K679)&gt;180),"⚠ Gap &gt; 3h",IF(_xlfn.LET(_xlpm.q,E680,_xlpm.tk,P680,_xlpm.ld,Log!$P$18,_xlpm.fx,IF(OR(_xlpm.ld="",_xlpm.ld="Full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"&amp;_xlpm.q,""))))&lt;&gt;"",IF(N680&lt;&gt;"","Load OK ✓ (checked)","⚠ "&amp;_xlfn.LET(_xlpm.q,E680,_xlpm.tk,P680,_xlpm.ld,Log!$P$18,_xlpm.fx,IF(OR(_xlpm.ld="",_xlpm.ld="Full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"&amp;_xlpm.q,""))))),IF(C680-I680&gt;=0.99,"next day",IF(C680-I680&gt;0.4,"12h → 24h","")))))))))))</f>
        <v/>
      </c>
      <c r="H680" s="4" t="str">
        <f t="shared" si="60"/>
        <v/>
      </c>
      <c r="I680" s="5" t="str">
        <f t="shared" si="61"/>
        <v/>
      </c>
      <c r="J680" s="6">
        <f t="shared" si="62"/>
        <v>0</v>
      </c>
      <c r="K680" s="4" t="str">
        <f t="shared" si="63"/>
        <v/>
      </c>
      <c r="L680" s="4" t="str">
        <f t="shared" si="64"/>
        <v/>
      </c>
      <c r="M680" s="4" t="b" cm="1">
        <f t="array" ref="M680">IF(H680="",FALSE,SUMPRODUCT(--(H$1:H679=H680))&gt;0)</f>
        <v>0</v>
      </c>
      <c r="N680" s="36"/>
      <c r="P680" s="1" t="str">
        <f t="shared" si="65"/>
        <v/>
      </c>
    </row>
    <row r="681" spans="1:16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"&amp;L681,IF(AND(MAX(K$1:K680)&gt;0,N(K681)-MAX(K$1:K680)&gt;180),"⚠ Gap &gt; 3h",IF(_xlfn.LET(_xlpm.q,E681,_xlpm.tk,P681,_xlpm.ld,Log!$P$18,_xlpm.fx,IF(OR(_xlpm.ld="",_xlpm.ld="Full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"&amp;_xlpm.q,""))))&lt;&gt;"",IF(N681&lt;&gt;"","Load OK ✓ (checked)","⚠ "&amp;_xlfn.LET(_xlpm.q,E681,_xlpm.tk,P681,_xlpm.ld,Log!$P$18,_xlpm.fx,IF(OR(_xlpm.ld="",_xlpm.ld="Full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"&amp;_xlpm.q,""))))),IF(C681-I681&gt;=0.99,"next day",IF(C681-I681&gt;0.4,"12h → 24h","")))))))))))</f>
        <v/>
      </c>
      <c r="H681" s="4" t="str">
        <f t="shared" si="60"/>
        <v/>
      </c>
      <c r="I681" s="5" t="str">
        <f t="shared" si="61"/>
        <v/>
      </c>
      <c r="J681" s="6">
        <f t="shared" si="62"/>
        <v>0</v>
      </c>
      <c r="K681" s="4" t="str">
        <f t="shared" si="63"/>
        <v/>
      </c>
      <c r="L681" s="4" t="str">
        <f t="shared" si="64"/>
        <v/>
      </c>
      <c r="M681" s="4" t="b" cm="1">
        <f t="array" ref="M681">IF(H681="",FALSE,SUMPRODUCT(--(H$1:H680=H681))&gt;0)</f>
        <v>0</v>
      </c>
      <c r="N681" s="36"/>
      <c r="P681" s="1" t="str">
        <f t="shared" si="65"/>
        <v/>
      </c>
    </row>
    <row r="682" spans="1:16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"&amp;L682,IF(AND(MAX(K$1:K681)&gt;0,N(K682)-MAX(K$1:K681)&gt;180),"⚠ Gap &gt; 3h",IF(_xlfn.LET(_xlpm.q,E682,_xlpm.tk,P682,_xlpm.ld,Log!$P$18,_xlpm.fx,IF(OR(_xlpm.ld="",_xlpm.ld="Full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"&amp;_xlpm.q,""))))&lt;&gt;"",IF(N682&lt;&gt;"","Load OK ✓ (checked)","⚠ "&amp;_xlfn.LET(_xlpm.q,E682,_xlpm.tk,P682,_xlpm.ld,Log!$P$18,_xlpm.fx,IF(OR(_xlpm.ld="",_xlpm.ld="Full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"&amp;_xlpm.q,""))))),IF(C682-I682&gt;=0.99,"next day",IF(C682-I682&gt;0.4,"12h → 24h","")))))))))))</f>
        <v/>
      </c>
      <c r="H682" s="4" t="str">
        <f t="shared" si="60"/>
        <v/>
      </c>
      <c r="I682" s="5" t="str">
        <f t="shared" si="61"/>
        <v/>
      </c>
      <c r="J682" s="6">
        <f t="shared" si="62"/>
        <v>0</v>
      </c>
      <c r="K682" s="4" t="str">
        <f t="shared" si="63"/>
        <v/>
      </c>
      <c r="L682" s="4" t="str">
        <f t="shared" si="64"/>
        <v/>
      </c>
      <c r="M682" s="4" t="b" cm="1">
        <f t="array" ref="M682">IF(H682="",FALSE,SUMPRODUCT(--(H$1:H681=H682))&gt;0)</f>
        <v>0</v>
      </c>
      <c r="N682" s="36"/>
      <c r="P682" s="1" t="str">
        <f t="shared" si="65"/>
        <v/>
      </c>
    </row>
    <row r="683" spans="1:16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"&amp;L683,IF(AND(MAX(K$1:K682)&gt;0,N(K683)-MAX(K$1:K682)&gt;180),"⚠ Gap &gt; 3h",IF(_xlfn.LET(_xlpm.q,E683,_xlpm.tk,P683,_xlpm.ld,Log!$P$18,_xlpm.fx,IF(OR(_xlpm.ld="",_xlpm.ld="Full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"&amp;_xlpm.q,""))))&lt;&gt;"",IF(N683&lt;&gt;"","Load OK ✓ (checked)","⚠ "&amp;_xlfn.LET(_xlpm.q,E683,_xlpm.tk,P683,_xlpm.ld,Log!$P$18,_xlpm.fx,IF(OR(_xlpm.ld="",_xlpm.ld="Full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"&amp;_xlpm.q,""))))),IF(C683-I683&gt;=0.99,"next day",IF(C683-I683&gt;0.4,"12h → 24h","")))))))))))</f>
        <v/>
      </c>
      <c r="H683" s="4" t="str">
        <f t="shared" si="60"/>
        <v/>
      </c>
      <c r="I683" s="5" t="str">
        <f t="shared" si="61"/>
        <v/>
      </c>
      <c r="J683" s="6">
        <f t="shared" si="62"/>
        <v>0</v>
      </c>
      <c r="K683" s="4" t="str">
        <f t="shared" si="63"/>
        <v/>
      </c>
      <c r="L683" s="4" t="str">
        <f t="shared" si="64"/>
        <v/>
      </c>
      <c r="M683" s="4" t="b" cm="1">
        <f t="array" ref="M683">IF(H683="",FALSE,SUMPRODUCT(--(H$1:H682=H683))&gt;0)</f>
        <v>0</v>
      </c>
      <c r="N683" s="36"/>
      <c r="P683" s="1" t="str">
        <f t="shared" si="65"/>
        <v/>
      </c>
    </row>
    <row r="684" spans="1:16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"&amp;L684,IF(AND(MAX(K$1:K683)&gt;0,N(K684)-MAX(K$1:K683)&gt;180),"⚠ Gap &gt; 3h",IF(_xlfn.LET(_xlpm.q,E684,_xlpm.tk,P684,_xlpm.ld,Log!$P$18,_xlpm.fx,IF(OR(_xlpm.ld="",_xlpm.ld="Full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"&amp;_xlpm.q,""))))&lt;&gt;"",IF(N684&lt;&gt;"","Load OK ✓ (checked)","⚠ "&amp;_xlfn.LET(_xlpm.q,E684,_xlpm.tk,P684,_xlpm.ld,Log!$P$18,_xlpm.fx,IF(OR(_xlpm.ld="",_xlpm.ld="Full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"&amp;_xlpm.q,""))))),IF(C684-I684&gt;=0.99,"next day",IF(C684-I684&gt;0.4,"12h → 24h","")))))))))))</f>
        <v/>
      </c>
      <c r="H684" s="4" t="str">
        <f t="shared" si="60"/>
        <v/>
      </c>
      <c r="I684" s="5" t="str">
        <f t="shared" si="61"/>
        <v/>
      </c>
      <c r="J684" s="6">
        <f t="shared" si="62"/>
        <v>0</v>
      </c>
      <c r="K684" s="4" t="str">
        <f t="shared" si="63"/>
        <v/>
      </c>
      <c r="L684" s="4" t="str">
        <f t="shared" si="64"/>
        <v/>
      </c>
      <c r="M684" s="4" t="b" cm="1">
        <f t="array" ref="M684">IF(H684="",FALSE,SUMPRODUCT(--(H$1:H683=H684))&gt;0)</f>
        <v>0</v>
      </c>
      <c r="N684" s="36"/>
      <c r="P684" s="1" t="str">
        <f t="shared" si="65"/>
        <v/>
      </c>
    </row>
    <row r="685" spans="1:16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"&amp;L685,IF(AND(MAX(K$1:K684)&gt;0,N(K685)-MAX(K$1:K684)&gt;180),"⚠ Gap &gt; 3h",IF(_xlfn.LET(_xlpm.q,E685,_xlpm.tk,P685,_xlpm.ld,Log!$P$18,_xlpm.fx,IF(OR(_xlpm.ld="",_xlpm.ld="Full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"&amp;_xlpm.q,""))))&lt;&gt;"",IF(N685&lt;&gt;"","Load OK ✓ (checked)","⚠ "&amp;_xlfn.LET(_xlpm.q,E685,_xlpm.tk,P685,_xlpm.ld,Log!$P$18,_xlpm.fx,IF(OR(_xlpm.ld="",_xlpm.ld="Full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"&amp;_xlpm.q,""))))),IF(C685-I685&gt;=0.99,"next day",IF(C685-I685&gt;0.4,"12h → 24h","")))))))))))</f>
        <v/>
      </c>
      <c r="H685" s="4" t="str">
        <f t="shared" si="60"/>
        <v/>
      </c>
      <c r="I685" s="5" t="str">
        <f t="shared" si="61"/>
        <v/>
      </c>
      <c r="J685" s="6">
        <f t="shared" si="62"/>
        <v>0</v>
      </c>
      <c r="K685" s="4" t="str">
        <f t="shared" si="63"/>
        <v/>
      </c>
      <c r="L685" s="4" t="str">
        <f t="shared" si="64"/>
        <v/>
      </c>
      <c r="M685" s="4" t="b" cm="1">
        <f t="array" ref="M685">IF(H685="",FALSE,SUMPRODUCT(--(H$1:H684=H685))&gt;0)</f>
        <v>0</v>
      </c>
      <c r="N685" s="36"/>
      <c r="P685" s="1" t="str">
        <f t="shared" si="65"/>
        <v/>
      </c>
    </row>
    <row r="686" spans="1:16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"&amp;L686,IF(AND(MAX(K$1:K685)&gt;0,N(K686)-MAX(K$1:K685)&gt;180),"⚠ Gap &gt; 3h",IF(_xlfn.LET(_xlpm.q,E686,_xlpm.tk,P686,_xlpm.ld,Log!$P$18,_xlpm.fx,IF(OR(_xlpm.ld="",_xlpm.ld="Full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"&amp;_xlpm.q,""))))&lt;&gt;"",IF(N686&lt;&gt;"","Load OK ✓ (checked)","⚠ "&amp;_xlfn.LET(_xlpm.q,E686,_xlpm.tk,P686,_xlpm.ld,Log!$P$18,_xlpm.fx,IF(OR(_xlpm.ld="",_xlpm.ld="Full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"&amp;_xlpm.q,""))))),IF(C686-I686&gt;=0.99,"next day",IF(C686-I686&gt;0.4,"12h → 24h","")))))))))))</f>
        <v/>
      </c>
      <c r="H686" s="4" t="str">
        <f t="shared" si="60"/>
        <v/>
      </c>
      <c r="I686" s="5" t="str">
        <f t="shared" si="61"/>
        <v/>
      </c>
      <c r="J686" s="6">
        <f t="shared" si="62"/>
        <v>0</v>
      </c>
      <c r="K686" s="4" t="str">
        <f t="shared" si="63"/>
        <v/>
      </c>
      <c r="L686" s="4" t="str">
        <f t="shared" si="64"/>
        <v/>
      </c>
      <c r="M686" s="4" t="b" cm="1">
        <f t="array" ref="M686">IF(H686="",FALSE,SUMPRODUCT(--(H$1:H685=H686))&gt;0)</f>
        <v>0</v>
      </c>
      <c r="N686" s="36"/>
      <c r="P686" s="1" t="str">
        <f t="shared" si="65"/>
        <v/>
      </c>
    </row>
    <row r="687" spans="1:16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"&amp;L687,IF(AND(MAX(K$1:K686)&gt;0,N(K687)-MAX(K$1:K686)&gt;180),"⚠ Gap &gt; 3h",IF(_xlfn.LET(_xlpm.q,E687,_xlpm.tk,P687,_xlpm.ld,Log!$P$18,_xlpm.fx,IF(OR(_xlpm.ld="",_xlpm.ld="Full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"&amp;_xlpm.q,""))))&lt;&gt;"",IF(N687&lt;&gt;"","Load OK ✓ (checked)","⚠ "&amp;_xlfn.LET(_xlpm.q,E687,_xlpm.tk,P687,_xlpm.ld,Log!$P$18,_xlpm.fx,IF(OR(_xlpm.ld="",_xlpm.ld="Full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"&amp;_xlpm.q,""))))),IF(C687-I687&gt;=0.99,"next day",IF(C687-I687&gt;0.4,"12h → 24h","")))))))))))</f>
        <v/>
      </c>
      <c r="H687" s="4" t="str">
        <f t="shared" si="60"/>
        <v/>
      </c>
      <c r="I687" s="5" t="str">
        <f t="shared" si="61"/>
        <v/>
      </c>
      <c r="J687" s="6">
        <f t="shared" si="62"/>
        <v>0</v>
      </c>
      <c r="K687" s="4" t="str">
        <f t="shared" si="63"/>
        <v/>
      </c>
      <c r="L687" s="4" t="str">
        <f t="shared" si="64"/>
        <v/>
      </c>
      <c r="M687" s="4" t="b" cm="1">
        <f t="array" ref="M687">IF(H687="",FALSE,SUMPRODUCT(--(H$1:H686=H687))&gt;0)</f>
        <v>0</v>
      </c>
      <c r="N687" s="36"/>
      <c r="P687" s="1" t="str">
        <f t="shared" si="65"/>
        <v/>
      </c>
    </row>
    <row r="688" spans="1:16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"&amp;L688,IF(AND(MAX(K$1:K687)&gt;0,N(K688)-MAX(K$1:K687)&gt;180),"⚠ Gap &gt; 3h",IF(_xlfn.LET(_xlpm.q,E688,_xlpm.tk,P688,_xlpm.ld,Log!$P$18,_xlpm.fx,IF(OR(_xlpm.ld="",_xlpm.ld="Full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"&amp;_xlpm.q,""))))&lt;&gt;"",IF(N688&lt;&gt;"","Load OK ✓ (checked)","⚠ "&amp;_xlfn.LET(_xlpm.q,E688,_xlpm.tk,P688,_xlpm.ld,Log!$P$18,_xlpm.fx,IF(OR(_xlpm.ld="",_xlpm.ld="Full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"&amp;_xlpm.q,""))))),IF(C688-I688&gt;=0.99,"next day",IF(C688-I688&gt;0.4,"12h → 24h","")))))))))))</f>
        <v/>
      </c>
      <c r="H688" s="4" t="str">
        <f t="shared" si="60"/>
        <v/>
      </c>
      <c r="I688" s="5" t="str">
        <f t="shared" si="61"/>
        <v/>
      </c>
      <c r="J688" s="6">
        <f t="shared" si="62"/>
        <v>0</v>
      </c>
      <c r="K688" s="4" t="str">
        <f t="shared" si="63"/>
        <v/>
      </c>
      <c r="L688" s="4" t="str">
        <f t="shared" si="64"/>
        <v/>
      </c>
      <c r="M688" s="4" t="b" cm="1">
        <f t="array" ref="M688">IF(H688="",FALSE,SUMPRODUCT(--(H$1:H687=H688))&gt;0)</f>
        <v>0</v>
      </c>
      <c r="N688" s="36"/>
      <c r="P688" s="1" t="str">
        <f t="shared" si="65"/>
        <v/>
      </c>
    </row>
    <row r="689" spans="1:16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"&amp;L689,IF(AND(MAX(K$1:K688)&gt;0,N(K689)-MAX(K$1:K688)&gt;180),"⚠ Gap &gt; 3h",IF(_xlfn.LET(_xlpm.q,E689,_xlpm.tk,P689,_xlpm.ld,Log!$P$18,_xlpm.fx,IF(OR(_xlpm.ld="",_xlpm.ld="Full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"&amp;_xlpm.q,""))))&lt;&gt;"",IF(N689&lt;&gt;"","Load OK ✓ (checked)","⚠ "&amp;_xlfn.LET(_xlpm.q,E689,_xlpm.tk,P689,_xlpm.ld,Log!$P$18,_xlpm.fx,IF(OR(_xlpm.ld="",_xlpm.ld="Full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"&amp;_xlpm.q,""))))),IF(C689-I689&gt;=0.99,"next day",IF(C689-I689&gt;0.4,"12h → 24h","")))))))))))</f>
        <v/>
      </c>
      <c r="H689" s="4" t="str">
        <f t="shared" si="60"/>
        <v/>
      </c>
      <c r="I689" s="5" t="str">
        <f t="shared" si="61"/>
        <v/>
      </c>
      <c r="J689" s="6">
        <f t="shared" si="62"/>
        <v>0</v>
      </c>
      <c r="K689" s="4" t="str">
        <f t="shared" si="63"/>
        <v/>
      </c>
      <c r="L689" s="4" t="str">
        <f t="shared" si="64"/>
        <v/>
      </c>
      <c r="M689" s="4" t="b" cm="1">
        <f t="array" ref="M689">IF(H689="",FALSE,SUMPRODUCT(--(H$1:H688=H689))&gt;0)</f>
        <v>0</v>
      </c>
      <c r="N689" s="36"/>
      <c r="P689" s="1" t="str">
        <f t="shared" si="65"/>
        <v/>
      </c>
    </row>
    <row r="690" spans="1:16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"&amp;L690,IF(AND(MAX(K$1:K689)&gt;0,N(K690)-MAX(K$1:K689)&gt;180),"⚠ Gap &gt; 3h",IF(_xlfn.LET(_xlpm.q,E690,_xlpm.tk,P690,_xlpm.ld,Log!$P$18,_xlpm.fx,IF(OR(_xlpm.ld="",_xlpm.ld="Full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"&amp;_xlpm.q,""))))&lt;&gt;"",IF(N690&lt;&gt;"","Load OK ✓ (checked)","⚠ "&amp;_xlfn.LET(_xlpm.q,E690,_xlpm.tk,P690,_xlpm.ld,Log!$P$18,_xlpm.fx,IF(OR(_xlpm.ld="",_xlpm.ld="Full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"&amp;_xlpm.q,""))))),IF(C690-I690&gt;=0.99,"next day",IF(C690-I690&gt;0.4,"12h → 24h","")))))))))))</f>
        <v/>
      </c>
      <c r="H690" s="4" t="str">
        <f t="shared" si="60"/>
        <v/>
      </c>
      <c r="I690" s="5" t="str">
        <f t="shared" si="61"/>
        <v/>
      </c>
      <c r="J690" s="6">
        <f t="shared" si="62"/>
        <v>0</v>
      </c>
      <c r="K690" s="4" t="str">
        <f t="shared" si="63"/>
        <v/>
      </c>
      <c r="L690" s="4" t="str">
        <f t="shared" si="64"/>
        <v/>
      </c>
      <c r="M690" s="4" t="b" cm="1">
        <f t="array" ref="M690">IF(H690="",FALSE,SUMPRODUCT(--(H$1:H689=H690))&gt;0)</f>
        <v>0</v>
      </c>
      <c r="N690" s="36"/>
      <c r="P690" s="1" t="str">
        <f t="shared" si="65"/>
        <v/>
      </c>
    </row>
    <row r="691" spans="1:16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"&amp;L691,IF(AND(MAX(K$1:K690)&gt;0,N(K691)-MAX(K$1:K690)&gt;180),"⚠ Gap &gt; 3h",IF(_xlfn.LET(_xlpm.q,E691,_xlpm.tk,P691,_xlpm.ld,Log!$P$18,_xlpm.fx,IF(OR(_xlpm.ld="",_xlpm.ld="Full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"&amp;_xlpm.q,""))))&lt;&gt;"",IF(N691&lt;&gt;"","Load OK ✓ (checked)","⚠ "&amp;_xlfn.LET(_xlpm.q,E691,_xlpm.tk,P691,_xlpm.ld,Log!$P$18,_xlpm.fx,IF(OR(_xlpm.ld="",_xlpm.ld="Full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"&amp;_xlpm.q,""))))),IF(C691-I691&gt;=0.99,"next day",IF(C691-I691&gt;0.4,"12h → 24h","")))))))))))</f>
        <v/>
      </c>
      <c r="H691" s="4" t="str">
        <f t="shared" si="60"/>
        <v/>
      </c>
      <c r="I691" s="5" t="str">
        <f t="shared" si="61"/>
        <v/>
      </c>
      <c r="J691" s="6">
        <f t="shared" si="62"/>
        <v>0</v>
      </c>
      <c r="K691" s="4" t="str">
        <f t="shared" si="63"/>
        <v/>
      </c>
      <c r="L691" s="4" t="str">
        <f t="shared" si="64"/>
        <v/>
      </c>
      <c r="M691" s="4" t="b" cm="1">
        <f t="array" ref="M691">IF(H691="",FALSE,SUMPRODUCT(--(H$1:H690=H691))&gt;0)</f>
        <v>0</v>
      </c>
      <c r="N691" s="36"/>
      <c r="P691" s="1" t="str">
        <f t="shared" si="65"/>
        <v/>
      </c>
    </row>
    <row r="692" spans="1:16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"&amp;L692,IF(AND(MAX(K$1:K691)&gt;0,N(K692)-MAX(K$1:K691)&gt;180),"⚠ Gap &gt; 3h",IF(_xlfn.LET(_xlpm.q,E692,_xlpm.tk,P692,_xlpm.ld,Log!$P$18,_xlpm.fx,IF(OR(_xlpm.ld="",_xlpm.ld="Full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"&amp;_xlpm.q,""))))&lt;&gt;"",IF(N692&lt;&gt;"","Load OK ✓ (checked)","⚠ "&amp;_xlfn.LET(_xlpm.q,E692,_xlpm.tk,P692,_xlpm.ld,Log!$P$18,_xlpm.fx,IF(OR(_xlpm.ld="",_xlpm.ld="Full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"&amp;_xlpm.q,""))))),IF(C692-I692&gt;=0.99,"next day",IF(C692-I692&gt;0.4,"12h → 24h","")))))))))))</f>
        <v/>
      </c>
      <c r="H692" s="4" t="str">
        <f t="shared" si="60"/>
        <v/>
      </c>
      <c r="I692" s="5" t="str">
        <f t="shared" si="61"/>
        <v/>
      </c>
      <c r="J692" s="6">
        <f t="shared" si="62"/>
        <v>0</v>
      </c>
      <c r="K692" s="4" t="str">
        <f t="shared" si="63"/>
        <v/>
      </c>
      <c r="L692" s="4" t="str">
        <f t="shared" si="64"/>
        <v/>
      </c>
      <c r="M692" s="4" t="b" cm="1">
        <f t="array" ref="M692">IF(H692="",FALSE,SUMPRODUCT(--(H$1:H691=H692))&gt;0)</f>
        <v>0</v>
      </c>
      <c r="N692" s="36"/>
      <c r="P692" s="1" t="str">
        <f t="shared" si="65"/>
        <v/>
      </c>
    </row>
    <row r="693" spans="1:16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"&amp;L693,IF(AND(MAX(K$1:K692)&gt;0,N(K693)-MAX(K$1:K692)&gt;180),"⚠ Gap &gt; 3h",IF(_xlfn.LET(_xlpm.q,E693,_xlpm.tk,P693,_xlpm.ld,Log!$P$18,_xlpm.fx,IF(OR(_xlpm.ld="",_xlpm.ld="Full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"&amp;_xlpm.q,""))))&lt;&gt;"",IF(N693&lt;&gt;"","Load OK ✓ (checked)","⚠ "&amp;_xlfn.LET(_xlpm.q,E693,_xlpm.tk,P693,_xlpm.ld,Log!$P$18,_xlpm.fx,IF(OR(_xlpm.ld="",_xlpm.ld="Full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"&amp;_xlpm.q,""))))),IF(C693-I693&gt;=0.99,"next day",IF(C693-I693&gt;0.4,"12h → 24h","")))))))))))</f>
        <v/>
      </c>
      <c r="H693" s="4" t="str">
        <f t="shared" si="60"/>
        <v/>
      </c>
      <c r="I693" s="5" t="str">
        <f t="shared" si="61"/>
        <v/>
      </c>
      <c r="J693" s="6">
        <f t="shared" si="62"/>
        <v>0</v>
      </c>
      <c r="K693" s="4" t="str">
        <f t="shared" si="63"/>
        <v/>
      </c>
      <c r="L693" s="4" t="str">
        <f t="shared" si="64"/>
        <v/>
      </c>
      <c r="M693" s="4" t="b" cm="1">
        <f t="array" ref="M693">IF(H693="",FALSE,SUMPRODUCT(--(H$1:H692=H693))&gt;0)</f>
        <v>0</v>
      </c>
      <c r="N693" s="36"/>
      <c r="P693" s="1" t="str">
        <f t="shared" si="65"/>
        <v/>
      </c>
    </row>
    <row r="694" spans="1:16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"&amp;L694,IF(AND(MAX(K$1:K693)&gt;0,N(K694)-MAX(K$1:K693)&gt;180),"⚠ Gap &gt; 3h",IF(_xlfn.LET(_xlpm.q,E694,_xlpm.tk,P694,_xlpm.ld,Log!$P$18,_xlpm.fx,IF(OR(_xlpm.ld="",_xlpm.ld="Full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"&amp;_xlpm.q,""))))&lt;&gt;"",IF(N694&lt;&gt;"","Load OK ✓ (checked)","⚠ "&amp;_xlfn.LET(_xlpm.q,E694,_xlpm.tk,P694,_xlpm.ld,Log!$P$18,_xlpm.fx,IF(OR(_xlpm.ld="",_xlpm.ld="Full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"&amp;_xlpm.q,""))))),IF(C694-I694&gt;=0.99,"next day",IF(C694-I694&gt;0.4,"12h → 24h","")))))))))))</f>
        <v/>
      </c>
      <c r="H694" s="4" t="str">
        <f t="shared" si="60"/>
        <v/>
      </c>
      <c r="I694" s="5" t="str">
        <f t="shared" si="61"/>
        <v/>
      </c>
      <c r="J694" s="6">
        <f t="shared" si="62"/>
        <v>0</v>
      </c>
      <c r="K694" s="4" t="str">
        <f t="shared" si="63"/>
        <v/>
      </c>
      <c r="L694" s="4" t="str">
        <f t="shared" si="64"/>
        <v/>
      </c>
      <c r="M694" s="4" t="b" cm="1">
        <f t="array" ref="M694">IF(H694="",FALSE,SUMPRODUCT(--(H$1:H693=H694))&gt;0)</f>
        <v>0</v>
      </c>
      <c r="N694" s="36"/>
      <c r="P694" s="1" t="str">
        <f t="shared" si="65"/>
        <v/>
      </c>
    </row>
    <row r="695" spans="1:16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"&amp;L695,IF(AND(MAX(K$1:K694)&gt;0,N(K695)-MAX(K$1:K694)&gt;180),"⚠ Gap &gt; 3h",IF(_xlfn.LET(_xlpm.q,E695,_xlpm.tk,P695,_xlpm.ld,Log!$P$18,_xlpm.fx,IF(OR(_xlpm.ld="",_xlpm.ld="Full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"&amp;_xlpm.q,""))))&lt;&gt;"",IF(N695&lt;&gt;"","Load OK ✓ (checked)","⚠ "&amp;_xlfn.LET(_xlpm.q,E695,_xlpm.tk,P695,_xlpm.ld,Log!$P$18,_xlpm.fx,IF(OR(_xlpm.ld="",_xlpm.ld="Full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"&amp;_xlpm.q,""))))),IF(C695-I695&gt;=0.99,"next day",IF(C695-I695&gt;0.4,"12h → 24h","")))))))))))</f>
        <v/>
      </c>
      <c r="H695" s="4" t="str">
        <f t="shared" si="60"/>
        <v/>
      </c>
      <c r="I695" s="5" t="str">
        <f t="shared" si="61"/>
        <v/>
      </c>
      <c r="J695" s="6">
        <f t="shared" si="62"/>
        <v>0</v>
      </c>
      <c r="K695" s="4" t="str">
        <f t="shared" si="63"/>
        <v/>
      </c>
      <c r="L695" s="4" t="str">
        <f t="shared" si="64"/>
        <v/>
      </c>
      <c r="M695" s="4" t="b" cm="1">
        <f t="array" ref="M695">IF(H695="",FALSE,SUMPRODUCT(--(H$1:H694=H695))&gt;0)</f>
        <v>0</v>
      </c>
      <c r="N695" s="36"/>
      <c r="P695" s="1" t="str">
        <f t="shared" si="65"/>
        <v/>
      </c>
    </row>
    <row r="696" spans="1:16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"&amp;L696,IF(AND(MAX(K$1:K695)&gt;0,N(K696)-MAX(K$1:K695)&gt;180),"⚠ Gap &gt; 3h",IF(_xlfn.LET(_xlpm.q,E696,_xlpm.tk,P696,_xlpm.ld,Log!$P$18,_xlpm.fx,IF(OR(_xlpm.ld="",_xlpm.ld="Full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"&amp;_xlpm.q,""))))&lt;&gt;"",IF(N696&lt;&gt;"","Load OK ✓ (checked)","⚠ "&amp;_xlfn.LET(_xlpm.q,E696,_xlpm.tk,P696,_xlpm.ld,Log!$P$18,_xlpm.fx,IF(OR(_xlpm.ld="",_xlpm.ld="Full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"&amp;_xlpm.q,""))))),IF(C696-I696&gt;=0.99,"next day",IF(C696-I696&gt;0.4,"12h → 24h","")))))))))))</f>
        <v/>
      </c>
      <c r="H696" s="4" t="str">
        <f t="shared" si="60"/>
        <v/>
      </c>
      <c r="I696" s="5" t="str">
        <f t="shared" si="61"/>
        <v/>
      </c>
      <c r="J696" s="6">
        <f t="shared" si="62"/>
        <v>0</v>
      </c>
      <c r="K696" s="4" t="str">
        <f t="shared" si="63"/>
        <v/>
      </c>
      <c r="L696" s="4" t="str">
        <f t="shared" si="64"/>
        <v/>
      </c>
      <c r="M696" s="4" t="b" cm="1">
        <f t="array" ref="M696">IF(H696="",FALSE,SUMPRODUCT(--(H$1:H695=H696))&gt;0)</f>
        <v>0</v>
      </c>
      <c r="N696" s="36"/>
      <c r="P696" s="1" t="str">
        <f t="shared" si="65"/>
        <v/>
      </c>
    </row>
    <row r="697" spans="1:16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"&amp;L697,IF(AND(MAX(K$1:K696)&gt;0,N(K697)-MAX(K$1:K696)&gt;180),"⚠ Gap &gt; 3h",IF(_xlfn.LET(_xlpm.q,E697,_xlpm.tk,P697,_xlpm.ld,Log!$P$18,_xlpm.fx,IF(OR(_xlpm.ld="",_xlpm.ld="Full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"&amp;_xlpm.q,""))))&lt;&gt;"",IF(N697&lt;&gt;"","Load OK ✓ (checked)","⚠ "&amp;_xlfn.LET(_xlpm.q,E697,_xlpm.tk,P697,_xlpm.ld,Log!$P$18,_xlpm.fx,IF(OR(_xlpm.ld="",_xlpm.ld="Full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"&amp;_xlpm.q,""))))),IF(C697-I697&gt;=0.99,"next day",IF(C697-I697&gt;0.4,"12h → 24h","")))))))))))</f>
        <v/>
      </c>
      <c r="H697" s="4" t="str">
        <f t="shared" si="60"/>
        <v/>
      </c>
      <c r="I697" s="5" t="str">
        <f t="shared" si="61"/>
        <v/>
      </c>
      <c r="J697" s="6">
        <f t="shared" si="62"/>
        <v>0</v>
      </c>
      <c r="K697" s="4" t="str">
        <f t="shared" si="63"/>
        <v/>
      </c>
      <c r="L697" s="4" t="str">
        <f t="shared" si="64"/>
        <v/>
      </c>
      <c r="M697" s="4" t="b" cm="1">
        <f t="array" ref="M697">IF(H697="",FALSE,SUMPRODUCT(--(H$1:H696=H697))&gt;0)</f>
        <v>0</v>
      </c>
      <c r="N697" s="36"/>
      <c r="P697" s="1" t="str">
        <f t="shared" si="65"/>
        <v/>
      </c>
    </row>
    <row r="698" spans="1:16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"&amp;L698,IF(AND(MAX(K$1:K697)&gt;0,N(K698)-MAX(K$1:K697)&gt;180),"⚠ Gap &gt; 3h",IF(_xlfn.LET(_xlpm.q,E698,_xlpm.tk,P698,_xlpm.ld,Log!$P$18,_xlpm.fx,IF(OR(_xlpm.ld="",_xlpm.ld="Full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"&amp;_xlpm.q,""))))&lt;&gt;"",IF(N698&lt;&gt;"","Load OK ✓ (checked)","⚠ "&amp;_xlfn.LET(_xlpm.q,E698,_xlpm.tk,P698,_xlpm.ld,Log!$P$18,_xlpm.fx,IF(OR(_xlpm.ld="",_xlpm.ld="Full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"&amp;_xlpm.q,""))))),IF(C698-I698&gt;=0.99,"next day",IF(C698-I698&gt;0.4,"12h → 24h","")))))))))))</f>
        <v/>
      </c>
      <c r="H698" s="4" t="str">
        <f t="shared" si="60"/>
        <v/>
      </c>
      <c r="I698" s="5" t="str">
        <f t="shared" si="61"/>
        <v/>
      </c>
      <c r="J698" s="6">
        <f t="shared" si="62"/>
        <v>0</v>
      </c>
      <c r="K698" s="4" t="str">
        <f t="shared" si="63"/>
        <v/>
      </c>
      <c r="L698" s="4" t="str">
        <f t="shared" si="64"/>
        <v/>
      </c>
      <c r="M698" s="4" t="b" cm="1">
        <f t="array" ref="M698">IF(H698="",FALSE,SUMPRODUCT(--(H$1:H697=H698))&gt;0)</f>
        <v>0</v>
      </c>
      <c r="N698" s="36"/>
      <c r="P698" s="1" t="str">
        <f t="shared" si="65"/>
        <v/>
      </c>
    </row>
    <row r="699" spans="1:16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"&amp;L699,IF(AND(MAX(K$1:K698)&gt;0,N(K699)-MAX(K$1:K698)&gt;180),"⚠ Gap &gt; 3h",IF(_xlfn.LET(_xlpm.q,E699,_xlpm.tk,P699,_xlpm.ld,Log!$P$18,_xlpm.fx,IF(OR(_xlpm.ld="",_xlpm.ld="Full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"&amp;_xlpm.q,""))))&lt;&gt;"",IF(N699&lt;&gt;"","Load OK ✓ (checked)","⚠ "&amp;_xlfn.LET(_xlpm.q,E699,_xlpm.tk,P699,_xlpm.ld,Log!$P$18,_xlpm.fx,IF(OR(_xlpm.ld="",_xlpm.ld="Full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"&amp;_xlpm.q,""))))),IF(C699-I699&gt;=0.99,"next day",IF(C699-I699&gt;0.4,"12h → 24h","")))))))))))</f>
        <v/>
      </c>
      <c r="H699" s="4" t="str">
        <f t="shared" si="60"/>
        <v/>
      </c>
      <c r="I699" s="5" t="str">
        <f t="shared" si="61"/>
        <v/>
      </c>
      <c r="J699" s="6">
        <f t="shared" si="62"/>
        <v>0</v>
      </c>
      <c r="K699" s="4" t="str">
        <f t="shared" si="63"/>
        <v/>
      </c>
      <c r="L699" s="4" t="str">
        <f t="shared" si="64"/>
        <v/>
      </c>
      <c r="M699" s="4" t="b" cm="1">
        <f t="array" ref="M699">IF(H699="",FALSE,SUMPRODUCT(--(H$1:H698=H699))&gt;0)</f>
        <v>0</v>
      </c>
      <c r="N699" s="36"/>
      <c r="P699" s="1" t="str">
        <f t="shared" si="65"/>
        <v/>
      </c>
    </row>
    <row r="700" spans="1:16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"&amp;L700,IF(AND(MAX(K$1:K699)&gt;0,N(K700)-MAX(K$1:K699)&gt;180),"⚠ Gap &gt; 3h",IF(_xlfn.LET(_xlpm.q,E700,_xlpm.tk,P700,_xlpm.ld,Log!$P$18,_xlpm.fx,IF(OR(_xlpm.ld="",_xlpm.ld="Full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"&amp;_xlpm.q,""))))&lt;&gt;"",IF(N700&lt;&gt;"","Load OK ✓ (checked)","⚠ "&amp;_xlfn.LET(_xlpm.q,E700,_xlpm.tk,P700,_xlpm.ld,Log!$P$18,_xlpm.fx,IF(OR(_xlpm.ld="",_xlpm.ld="Full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"&amp;_xlpm.q,""))))),IF(C700-I700&gt;=0.99,"next day",IF(C700-I700&gt;0.4,"12h → 24h","")))))))))))</f>
        <v/>
      </c>
      <c r="H700" s="4" t="str">
        <f t="shared" si="60"/>
        <v/>
      </c>
      <c r="I700" s="5" t="str">
        <f t="shared" si="61"/>
        <v/>
      </c>
      <c r="J700" s="6">
        <f t="shared" si="62"/>
        <v>0</v>
      </c>
      <c r="K700" s="4" t="str">
        <f t="shared" si="63"/>
        <v/>
      </c>
      <c r="L700" s="4" t="str">
        <f t="shared" si="64"/>
        <v/>
      </c>
      <c r="M700" s="4" t="b" cm="1">
        <f t="array" ref="M700">IF(H700="",FALSE,SUMPRODUCT(--(H$1:H699=H700))&gt;0)</f>
        <v>0</v>
      </c>
      <c r="N700" s="36"/>
      <c r="P700" s="1" t="str">
        <f t="shared" si="65"/>
        <v/>
      </c>
    </row>
    <row r="701" spans="1:16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"&amp;L701,IF(AND(MAX(K$1:K700)&gt;0,N(K701)-MAX(K$1:K700)&gt;180),"⚠ Gap &gt; 3h",IF(_xlfn.LET(_xlpm.q,E701,_xlpm.tk,P701,_xlpm.ld,Log!$P$18,_xlpm.fx,IF(OR(_xlpm.ld="",_xlpm.ld="Full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"&amp;_xlpm.q,""))))&lt;&gt;"",IF(N701&lt;&gt;"","Load OK ✓ (checked)","⚠ "&amp;_xlfn.LET(_xlpm.q,E701,_xlpm.tk,P701,_xlpm.ld,Log!$P$18,_xlpm.fx,IF(OR(_xlpm.ld="",_xlpm.ld="Full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"&amp;_xlpm.q,""))))),IF(C701-I701&gt;=0.99,"next day",IF(C701-I701&gt;0.4,"12h → 24h","")))))))))))</f>
        <v/>
      </c>
      <c r="H701" s="4" t="str">
        <f t="shared" si="60"/>
        <v/>
      </c>
      <c r="I701" s="5" t="str">
        <f t="shared" si="61"/>
        <v/>
      </c>
      <c r="J701" s="6">
        <f t="shared" si="62"/>
        <v>0</v>
      </c>
      <c r="K701" s="4" t="str">
        <f t="shared" si="63"/>
        <v/>
      </c>
      <c r="L701" s="4" t="str">
        <f t="shared" si="64"/>
        <v/>
      </c>
      <c r="M701" s="4" t="b" cm="1">
        <f t="array" ref="M701">IF(H701="",FALSE,SUMPRODUCT(--(H$1:H700=H701))&gt;0)</f>
        <v>0</v>
      </c>
      <c r="N701" s="36"/>
      <c r="P701" s="1" t="str">
        <f t="shared" si="65"/>
        <v/>
      </c>
    </row>
    <row r="702" spans="1:16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"&amp;L702,IF(AND(MAX(K$1:K701)&gt;0,N(K702)-MAX(K$1:K701)&gt;180),"⚠ Gap &gt; 3h",IF(_xlfn.LET(_xlpm.q,E702,_xlpm.tk,P702,_xlpm.ld,Log!$P$18,_xlpm.fx,IF(OR(_xlpm.ld="",_xlpm.ld="Full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"&amp;_xlpm.q,""))))&lt;&gt;"",IF(N702&lt;&gt;"","Load OK ✓ (checked)","⚠ "&amp;_xlfn.LET(_xlpm.q,E702,_xlpm.tk,P702,_xlpm.ld,Log!$P$18,_xlpm.fx,IF(OR(_xlpm.ld="",_xlpm.ld="Full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"&amp;_xlpm.q,""))))),IF(C702-I702&gt;=0.99,"next day",IF(C702-I702&gt;0.4,"12h → 24h","")))))))))))</f>
        <v/>
      </c>
      <c r="H702" s="4" t="str">
        <f t="shared" si="60"/>
        <v/>
      </c>
      <c r="I702" s="5" t="str">
        <f t="shared" si="61"/>
        <v/>
      </c>
      <c r="J702" s="6">
        <f t="shared" si="62"/>
        <v>0</v>
      </c>
      <c r="K702" s="4" t="str">
        <f t="shared" si="63"/>
        <v/>
      </c>
      <c r="L702" s="4" t="str">
        <f t="shared" si="64"/>
        <v/>
      </c>
      <c r="M702" s="4" t="b" cm="1">
        <f t="array" ref="M702">IF(H702="",FALSE,SUMPRODUCT(--(H$1:H701=H702))&gt;0)</f>
        <v>0</v>
      </c>
      <c r="N702" s="36"/>
      <c r="P702" s="1" t="str">
        <f t="shared" si="65"/>
        <v/>
      </c>
    </row>
    <row r="703" spans="1:16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"&amp;L703,IF(AND(MAX(K$1:K702)&gt;0,N(K703)-MAX(K$1:K702)&gt;180),"⚠ Gap &gt; 3h",IF(_xlfn.LET(_xlpm.q,E703,_xlpm.tk,P703,_xlpm.ld,Log!$P$18,_xlpm.fx,IF(OR(_xlpm.ld="",_xlpm.ld="Full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"&amp;_xlpm.q,""))))&lt;&gt;"",IF(N703&lt;&gt;"","Load OK ✓ (checked)","⚠ "&amp;_xlfn.LET(_xlpm.q,E703,_xlpm.tk,P703,_xlpm.ld,Log!$P$18,_xlpm.fx,IF(OR(_xlpm.ld="",_xlpm.ld="Full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"&amp;_xlpm.q,""))))),IF(C703-I703&gt;=0.99,"next day",IF(C703-I703&gt;0.4,"12h → 24h","")))))))))))</f>
        <v/>
      </c>
      <c r="H703" s="4" t="str">
        <f t="shared" si="60"/>
        <v/>
      </c>
      <c r="I703" s="5" t="str">
        <f t="shared" si="61"/>
        <v/>
      </c>
      <c r="J703" s="6">
        <f t="shared" si="62"/>
        <v>0</v>
      </c>
      <c r="K703" s="4" t="str">
        <f t="shared" si="63"/>
        <v/>
      </c>
      <c r="L703" s="4" t="str">
        <f t="shared" si="64"/>
        <v/>
      </c>
      <c r="M703" s="4" t="b" cm="1">
        <f t="array" ref="M703">IF(H703="",FALSE,SUMPRODUCT(--(H$1:H702=H703))&gt;0)</f>
        <v>0</v>
      </c>
      <c r="N703" s="36"/>
      <c r="P703" s="1" t="str">
        <f t="shared" si="65"/>
        <v/>
      </c>
    </row>
    <row r="704" spans="1:16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"&amp;L704,IF(AND(MAX(K$1:K703)&gt;0,N(K704)-MAX(K$1:K703)&gt;180),"⚠ Gap &gt; 3h",IF(_xlfn.LET(_xlpm.q,E704,_xlpm.tk,P704,_xlpm.ld,Log!$P$18,_xlpm.fx,IF(OR(_xlpm.ld="",_xlpm.ld="Full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"&amp;_xlpm.q,""))))&lt;&gt;"",IF(N704&lt;&gt;"","Load OK ✓ (checked)","⚠ "&amp;_xlfn.LET(_xlpm.q,E704,_xlpm.tk,P704,_xlpm.ld,Log!$P$18,_xlpm.fx,IF(OR(_xlpm.ld="",_xlpm.ld="Full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"&amp;_xlpm.q,""))))),IF(C704-I704&gt;=0.99,"next day",IF(C704-I704&gt;0.4,"12h → 24h","")))))))))))</f>
        <v/>
      </c>
      <c r="H704" s="4" t="str">
        <f t="shared" si="60"/>
        <v/>
      </c>
      <c r="I704" s="5" t="str">
        <f t="shared" si="61"/>
        <v/>
      </c>
      <c r="J704" s="6">
        <f t="shared" si="62"/>
        <v>0</v>
      </c>
      <c r="K704" s="4" t="str">
        <f t="shared" si="63"/>
        <v/>
      </c>
      <c r="L704" s="4" t="str">
        <f t="shared" si="64"/>
        <v/>
      </c>
      <c r="M704" s="4" t="b" cm="1">
        <f t="array" ref="M704">IF(H704="",FALSE,SUMPRODUCT(--(H$1:H703=H704))&gt;0)</f>
        <v>0</v>
      </c>
      <c r="N704" s="36"/>
      <c r="P704" s="1" t="str">
        <f t="shared" si="65"/>
        <v/>
      </c>
    </row>
    <row r="705" spans="1:16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"&amp;L705,IF(AND(MAX(K$1:K704)&gt;0,N(K705)-MAX(K$1:K704)&gt;180),"⚠ Gap &gt; 3h",IF(_xlfn.LET(_xlpm.q,E705,_xlpm.tk,P705,_xlpm.ld,Log!$P$18,_xlpm.fx,IF(OR(_xlpm.ld="",_xlpm.ld="Full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"&amp;_xlpm.q,""))))&lt;&gt;"",IF(N705&lt;&gt;"","Load OK ✓ (checked)","⚠ "&amp;_xlfn.LET(_xlpm.q,E705,_xlpm.tk,P705,_xlpm.ld,Log!$P$18,_xlpm.fx,IF(OR(_xlpm.ld="",_xlpm.ld="Full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"&amp;_xlpm.q,""))))),IF(C705-I705&gt;=0.99,"next day",IF(C705-I705&gt;0.4,"12h → 24h","")))))))))))</f>
        <v/>
      </c>
      <c r="H705" s="4" t="str">
        <f t="shared" si="60"/>
        <v/>
      </c>
      <c r="I705" s="5" t="str">
        <f t="shared" si="61"/>
        <v/>
      </c>
      <c r="J705" s="6">
        <f t="shared" si="62"/>
        <v>0</v>
      </c>
      <c r="K705" s="4" t="str">
        <f t="shared" si="63"/>
        <v/>
      </c>
      <c r="L705" s="4" t="str">
        <f t="shared" si="64"/>
        <v/>
      </c>
      <c r="M705" s="4" t="b" cm="1">
        <f t="array" ref="M705">IF(H705="",FALSE,SUMPRODUCT(--(H$1:H704=H705))&gt;0)</f>
        <v>0</v>
      </c>
      <c r="N705" s="36"/>
      <c r="P705" s="1" t="str">
        <f t="shared" si="65"/>
        <v/>
      </c>
    </row>
    <row r="706" spans="1:16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"&amp;L706,IF(AND(MAX(K$1:K705)&gt;0,N(K706)-MAX(K$1:K705)&gt;180),"⚠ Gap &gt; 3h",IF(_xlfn.LET(_xlpm.q,E706,_xlpm.tk,P706,_xlpm.ld,Log!$P$18,_xlpm.fx,IF(OR(_xlpm.ld="",_xlpm.ld="Full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"&amp;_xlpm.q,""))))&lt;&gt;"",IF(N706&lt;&gt;"","Load OK ✓ (checked)","⚠ "&amp;_xlfn.LET(_xlpm.q,E706,_xlpm.tk,P706,_xlpm.ld,Log!$P$18,_xlpm.fx,IF(OR(_xlpm.ld="",_xlpm.ld="Full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"&amp;_xlpm.q,""))))),IF(C706-I706&gt;=0.99,"next day",IF(C706-I706&gt;0.4,"12h → 24h","")))))))))))</f>
        <v/>
      </c>
      <c r="H706" s="4" t="str">
        <f t="shared" ref="H706:H769" si="66">IF(B706="","",_xlfn.LET(_xlpm.t,TRIM(B706),IF(LEFT(_xlpm.t,1)="[",IFERROR(TRIM(MID(_xlpm.t,FIND(": ",_xlpm.t,FIND("]",_xlpm.t))+2,500)),_xlpm.t),_xlpm.t)))</f>
        <v/>
      </c>
      <c r="I706" s="5" t="str">
        <f t="shared" ref="I706:I769" si="67">IF(H706="","",IFERROR(TIMEVALUE(TRIM(SUBSTITUTE(SUBSTITUTE(MID(H706,SEARCH(":",H706)-2,5),".",""),"*",""))),""))</f>
        <v/>
      </c>
      <c r="J706" s="6">
        <f t="shared" ref="J706:J769" si="68">IF(OR(B706="",F706="",M706),0,IF(ISNUMBER(F706),F706,N(E706)))</f>
        <v>0</v>
      </c>
      <c r="K706" s="4" t="str">
        <f t="shared" ref="K706:K769" si="69">IF(OR(C706="",M706),"",ROUND(C706*1440,0))</f>
        <v/>
      </c>
      <c r="L706" s="4" t="str">
        <f t="shared" ref="L706:L769" si="70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  <c r="N706" s="36"/>
      <c r="P706" s="1" t="str">
        <f t="shared" ref="P706:P769" si="71">IF(OR(H706="",NOT(ISNUMBER(L706))),"",IFERROR(_xlfn.LET(_xlpm.t,TRIM(SUBSTITUTE(SUBSTITUTE(SUBSTITUTE(H706,"*",""),"_",""),"."," ")),_xlpm.s,TRIM(MID(SUBSTITUTE(_xlpm.t," ",REPT(" ",100)),101,100)),IF(AND(LEN(_xlpm.s)=3,ISNUMBER(--_xlpm.s)),--_xlpm.s,"")),""))</f>
        <v/>
      </c>
    </row>
    <row r="707" spans="1:16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"&amp;L707,IF(AND(MAX(K$1:K706)&gt;0,N(K707)-MAX(K$1:K706)&gt;180),"⚠ Gap &gt; 3h",IF(_xlfn.LET(_xlpm.q,E707,_xlpm.tk,P707,_xlpm.ld,Log!$P$18,_xlpm.fx,IF(OR(_xlpm.ld="",_xlpm.ld="Full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"&amp;_xlpm.q,""))))&lt;&gt;"",IF(N707&lt;&gt;"","Load OK ✓ (checked)","⚠ "&amp;_xlfn.LET(_xlpm.q,E707,_xlpm.tk,P707,_xlpm.ld,Log!$P$18,_xlpm.fx,IF(OR(_xlpm.ld="",_xlpm.ld="Full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"&amp;_xlpm.q,""))))),IF(C707-I707&gt;=0.99,"next day",IF(C707-I707&gt;0.4,"12h → 24h","")))))))))))</f>
        <v/>
      </c>
      <c r="H707" s="4" t="str">
        <f t="shared" si="66"/>
        <v/>
      </c>
      <c r="I707" s="5" t="str">
        <f t="shared" si="67"/>
        <v/>
      </c>
      <c r="J707" s="6">
        <f t="shared" si="68"/>
        <v>0</v>
      </c>
      <c r="K707" s="4" t="str">
        <f t="shared" si="69"/>
        <v/>
      </c>
      <c r="L707" s="4" t="str">
        <f t="shared" si="70"/>
        <v/>
      </c>
      <c r="M707" s="4" t="b" cm="1">
        <f t="array" ref="M707">IF(H707="",FALSE,SUMPRODUCT(--(H$1:H706=H707))&gt;0)</f>
        <v>0</v>
      </c>
      <c r="N707" s="36"/>
      <c r="P707" s="1" t="str">
        <f t="shared" si="71"/>
        <v/>
      </c>
    </row>
    <row r="708" spans="1:16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"&amp;L708,IF(AND(MAX(K$1:K707)&gt;0,N(K708)-MAX(K$1:K707)&gt;180),"⚠ Gap &gt; 3h",IF(_xlfn.LET(_xlpm.q,E708,_xlpm.tk,P708,_xlpm.ld,Log!$P$18,_xlpm.fx,IF(OR(_xlpm.ld="",_xlpm.ld="Full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"&amp;_xlpm.q,""))))&lt;&gt;"",IF(N708&lt;&gt;"","Load OK ✓ (checked)","⚠ "&amp;_xlfn.LET(_xlpm.q,E708,_xlpm.tk,P708,_xlpm.ld,Log!$P$18,_xlpm.fx,IF(OR(_xlpm.ld="",_xlpm.ld="Full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"&amp;_xlpm.q,""))))),IF(C708-I708&gt;=0.99,"next day",IF(C708-I708&gt;0.4,"12h → 24h","")))))))))))</f>
        <v/>
      </c>
      <c r="H708" s="4" t="str">
        <f t="shared" si="66"/>
        <v/>
      </c>
      <c r="I708" s="5" t="str">
        <f t="shared" si="67"/>
        <v/>
      </c>
      <c r="J708" s="6">
        <f t="shared" si="68"/>
        <v>0</v>
      </c>
      <c r="K708" s="4" t="str">
        <f t="shared" si="69"/>
        <v/>
      </c>
      <c r="L708" s="4" t="str">
        <f t="shared" si="70"/>
        <v/>
      </c>
      <c r="M708" s="4" t="b" cm="1">
        <f t="array" ref="M708">IF(H708="",FALSE,SUMPRODUCT(--(H$1:H707=H708))&gt;0)</f>
        <v>0</v>
      </c>
      <c r="N708" s="36"/>
      <c r="P708" s="1" t="str">
        <f t="shared" si="71"/>
        <v/>
      </c>
    </row>
    <row r="709" spans="1:16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"&amp;L709,IF(AND(MAX(K$1:K708)&gt;0,N(K709)-MAX(K$1:K708)&gt;180),"⚠ Gap &gt; 3h",IF(_xlfn.LET(_xlpm.q,E709,_xlpm.tk,P709,_xlpm.ld,Log!$P$18,_xlpm.fx,IF(OR(_xlpm.ld="",_xlpm.ld="Full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"&amp;_xlpm.q,""))))&lt;&gt;"",IF(N709&lt;&gt;"","Load OK ✓ (checked)","⚠ "&amp;_xlfn.LET(_xlpm.q,E709,_xlpm.tk,P709,_xlpm.ld,Log!$P$18,_xlpm.fx,IF(OR(_xlpm.ld="",_xlpm.ld="Full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"&amp;_xlpm.q,""))))),IF(C709-I709&gt;=0.99,"next day",IF(C709-I709&gt;0.4,"12h → 24h","")))))))))))</f>
        <v/>
      </c>
      <c r="H709" s="4" t="str">
        <f t="shared" si="66"/>
        <v/>
      </c>
      <c r="I709" s="5" t="str">
        <f t="shared" si="67"/>
        <v/>
      </c>
      <c r="J709" s="6">
        <f t="shared" si="68"/>
        <v>0</v>
      </c>
      <c r="K709" s="4" t="str">
        <f t="shared" si="69"/>
        <v/>
      </c>
      <c r="L709" s="4" t="str">
        <f t="shared" si="70"/>
        <v/>
      </c>
      <c r="M709" s="4" t="b" cm="1">
        <f t="array" ref="M709">IF(H709="",FALSE,SUMPRODUCT(--(H$1:H708=H709))&gt;0)</f>
        <v>0</v>
      </c>
      <c r="N709" s="36"/>
      <c r="P709" s="1" t="str">
        <f t="shared" si="71"/>
        <v/>
      </c>
    </row>
    <row r="710" spans="1:16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"&amp;L710,IF(AND(MAX(K$1:K709)&gt;0,N(K710)-MAX(K$1:K709)&gt;180),"⚠ Gap &gt; 3h",IF(_xlfn.LET(_xlpm.q,E710,_xlpm.tk,P710,_xlpm.ld,Log!$P$18,_xlpm.fx,IF(OR(_xlpm.ld="",_xlpm.ld="Full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"&amp;_xlpm.q,""))))&lt;&gt;"",IF(N710&lt;&gt;"","Load OK ✓ (checked)","⚠ "&amp;_xlfn.LET(_xlpm.q,E710,_xlpm.tk,P710,_xlpm.ld,Log!$P$18,_xlpm.fx,IF(OR(_xlpm.ld="",_xlpm.ld="Full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"&amp;_xlpm.q,""))))),IF(C710-I710&gt;=0.99,"next day",IF(C710-I710&gt;0.4,"12h → 24h","")))))))))))</f>
        <v/>
      </c>
      <c r="H710" s="4" t="str">
        <f t="shared" si="66"/>
        <v/>
      </c>
      <c r="I710" s="5" t="str">
        <f t="shared" si="67"/>
        <v/>
      </c>
      <c r="J710" s="6">
        <f t="shared" si="68"/>
        <v>0</v>
      </c>
      <c r="K710" s="4" t="str">
        <f t="shared" si="69"/>
        <v/>
      </c>
      <c r="L710" s="4" t="str">
        <f t="shared" si="70"/>
        <v/>
      </c>
      <c r="M710" s="4" t="b" cm="1">
        <f t="array" ref="M710">IF(H710="",FALSE,SUMPRODUCT(--(H$1:H709=H710))&gt;0)</f>
        <v>0</v>
      </c>
      <c r="N710" s="36"/>
      <c r="P710" s="1" t="str">
        <f t="shared" si="71"/>
        <v/>
      </c>
    </row>
    <row r="711" spans="1:16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"&amp;L711,IF(AND(MAX(K$1:K710)&gt;0,N(K711)-MAX(K$1:K710)&gt;180),"⚠ Gap &gt; 3h",IF(_xlfn.LET(_xlpm.q,E711,_xlpm.tk,P711,_xlpm.ld,Log!$P$18,_xlpm.fx,IF(OR(_xlpm.ld="",_xlpm.ld="Full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"&amp;_xlpm.q,""))))&lt;&gt;"",IF(N711&lt;&gt;"","Load OK ✓ (checked)","⚠ "&amp;_xlfn.LET(_xlpm.q,E711,_xlpm.tk,P711,_xlpm.ld,Log!$P$18,_xlpm.fx,IF(OR(_xlpm.ld="",_xlpm.ld="Full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"&amp;_xlpm.q,""))))),IF(C711-I711&gt;=0.99,"next day",IF(C711-I711&gt;0.4,"12h → 24h","")))))))))))</f>
        <v/>
      </c>
      <c r="H711" s="4" t="str">
        <f t="shared" si="66"/>
        <v/>
      </c>
      <c r="I711" s="5" t="str">
        <f t="shared" si="67"/>
        <v/>
      </c>
      <c r="J711" s="6">
        <f t="shared" si="68"/>
        <v>0</v>
      </c>
      <c r="K711" s="4" t="str">
        <f t="shared" si="69"/>
        <v/>
      </c>
      <c r="L711" s="4" t="str">
        <f t="shared" si="70"/>
        <v/>
      </c>
      <c r="M711" s="4" t="b" cm="1">
        <f t="array" ref="M711">IF(H711="",FALSE,SUMPRODUCT(--(H$1:H710=H711))&gt;0)</f>
        <v>0</v>
      </c>
      <c r="N711" s="36"/>
      <c r="P711" s="1" t="str">
        <f t="shared" si="71"/>
        <v/>
      </c>
    </row>
    <row r="712" spans="1:16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"&amp;L712,IF(AND(MAX(K$1:K711)&gt;0,N(K712)-MAX(K$1:K711)&gt;180),"⚠ Gap &gt; 3h",IF(_xlfn.LET(_xlpm.q,E712,_xlpm.tk,P712,_xlpm.ld,Log!$P$18,_xlpm.fx,IF(OR(_xlpm.ld="",_xlpm.ld="Full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"&amp;_xlpm.q,""))))&lt;&gt;"",IF(N712&lt;&gt;"","Load OK ✓ (checked)","⚠ "&amp;_xlfn.LET(_xlpm.q,E712,_xlpm.tk,P712,_xlpm.ld,Log!$P$18,_xlpm.fx,IF(OR(_xlpm.ld="",_xlpm.ld="Full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"&amp;_xlpm.q,""))))),IF(C712-I712&gt;=0.99,"next day",IF(C712-I712&gt;0.4,"12h → 24h","")))))))))))</f>
        <v/>
      </c>
      <c r="H712" s="4" t="str">
        <f t="shared" si="66"/>
        <v/>
      </c>
      <c r="I712" s="5" t="str">
        <f t="shared" si="67"/>
        <v/>
      </c>
      <c r="J712" s="6">
        <f t="shared" si="68"/>
        <v>0</v>
      </c>
      <c r="K712" s="4" t="str">
        <f t="shared" si="69"/>
        <v/>
      </c>
      <c r="L712" s="4" t="str">
        <f t="shared" si="70"/>
        <v/>
      </c>
      <c r="M712" s="4" t="b" cm="1">
        <f t="array" ref="M712">IF(H712="",FALSE,SUMPRODUCT(--(H$1:H711=H712))&gt;0)</f>
        <v>0</v>
      </c>
      <c r="N712" s="36"/>
      <c r="P712" s="1" t="str">
        <f t="shared" si="71"/>
        <v/>
      </c>
    </row>
    <row r="713" spans="1:16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"&amp;L713,IF(AND(MAX(K$1:K712)&gt;0,N(K713)-MAX(K$1:K712)&gt;180),"⚠ Gap &gt; 3h",IF(_xlfn.LET(_xlpm.q,E713,_xlpm.tk,P713,_xlpm.ld,Log!$P$18,_xlpm.fx,IF(OR(_xlpm.ld="",_xlpm.ld="Full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"&amp;_xlpm.q,""))))&lt;&gt;"",IF(N713&lt;&gt;"","Load OK ✓ (checked)","⚠ "&amp;_xlfn.LET(_xlpm.q,E713,_xlpm.tk,P713,_xlpm.ld,Log!$P$18,_xlpm.fx,IF(OR(_xlpm.ld="",_xlpm.ld="Full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"&amp;_xlpm.q,""))))),IF(C713-I713&gt;=0.99,"next day",IF(C713-I713&gt;0.4,"12h → 24h","")))))))))))</f>
        <v/>
      </c>
      <c r="H713" s="4" t="str">
        <f t="shared" si="66"/>
        <v/>
      </c>
      <c r="I713" s="5" t="str">
        <f t="shared" si="67"/>
        <v/>
      </c>
      <c r="J713" s="6">
        <f t="shared" si="68"/>
        <v>0</v>
      </c>
      <c r="K713" s="4" t="str">
        <f t="shared" si="69"/>
        <v/>
      </c>
      <c r="L713" s="4" t="str">
        <f t="shared" si="70"/>
        <v/>
      </c>
      <c r="M713" s="4" t="b" cm="1">
        <f t="array" ref="M713">IF(H713="",FALSE,SUMPRODUCT(--(H$1:H712=H713))&gt;0)</f>
        <v>0</v>
      </c>
      <c r="N713" s="36"/>
      <c r="P713" s="1" t="str">
        <f t="shared" si="71"/>
        <v/>
      </c>
    </row>
    <row r="714" spans="1:16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"&amp;L714,IF(AND(MAX(K$1:K713)&gt;0,N(K714)-MAX(K$1:K713)&gt;180),"⚠ Gap &gt; 3h",IF(_xlfn.LET(_xlpm.q,E714,_xlpm.tk,P714,_xlpm.ld,Log!$P$18,_xlpm.fx,IF(OR(_xlpm.ld="",_xlpm.ld="Full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"&amp;_xlpm.q,""))))&lt;&gt;"",IF(N714&lt;&gt;"","Load OK ✓ (checked)","⚠ "&amp;_xlfn.LET(_xlpm.q,E714,_xlpm.tk,P714,_xlpm.ld,Log!$P$18,_xlpm.fx,IF(OR(_xlpm.ld="",_xlpm.ld="Full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"&amp;_xlpm.q,""))))),IF(C714-I714&gt;=0.99,"next day",IF(C714-I714&gt;0.4,"12h → 24h","")))))))))))</f>
        <v/>
      </c>
      <c r="H714" s="4" t="str">
        <f t="shared" si="66"/>
        <v/>
      </c>
      <c r="I714" s="5" t="str">
        <f t="shared" si="67"/>
        <v/>
      </c>
      <c r="J714" s="6">
        <f t="shared" si="68"/>
        <v>0</v>
      </c>
      <c r="K714" s="4" t="str">
        <f t="shared" si="69"/>
        <v/>
      </c>
      <c r="L714" s="4" t="str">
        <f t="shared" si="70"/>
        <v/>
      </c>
      <c r="M714" s="4" t="b" cm="1">
        <f t="array" ref="M714">IF(H714="",FALSE,SUMPRODUCT(--(H$1:H713=H714))&gt;0)</f>
        <v>0</v>
      </c>
      <c r="N714" s="36"/>
      <c r="P714" s="1" t="str">
        <f t="shared" si="71"/>
        <v/>
      </c>
    </row>
    <row r="715" spans="1:16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"&amp;L715,IF(AND(MAX(K$1:K714)&gt;0,N(K715)-MAX(K$1:K714)&gt;180),"⚠ Gap &gt; 3h",IF(_xlfn.LET(_xlpm.q,E715,_xlpm.tk,P715,_xlpm.ld,Log!$P$18,_xlpm.fx,IF(OR(_xlpm.ld="",_xlpm.ld="Full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"&amp;_xlpm.q,""))))&lt;&gt;"",IF(N715&lt;&gt;"","Load OK ✓ (checked)","⚠ "&amp;_xlfn.LET(_xlpm.q,E715,_xlpm.tk,P715,_xlpm.ld,Log!$P$18,_xlpm.fx,IF(OR(_xlpm.ld="",_xlpm.ld="Full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"&amp;_xlpm.q,""))))),IF(C715-I715&gt;=0.99,"next day",IF(C715-I715&gt;0.4,"12h → 24h","")))))))))))</f>
        <v/>
      </c>
      <c r="H715" s="4" t="str">
        <f t="shared" si="66"/>
        <v/>
      </c>
      <c r="I715" s="5" t="str">
        <f t="shared" si="67"/>
        <v/>
      </c>
      <c r="J715" s="6">
        <f t="shared" si="68"/>
        <v>0</v>
      </c>
      <c r="K715" s="4" t="str">
        <f t="shared" si="69"/>
        <v/>
      </c>
      <c r="L715" s="4" t="str">
        <f t="shared" si="70"/>
        <v/>
      </c>
      <c r="M715" s="4" t="b" cm="1">
        <f t="array" ref="M715">IF(H715="",FALSE,SUMPRODUCT(--(H$1:H714=H715))&gt;0)</f>
        <v>0</v>
      </c>
      <c r="N715" s="36"/>
      <c r="P715" s="1" t="str">
        <f t="shared" si="71"/>
        <v/>
      </c>
    </row>
    <row r="716" spans="1:16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"&amp;L716,IF(AND(MAX(K$1:K715)&gt;0,N(K716)-MAX(K$1:K715)&gt;180),"⚠ Gap &gt; 3h",IF(_xlfn.LET(_xlpm.q,E716,_xlpm.tk,P716,_xlpm.ld,Log!$P$18,_xlpm.fx,IF(OR(_xlpm.ld="",_xlpm.ld="Full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"&amp;_xlpm.q,""))))&lt;&gt;"",IF(N716&lt;&gt;"","Load OK ✓ (checked)","⚠ "&amp;_xlfn.LET(_xlpm.q,E716,_xlpm.tk,P716,_xlpm.ld,Log!$P$18,_xlpm.fx,IF(OR(_xlpm.ld="",_xlpm.ld="Full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"&amp;_xlpm.q,""))))),IF(C716-I716&gt;=0.99,"next day",IF(C716-I716&gt;0.4,"12h → 24h","")))))))))))</f>
        <v/>
      </c>
      <c r="H716" s="4" t="str">
        <f t="shared" si="66"/>
        <v/>
      </c>
      <c r="I716" s="5" t="str">
        <f t="shared" si="67"/>
        <v/>
      </c>
      <c r="J716" s="6">
        <f t="shared" si="68"/>
        <v>0</v>
      </c>
      <c r="K716" s="4" t="str">
        <f t="shared" si="69"/>
        <v/>
      </c>
      <c r="L716" s="4" t="str">
        <f t="shared" si="70"/>
        <v/>
      </c>
      <c r="M716" s="4" t="b" cm="1">
        <f t="array" ref="M716">IF(H716="",FALSE,SUMPRODUCT(--(H$1:H715=H716))&gt;0)</f>
        <v>0</v>
      </c>
      <c r="N716" s="36"/>
      <c r="P716" s="1" t="str">
        <f t="shared" si="71"/>
        <v/>
      </c>
    </row>
    <row r="717" spans="1:16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"&amp;L717,IF(AND(MAX(K$1:K716)&gt;0,N(K717)-MAX(K$1:K716)&gt;180),"⚠ Gap &gt; 3h",IF(_xlfn.LET(_xlpm.q,E717,_xlpm.tk,P717,_xlpm.ld,Log!$P$18,_xlpm.fx,IF(OR(_xlpm.ld="",_xlpm.ld="Full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"&amp;_xlpm.q,""))))&lt;&gt;"",IF(N717&lt;&gt;"","Load OK ✓ (checked)","⚠ "&amp;_xlfn.LET(_xlpm.q,E717,_xlpm.tk,P717,_xlpm.ld,Log!$P$18,_xlpm.fx,IF(OR(_xlpm.ld="",_xlpm.ld="Full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"&amp;_xlpm.q,""))))),IF(C717-I717&gt;=0.99,"next day",IF(C717-I717&gt;0.4,"12h → 24h","")))))))))))</f>
        <v/>
      </c>
      <c r="H717" s="4" t="str">
        <f t="shared" si="66"/>
        <v/>
      </c>
      <c r="I717" s="5" t="str">
        <f t="shared" si="67"/>
        <v/>
      </c>
      <c r="J717" s="6">
        <f t="shared" si="68"/>
        <v>0</v>
      </c>
      <c r="K717" s="4" t="str">
        <f t="shared" si="69"/>
        <v/>
      </c>
      <c r="L717" s="4" t="str">
        <f t="shared" si="70"/>
        <v/>
      </c>
      <c r="M717" s="4" t="b" cm="1">
        <f t="array" ref="M717">IF(H717="",FALSE,SUMPRODUCT(--(H$1:H716=H717))&gt;0)</f>
        <v>0</v>
      </c>
      <c r="N717" s="36"/>
      <c r="P717" s="1" t="str">
        <f t="shared" si="71"/>
        <v/>
      </c>
    </row>
    <row r="718" spans="1:16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"&amp;L718,IF(AND(MAX(K$1:K717)&gt;0,N(K718)-MAX(K$1:K717)&gt;180),"⚠ Gap &gt; 3h",IF(_xlfn.LET(_xlpm.q,E718,_xlpm.tk,P718,_xlpm.ld,Log!$P$18,_xlpm.fx,IF(OR(_xlpm.ld="",_xlpm.ld="Full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"&amp;_xlpm.q,""))))&lt;&gt;"",IF(N718&lt;&gt;"","Load OK ✓ (checked)","⚠ "&amp;_xlfn.LET(_xlpm.q,E718,_xlpm.tk,P718,_xlpm.ld,Log!$P$18,_xlpm.fx,IF(OR(_xlpm.ld="",_xlpm.ld="Full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"&amp;_xlpm.q,""))))),IF(C718-I718&gt;=0.99,"next day",IF(C718-I718&gt;0.4,"12h → 24h","")))))))))))</f>
        <v/>
      </c>
      <c r="H718" s="4" t="str">
        <f t="shared" si="66"/>
        <v/>
      </c>
      <c r="I718" s="5" t="str">
        <f t="shared" si="67"/>
        <v/>
      </c>
      <c r="J718" s="6">
        <f t="shared" si="68"/>
        <v>0</v>
      </c>
      <c r="K718" s="4" t="str">
        <f t="shared" si="69"/>
        <v/>
      </c>
      <c r="L718" s="4" t="str">
        <f t="shared" si="70"/>
        <v/>
      </c>
      <c r="M718" s="4" t="b" cm="1">
        <f t="array" ref="M718">IF(H718="",FALSE,SUMPRODUCT(--(H$1:H717=H718))&gt;0)</f>
        <v>0</v>
      </c>
      <c r="N718" s="36"/>
      <c r="P718" s="1" t="str">
        <f t="shared" si="71"/>
        <v/>
      </c>
    </row>
    <row r="719" spans="1:16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"&amp;L719,IF(AND(MAX(K$1:K718)&gt;0,N(K719)-MAX(K$1:K718)&gt;180),"⚠ Gap &gt; 3h",IF(_xlfn.LET(_xlpm.q,E719,_xlpm.tk,P719,_xlpm.ld,Log!$P$18,_xlpm.fx,IF(OR(_xlpm.ld="",_xlpm.ld="Full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"&amp;_xlpm.q,""))))&lt;&gt;"",IF(N719&lt;&gt;"","Load OK ✓ (checked)","⚠ "&amp;_xlfn.LET(_xlpm.q,E719,_xlpm.tk,P719,_xlpm.ld,Log!$P$18,_xlpm.fx,IF(OR(_xlpm.ld="",_xlpm.ld="Full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"&amp;_xlpm.q,""))))),IF(C719-I719&gt;=0.99,"next day",IF(C719-I719&gt;0.4,"12h → 24h","")))))))))))</f>
        <v/>
      </c>
      <c r="H719" s="4" t="str">
        <f t="shared" si="66"/>
        <v/>
      </c>
      <c r="I719" s="5" t="str">
        <f t="shared" si="67"/>
        <v/>
      </c>
      <c r="J719" s="6">
        <f t="shared" si="68"/>
        <v>0</v>
      </c>
      <c r="K719" s="4" t="str">
        <f t="shared" si="69"/>
        <v/>
      </c>
      <c r="L719" s="4" t="str">
        <f t="shared" si="70"/>
        <v/>
      </c>
      <c r="M719" s="4" t="b" cm="1">
        <f t="array" ref="M719">IF(H719="",FALSE,SUMPRODUCT(--(H$1:H718=H719))&gt;0)</f>
        <v>0</v>
      </c>
      <c r="N719" s="36"/>
      <c r="P719" s="1" t="str">
        <f t="shared" si="71"/>
        <v/>
      </c>
    </row>
    <row r="720" spans="1:16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"&amp;L720,IF(AND(MAX(K$1:K719)&gt;0,N(K720)-MAX(K$1:K719)&gt;180),"⚠ Gap &gt; 3h",IF(_xlfn.LET(_xlpm.q,E720,_xlpm.tk,P720,_xlpm.ld,Log!$P$18,_xlpm.fx,IF(OR(_xlpm.ld="",_xlpm.ld="Full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"&amp;_xlpm.q,""))))&lt;&gt;"",IF(N720&lt;&gt;"","Load OK ✓ (checked)","⚠ "&amp;_xlfn.LET(_xlpm.q,E720,_xlpm.tk,P720,_xlpm.ld,Log!$P$18,_xlpm.fx,IF(OR(_xlpm.ld="",_xlpm.ld="Full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"&amp;_xlpm.q,""))))),IF(C720-I720&gt;=0.99,"next day",IF(C720-I720&gt;0.4,"12h → 24h","")))))))))))</f>
        <v/>
      </c>
      <c r="H720" s="4" t="str">
        <f t="shared" si="66"/>
        <v/>
      </c>
      <c r="I720" s="5" t="str">
        <f t="shared" si="67"/>
        <v/>
      </c>
      <c r="J720" s="6">
        <f t="shared" si="68"/>
        <v>0</v>
      </c>
      <c r="K720" s="4" t="str">
        <f t="shared" si="69"/>
        <v/>
      </c>
      <c r="L720" s="4" t="str">
        <f t="shared" si="70"/>
        <v/>
      </c>
      <c r="M720" s="4" t="b" cm="1">
        <f t="array" ref="M720">IF(H720="",FALSE,SUMPRODUCT(--(H$1:H719=H720))&gt;0)</f>
        <v>0</v>
      </c>
      <c r="N720" s="36"/>
      <c r="P720" s="1" t="str">
        <f t="shared" si="71"/>
        <v/>
      </c>
    </row>
    <row r="721" spans="1:16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"&amp;L721,IF(AND(MAX(K$1:K720)&gt;0,N(K721)-MAX(K$1:K720)&gt;180),"⚠ Gap &gt; 3h",IF(_xlfn.LET(_xlpm.q,E721,_xlpm.tk,P721,_xlpm.ld,Log!$P$18,_xlpm.fx,IF(OR(_xlpm.ld="",_xlpm.ld="Full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"&amp;_xlpm.q,""))))&lt;&gt;"",IF(N721&lt;&gt;"","Load OK ✓ (checked)","⚠ "&amp;_xlfn.LET(_xlpm.q,E721,_xlpm.tk,P721,_xlpm.ld,Log!$P$18,_xlpm.fx,IF(OR(_xlpm.ld="",_xlpm.ld="Full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"&amp;_xlpm.q,""))))),IF(C721-I721&gt;=0.99,"next day",IF(C721-I721&gt;0.4,"12h → 24h","")))))))))))</f>
        <v/>
      </c>
      <c r="H721" s="4" t="str">
        <f t="shared" si="66"/>
        <v/>
      </c>
      <c r="I721" s="5" t="str">
        <f t="shared" si="67"/>
        <v/>
      </c>
      <c r="J721" s="6">
        <f t="shared" si="68"/>
        <v>0</v>
      </c>
      <c r="K721" s="4" t="str">
        <f t="shared" si="69"/>
        <v/>
      </c>
      <c r="L721" s="4" t="str">
        <f t="shared" si="70"/>
        <v/>
      </c>
      <c r="M721" s="4" t="b" cm="1">
        <f t="array" ref="M721">IF(H721="",FALSE,SUMPRODUCT(--(H$1:H720=H721))&gt;0)</f>
        <v>0</v>
      </c>
      <c r="N721" s="36"/>
      <c r="P721" s="1" t="str">
        <f t="shared" si="71"/>
        <v/>
      </c>
    </row>
    <row r="722" spans="1:16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"&amp;L722,IF(AND(MAX(K$1:K721)&gt;0,N(K722)-MAX(K$1:K721)&gt;180),"⚠ Gap &gt; 3h",IF(_xlfn.LET(_xlpm.q,E722,_xlpm.tk,P722,_xlpm.ld,Log!$P$18,_xlpm.fx,IF(OR(_xlpm.ld="",_xlpm.ld="Full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"&amp;_xlpm.q,""))))&lt;&gt;"",IF(N722&lt;&gt;"","Load OK ✓ (checked)","⚠ "&amp;_xlfn.LET(_xlpm.q,E722,_xlpm.tk,P722,_xlpm.ld,Log!$P$18,_xlpm.fx,IF(OR(_xlpm.ld="",_xlpm.ld="Full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"&amp;_xlpm.q,""))))),IF(C722-I722&gt;=0.99,"next day",IF(C722-I722&gt;0.4,"12h → 24h","")))))))))))</f>
        <v/>
      </c>
      <c r="H722" s="4" t="str">
        <f t="shared" si="66"/>
        <v/>
      </c>
      <c r="I722" s="5" t="str">
        <f t="shared" si="67"/>
        <v/>
      </c>
      <c r="J722" s="6">
        <f t="shared" si="68"/>
        <v>0</v>
      </c>
      <c r="K722" s="4" t="str">
        <f t="shared" si="69"/>
        <v/>
      </c>
      <c r="L722" s="4" t="str">
        <f t="shared" si="70"/>
        <v/>
      </c>
      <c r="M722" s="4" t="b" cm="1">
        <f t="array" ref="M722">IF(H722="",FALSE,SUMPRODUCT(--(H$1:H721=H722))&gt;0)</f>
        <v>0</v>
      </c>
      <c r="N722" s="36"/>
      <c r="P722" s="1" t="str">
        <f t="shared" si="71"/>
        <v/>
      </c>
    </row>
    <row r="723" spans="1:16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"&amp;L723,IF(AND(MAX(K$1:K722)&gt;0,N(K723)-MAX(K$1:K722)&gt;180),"⚠ Gap &gt; 3h",IF(_xlfn.LET(_xlpm.q,E723,_xlpm.tk,P723,_xlpm.ld,Log!$P$18,_xlpm.fx,IF(OR(_xlpm.ld="",_xlpm.ld="Full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"&amp;_xlpm.q,""))))&lt;&gt;"",IF(N723&lt;&gt;"","Load OK ✓ (checked)","⚠ "&amp;_xlfn.LET(_xlpm.q,E723,_xlpm.tk,P723,_xlpm.ld,Log!$P$18,_xlpm.fx,IF(OR(_xlpm.ld="",_xlpm.ld="Full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"&amp;_xlpm.q,""))))),IF(C723-I723&gt;=0.99,"next day",IF(C723-I723&gt;0.4,"12h → 24h","")))))))))))</f>
        <v/>
      </c>
      <c r="H723" s="4" t="str">
        <f t="shared" si="66"/>
        <v/>
      </c>
      <c r="I723" s="5" t="str">
        <f t="shared" si="67"/>
        <v/>
      </c>
      <c r="J723" s="6">
        <f t="shared" si="68"/>
        <v>0</v>
      </c>
      <c r="K723" s="4" t="str">
        <f t="shared" si="69"/>
        <v/>
      </c>
      <c r="L723" s="4" t="str">
        <f t="shared" si="70"/>
        <v/>
      </c>
      <c r="M723" s="4" t="b" cm="1">
        <f t="array" ref="M723">IF(H723="",FALSE,SUMPRODUCT(--(H$1:H722=H723))&gt;0)</f>
        <v>0</v>
      </c>
      <c r="N723" s="36"/>
      <c r="P723" s="1" t="str">
        <f t="shared" si="71"/>
        <v/>
      </c>
    </row>
    <row r="724" spans="1:16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"&amp;L724,IF(AND(MAX(K$1:K723)&gt;0,N(K724)-MAX(K$1:K723)&gt;180),"⚠ Gap &gt; 3h",IF(_xlfn.LET(_xlpm.q,E724,_xlpm.tk,P724,_xlpm.ld,Log!$P$18,_xlpm.fx,IF(OR(_xlpm.ld="",_xlpm.ld="Full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"&amp;_xlpm.q,""))))&lt;&gt;"",IF(N724&lt;&gt;"","Load OK ✓ (checked)","⚠ "&amp;_xlfn.LET(_xlpm.q,E724,_xlpm.tk,P724,_xlpm.ld,Log!$P$18,_xlpm.fx,IF(OR(_xlpm.ld="",_xlpm.ld="Full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"&amp;_xlpm.q,""))))),IF(C724-I724&gt;=0.99,"next day",IF(C724-I724&gt;0.4,"12h → 24h","")))))))))))</f>
        <v/>
      </c>
      <c r="H724" s="4" t="str">
        <f t="shared" si="66"/>
        <v/>
      </c>
      <c r="I724" s="5" t="str">
        <f t="shared" si="67"/>
        <v/>
      </c>
      <c r="J724" s="6">
        <f t="shared" si="68"/>
        <v>0</v>
      </c>
      <c r="K724" s="4" t="str">
        <f t="shared" si="69"/>
        <v/>
      </c>
      <c r="L724" s="4" t="str">
        <f t="shared" si="70"/>
        <v/>
      </c>
      <c r="M724" s="4" t="b" cm="1">
        <f t="array" ref="M724">IF(H724="",FALSE,SUMPRODUCT(--(H$1:H723=H724))&gt;0)</f>
        <v>0</v>
      </c>
      <c r="N724" s="36"/>
      <c r="P724" s="1" t="str">
        <f t="shared" si="71"/>
        <v/>
      </c>
    </row>
    <row r="725" spans="1:16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"&amp;L725,IF(AND(MAX(K$1:K724)&gt;0,N(K725)-MAX(K$1:K724)&gt;180),"⚠ Gap &gt; 3h",IF(_xlfn.LET(_xlpm.q,E725,_xlpm.tk,P725,_xlpm.ld,Log!$P$18,_xlpm.fx,IF(OR(_xlpm.ld="",_xlpm.ld="Full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"&amp;_xlpm.q,""))))&lt;&gt;"",IF(N725&lt;&gt;"","Load OK ✓ (checked)","⚠ "&amp;_xlfn.LET(_xlpm.q,E725,_xlpm.tk,P725,_xlpm.ld,Log!$P$18,_xlpm.fx,IF(OR(_xlpm.ld="",_xlpm.ld="Full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"&amp;_xlpm.q,""))))),IF(C725-I725&gt;=0.99,"next day",IF(C725-I725&gt;0.4,"12h → 24h","")))))))))))</f>
        <v/>
      </c>
      <c r="H725" s="4" t="str">
        <f t="shared" si="66"/>
        <v/>
      </c>
      <c r="I725" s="5" t="str">
        <f t="shared" si="67"/>
        <v/>
      </c>
      <c r="J725" s="6">
        <f t="shared" si="68"/>
        <v>0</v>
      </c>
      <c r="K725" s="4" t="str">
        <f t="shared" si="69"/>
        <v/>
      </c>
      <c r="L725" s="4" t="str">
        <f t="shared" si="70"/>
        <v/>
      </c>
      <c r="M725" s="4" t="b" cm="1">
        <f t="array" ref="M725">IF(H725="",FALSE,SUMPRODUCT(--(H$1:H724=H725))&gt;0)</f>
        <v>0</v>
      </c>
      <c r="N725" s="36"/>
      <c r="P725" s="1" t="str">
        <f t="shared" si="71"/>
        <v/>
      </c>
    </row>
    <row r="726" spans="1:16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"&amp;L726,IF(AND(MAX(K$1:K725)&gt;0,N(K726)-MAX(K$1:K725)&gt;180),"⚠ Gap &gt; 3h",IF(_xlfn.LET(_xlpm.q,E726,_xlpm.tk,P726,_xlpm.ld,Log!$P$18,_xlpm.fx,IF(OR(_xlpm.ld="",_xlpm.ld="Full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"&amp;_xlpm.q,""))))&lt;&gt;"",IF(N726&lt;&gt;"","Load OK ✓ (checked)","⚠ "&amp;_xlfn.LET(_xlpm.q,E726,_xlpm.tk,P726,_xlpm.ld,Log!$P$18,_xlpm.fx,IF(OR(_xlpm.ld="",_xlpm.ld="Full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"&amp;_xlpm.q,""))))),IF(C726-I726&gt;=0.99,"next day",IF(C726-I726&gt;0.4,"12h → 24h","")))))))))))</f>
        <v/>
      </c>
      <c r="H726" s="4" t="str">
        <f t="shared" si="66"/>
        <v/>
      </c>
      <c r="I726" s="5" t="str">
        <f t="shared" si="67"/>
        <v/>
      </c>
      <c r="J726" s="6">
        <f t="shared" si="68"/>
        <v>0</v>
      </c>
      <c r="K726" s="4" t="str">
        <f t="shared" si="69"/>
        <v/>
      </c>
      <c r="L726" s="4" t="str">
        <f t="shared" si="70"/>
        <v/>
      </c>
      <c r="M726" s="4" t="b" cm="1">
        <f t="array" ref="M726">IF(H726="",FALSE,SUMPRODUCT(--(H$1:H725=H726))&gt;0)</f>
        <v>0</v>
      </c>
      <c r="N726" s="36"/>
      <c r="P726" s="1" t="str">
        <f t="shared" si="71"/>
        <v/>
      </c>
    </row>
    <row r="727" spans="1:16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"&amp;L727,IF(AND(MAX(K$1:K726)&gt;0,N(K727)-MAX(K$1:K726)&gt;180),"⚠ Gap &gt; 3h",IF(_xlfn.LET(_xlpm.q,E727,_xlpm.tk,P727,_xlpm.ld,Log!$P$18,_xlpm.fx,IF(OR(_xlpm.ld="",_xlpm.ld="Full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"&amp;_xlpm.q,""))))&lt;&gt;"",IF(N727&lt;&gt;"","Load OK ✓ (checked)","⚠ "&amp;_xlfn.LET(_xlpm.q,E727,_xlpm.tk,P727,_xlpm.ld,Log!$P$18,_xlpm.fx,IF(OR(_xlpm.ld="",_xlpm.ld="Full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"&amp;_xlpm.q,""))))),IF(C727-I727&gt;=0.99,"next day",IF(C727-I727&gt;0.4,"12h → 24h","")))))))))))</f>
        <v/>
      </c>
      <c r="H727" s="4" t="str">
        <f t="shared" si="66"/>
        <v/>
      </c>
      <c r="I727" s="5" t="str">
        <f t="shared" si="67"/>
        <v/>
      </c>
      <c r="J727" s="6">
        <f t="shared" si="68"/>
        <v>0</v>
      </c>
      <c r="K727" s="4" t="str">
        <f t="shared" si="69"/>
        <v/>
      </c>
      <c r="L727" s="4" t="str">
        <f t="shared" si="70"/>
        <v/>
      </c>
      <c r="M727" s="4" t="b" cm="1">
        <f t="array" ref="M727">IF(H727="",FALSE,SUMPRODUCT(--(H$1:H726=H727))&gt;0)</f>
        <v>0</v>
      </c>
      <c r="N727" s="36"/>
      <c r="P727" s="1" t="str">
        <f t="shared" si="71"/>
        <v/>
      </c>
    </row>
    <row r="728" spans="1:16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"&amp;L728,IF(AND(MAX(K$1:K727)&gt;0,N(K728)-MAX(K$1:K727)&gt;180),"⚠ Gap &gt; 3h",IF(_xlfn.LET(_xlpm.q,E728,_xlpm.tk,P728,_xlpm.ld,Log!$P$18,_xlpm.fx,IF(OR(_xlpm.ld="",_xlpm.ld="Full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"&amp;_xlpm.q,""))))&lt;&gt;"",IF(N728&lt;&gt;"","Load OK ✓ (checked)","⚠ "&amp;_xlfn.LET(_xlpm.q,E728,_xlpm.tk,P728,_xlpm.ld,Log!$P$18,_xlpm.fx,IF(OR(_xlpm.ld="",_xlpm.ld="Full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"&amp;_xlpm.q,""))))),IF(C728-I728&gt;=0.99,"next day",IF(C728-I728&gt;0.4,"12h → 24h","")))))))))))</f>
        <v/>
      </c>
      <c r="H728" s="4" t="str">
        <f t="shared" si="66"/>
        <v/>
      </c>
      <c r="I728" s="5" t="str">
        <f t="shared" si="67"/>
        <v/>
      </c>
      <c r="J728" s="6">
        <f t="shared" si="68"/>
        <v>0</v>
      </c>
      <c r="K728" s="4" t="str">
        <f t="shared" si="69"/>
        <v/>
      </c>
      <c r="L728" s="4" t="str">
        <f t="shared" si="70"/>
        <v/>
      </c>
      <c r="M728" s="4" t="b" cm="1">
        <f t="array" ref="M728">IF(H728="",FALSE,SUMPRODUCT(--(H$1:H727=H728))&gt;0)</f>
        <v>0</v>
      </c>
      <c r="N728" s="36"/>
      <c r="P728" s="1" t="str">
        <f t="shared" si="71"/>
        <v/>
      </c>
    </row>
    <row r="729" spans="1:16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"&amp;L729,IF(AND(MAX(K$1:K728)&gt;0,N(K729)-MAX(K$1:K728)&gt;180),"⚠ Gap &gt; 3h",IF(_xlfn.LET(_xlpm.q,E729,_xlpm.tk,P729,_xlpm.ld,Log!$P$18,_xlpm.fx,IF(OR(_xlpm.ld="",_xlpm.ld="Full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"&amp;_xlpm.q,""))))&lt;&gt;"",IF(N729&lt;&gt;"","Load OK ✓ (checked)","⚠ "&amp;_xlfn.LET(_xlpm.q,E729,_xlpm.tk,P729,_xlpm.ld,Log!$P$18,_xlpm.fx,IF(OR(_xlpm.ld="",_xlpm.ld="Full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"&amp;_xlpm.q,""))))),IF(C729-I729&gt;=0.99,"next day",IF(C729-I729&gt;0.4,"12h → 24h","")))))))))))</f>
        <v/>
      </c>
      <c r="H729" s="4" t="str">
        <f t="shared" si="66"/>
        <v/>
      </c>
      <c r="I729" s="5" t="str">
        <f t="shared" si="67"/>
        <v/>
      </c>
      <c r="J729" s="6">
        <f t="shared" si="68"/>
        <v>0</v>
      </c>
      <c r="K729" s="4" t="str">
        <f t="shared" si="69"/>
        <v/>
      </c>
      <c r="L729" s="4" t="str">
        <f t="shared" si="70"/>
        <v/>
      </c>
      <c r="M729" s="4" t="b" cm="1">
        <f t="array" ref="M729">IF(H729="",FALSE,SUMPRODUCT(--(H$1:H728=H729))&gt;0)</f>
        <v>0</v>
      </c>
      <c r="N729" s="36"/>
      <c r="P729" s="1" t="str">
        <f t="shared" si="71"/>
        <v/>
      </c>
    </row>
    <row r="730" spans="1:16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"&amp;L730,IF(AND(MAX(K$1:K729)&gt;0,N(K730)-MAX(K$1:K729)&gt;180),"⚠ Gap &gt; 3h",IF(_xlfn.LET(_xlpm.q,E730,_xlpm.tk,P730,_xlpm.ld,Log!$P$18,_xlpm.fx,IF(OR(_xlpm.ld="",_xlpm.ld="Full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"&amp;_xlpm.q,""))))&lt;&gt;"",IF(N730&lt;&gt;"","Load OK ✓ (checked)","⚠ "&amp;_xlfn.LET(_xlpm.q,E730,_xlpm.tk,P730,_xlpm.ld,Log!$P$18,_xlpm.fx,IF(OR(_xlpm.ld="",_xlpm.ld="Full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"&amp;_xlpm.q,""))))),IF(C730-I730&gt;=0.99,"next day",IF(C730-I730&gt;0.4,"12h → 24h","")))))))))))</f>
        <v/>
      </c>
      <c r="H730" s="4" t="str">
        <f t="shared" si="66"/>
        <v/>
      </c>
      <c r="I730" s="5" t="str">
        <f t="shared" si="67"/>
        <v/>
      </c>
      <c r="J730" s="6">
        <f t="shared" si="68"/>
        <v>0</v>
      </c>
      <c r="K730" s="4" t="str">
        <f t="shared" si="69"/>
        <v/>
      </c>
      <c r="L730" s="4" t="str">
        <f t="shared" si="70"/>
        <v/>
      </c>
      <c r="M730" s="4" t="b" cm="1">
        <f t="array" ref="M730">IF(H730="",FALSE,SUMPRODUCT(--(H$1:H729=H730))&gt;0)</f>
        <v>0</v>
      </c>
      <c r="N730" s="36"/>
      <c r="P730" s="1" t="str">
        <f t="shared" si="71"/>
        <v/>
      </c>
    </row>
    <row r="731" spans="1:16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"&amp;L731,IF(AND(MAX(K$1:K730)&gt;0,N(K731)-MAX(K$1:K730)&gt;180),"⚠ Gap &gt; 3h",IF(_xlfn.LET(_xlpm.q,E731,_xlpm.tk,P731,_xlpm.ld,Log!$P$18,_xlpm.fx,IF(OR(_xlpm.ld="",_xlpm.ld="Full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"&amp;_xlpm.q,""))))&lt;&gt;"",IF(N731&lt;&gt;"","Load OK ✓ (checked)","⚠ "&amp;_xlfn.LET(_xlpm.q,E731,_xlpm.tk,P731,_xlpm.ld,Log!$P$18,_xlpm.fx,IF(OR(_xlpm.ld="",_xlpm.ld="Full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"&amp;_xlpm.q,""))))),IF(C731-I731&gt;=0.99,"next day",IF(C731-I731&gt;0.4,"12h → 24h","")))))))))))</f>
        <v/>
      </c>
      <c r="H731" s="4" t="str">
        <f t="shared" si="66"/>
        <v/>
      </c>
      <c r="I731" s="5" t="str">
        <f t="shared" si="67"/>
        <v/>
      </c>
      <c r="J731" s="6">
        <f t="shared" si="68"/>
        <v>0</v>
      </c>
      <c r="K731" s="4" t="str">
        <f t="shared" si="69"/>
        <v/>
      </c>
      <c r="L731" s="4" t="str">
        <f t="shared" si="70"/>
        <v/>
      </c>
      <c r="M731" s="4" t="b" cm="1">
        <f t="array" ref="M731">IF(H731="",FALSE,SUMPRODUCT(--(H$1:H730=H731))&gt;0)</f>
        <v>0</v>
      </c>
      <c r="N731" s="36"/>
      <c r="P731" s="1" t="str">
        <f t="shared" si="71"/>
        <v/>
      </c>
    </row>
    <row r="732" spans="1:16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"&amp;L732,IF(AND(MAX(K$1:K731)&gt;0,N(K732)-MAX(K$1:K731)&gt;180),"⚠ Gap &gt; 3h",IF(_xlfn.LET(_xlpm.q,E732,_xlpm.tk,P732,_xlpm.ld,Log!$P$18,_xlpm.fx,IF(OR(_xlpm.ld="",_xlpm.ld="Full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"&amp;_xlpm.q,""))))&lt;&gt;"",IF(N732&lt;&gt;"","Load OK ✓ (checked)","⚠ "&amp;_xlfn.LET(_xlpm.q,E732,_xlpm.tk,P732,_xlpm.ld,Log!$P$18,_xlpm.fx,IF(OR(_xlpm.ld="",_xlpm.ld="Full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"&amp;_xlpm.q,""))))),IF(C732-I732&gt;=0.99,"next day",IF(C732-I732&gt;0.4,"12h → 24h","")))))))))))</f>
        <v/>
      </c>
      <c r="H732" s="4" t="str">
        <f t="shared" si="66"/>
        <v/>
      </c>
      <c r="I732" s="5" t="str">
        <f t="shared" si="67"/>
        <v/>
      </c>
      <c r="J732" s="6">
        <f t="shared" si="68"/>
        <v>0</v>
      </c>
      <c r="K732" s="4" t="str">
        <f t="shared" si="69"/>
        <v/>
      </c>
      <c r="L732" s="4" t="str">
        <f t="shared" si="70"/>
        <v/>
      </c>
      <c r="M732" s="4" t="b" cm="1">
        <f t="array" ref="M732">IF(H732="",FALSE,SUMPRODUCT(--(H$1:H731=H732))&gt;0)</f>
        <v>0</v>
      </c>
      <c r="N732" s="36"/>
      <c r="P732" s="1" t="str">
        <f t="shared" si="71"/>
        <v/>
      </c>
    </row>
    <row r="733" spans="1:16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"&amp;L733,IF(AND(MAX(K$1:K732)&gt;0,N(K733)-MAX(K$1:K732)&gt;180),"⚠ Gap &gt; 3h",IF(_xlfn.LET(_xlpm.q,E733,_xlpm.tk,P733,_xlpm.ld,Log!$P$18,_xlpm.fx,IF(OR(_xlpm.ld="",_xlpm.ld="Full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"&amp;_xlpm.q,""))))&lt;&gt;"",IF(N733&lt;&gt;"","Load OK ✓ (checked)","⚠ "&amp;_xlfn.LET(_xlpm.q,E733,_xlpm.tk,P733,_xlpm.ld,Log!$P$18,_xlpm.fx,IF(OR(_xlpm.ld="",_xlpm.ld="Full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"&amp;_xlpm.q,""))))),IF(C733-I733&gt;=0.99,"next day",IF(C733-I733&gt;0.4,"12h → 24h","")))))))))))</f>
        <v/>
      </c>
      <c r="H733" s="4" t="str">
        <f t="shared" si="66"/>
        <v/>
      </c>
      <c r="I733" s="5" t="str">
        <f t="shared" si="67"/>
        <v/>
      </c>
      <c r="J733" s="6">
        <f t="shared" si="68"/>
        <v>0</v>
      </c>
      <c r="K733" s="4" t="str">
        <f t="shared" si="69"/>
        <v/>
      </c>
      <c r="L733" s="4" t="str">
        <f t="shared" si="70"/>
        <v/>
      </c>
      <c r="M733" s="4" t="b" cm="1">
        <f t="array" ref="M733">IF(H733="",FALSE,SUMPRODUCT(--(H$1:H732=H733))&gt;0)</f>
        <v>0</v>
      </c>
      <c r="N733" s="36"/>
      <c r="P733" s="1" t="str">
        <f t="shared" si="71"/>
        <v/>
      </c>
    </row>
    <row r="734" spans="1:16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"&amp;L734,IF(AND(MAX(K$1:K733)&gt;0,N(K734)-MAX(K$1:K733)&gt;180),"⚠ Gap &gt; 3h",IF(_xlfn.LET(_xlpm.q,E734,_xlpm.tk,P734,_xlpm.ld,Log!$P$18,_xlpm.fx,IF(OR(_xlpm.ld="",_xlpm.ld="Full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"&amp;_xlpm.q,""))))&lt;&gt;"",IF(N734&lt;&gt;"","Load OK ✓ (checked)","⚠ "&amp;_xlfn.LET(_xlpm.q,E734,_xlpm.tk,P734,_xlpm.ld,Log!$P$18,_xlpm.fx,IF(OR(_xlpm.ld="",_xlpm.ld="Full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"&amp;_xlpm.q,""))))),IF(C734-I734&gt;=0.99,"next day",IF(C734-I734&gt;0.4,"12h → 24h","")))))))))))</f>
        <v/>
      </c>
      <c r="H734" s="4" t="str">
        <f t="shared" si="66"/>
        <v/>
      </c>
      <c r="I734" s="5" t="str">
        <f t="shared" si="67"/>
        <v/>
      </c>
      <c r="J734" s="6">
        <f t="shared" si="68"/>
        <v>0</v>
      </c>
      <c r="K734" s="4" t="str">
        <f t="shared" si="69"/>
        <v/>
      </c>
      <c r="L734" s="4" t="str">
        <f t="shared" si="70"/>
        <v/>
      </c>
      <c r="M734" s="4" t="b" cm="1">
        <f t="array" ref="M734">IF(H734="",FALSE,SUMPRODUCT(--(H$1:H733=H734))&gt;0)</f>
        <v>0</v>
      </c>
      <c r="N734" s="36"/>
      <c r="P734" s="1" t="str">
        <f t="shared" si="71"/>
        <v/>
      </c>
    </row>
    <row r="735" spans="1:16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"&amp;L735,IF(AND(MAX(K$1:K734)&gt;0,N(K735)-MAX(K$1:K734)&gt;180),"⚠ Gap &gt; 3h",IF(_xlfn.LET(_xlpm.q,E735,_xlpm.tk,P735,_xlpm.ld,Log!$P$18,_xlpm.fx,IF(OR(_xlpm.ld="",_xlpm.ld="Full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"&amp;_xlpm.q,""))))&lt;&gt;"",IF(N735&lt;&gt;"","Load OK ✓ (checked)","⚠ "&amp;_xlfn.LET(_xlpm.q,E735,_xlpm.tk,P735,_xlpm.ld,Log!$P$18,_xlpm.fx,IF(OR(_xlpm.ld="",_xlpm.ld="Full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"&amp;_xlpm.q,""))))),IF(C735-I735&gt;=0.99,"next day",IF(C735-I735&gt;0.4,"12h → 24h","")))))))))))</f>
        <v/>
      </c>
      <c r="H735" s="4" t="str">
        <f t="shared" si="66"/>
        <v/>
      </c>
      <c r="I735" s="5" t="str">
        <f t="shared" si="67"/>
        <v/>
      </c>
      <c r="J735" s="6">
        <f t="shared" si="68"/>
        <v>0</v>
      </c>
      <c r="K735" s="4" t="str">
        <f t="shared" si="69"/>
        <v/>
      </c>
      <c r="L735" s="4" t="str">
        <f t="shared" si="70"/>
        <v/>
      </c>
      <c r="M735" s="4" t="b" cm="1">
        <f t="array" ref="M735">IF(H735="",FALSE,SUMPRODUCT(--(H$1:H734=H735))&gt;0)</f>
        <v>0</v>
      </c>
      <c r="N735" s="36"/>
      <c r="P735" s="1" t="str">
        <f t="shared" si="71"/>
        <v/>
      </c>
    </row>
    <row r="736" spans="1:16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"&amp;L736,IF(AND(MAX(K$1:K735)&gt;0,N(K736)-MAX(K$1:K735)&gt;180),"⚠ Gap &gt; 3h",IF(_xlfn.LET(_xlpm.q,E736,_xlpm.tk,P736,_xlpm.ld,Log!$P$18,_xlpm.fx,IF(OR(_xlpm.ld="",_xlpm.ld="Full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"&amp;_xlpm.q,""))))&lt;&gt;"",IF(N736&lt;&gt;"","Load OK ✓ (checked)","⚠ "&amp;_xlfn.LET(_xlpm.q,E736,_xlpm.tk,P736,_xlpm.ld,Log!$P$18,_xlpm.fx,IF(OR(_xlpm.ld="",_xlpm.ld="Full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"&amp;_xlpm.q,""))))),IF(C736-I736&gt;=0.99,"next day",IF(C736-I736&gt;0.4,"12h → 24h","")))))))))))</f>
        <v/>
      </c>
      <c r="H736" s="4" t="str">
        <f t="shared" si="66"/>
        <v/>
      </c>
      <c r="I736" s="5" t="str">
        <f t="shared" si="67"/>
        <v/>
      </c>
      <c r="J736" s="6">
        <f t="shared" si="68"/>
        <v>0</v>
      </c>
      <c r="K736" s="4" t="str">
        <f t="shared" si="69"/>
        <v/>
      </c>
      <c r="L736" s="4" t="str">
        <f t="shared" si="70"/>
        <v/>
      </c>
      <c r="M736" s="4" t="b" cm="1">
        <f t="array" ref="M736">IF(H736="",FALSE,SUMPRODUCT(--(H$1:H735=H736))&gt;0)</f>
        <v>0</v>
      </c>
      <c r="N736" s="36"/>
      <c r="P736" s="1" t="str">
        <f t="shared" si="71"/>
        <v/>
      </c>
    </row>
    <row r="737" spans="1:16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"&amp;L737,IF(AND(MAX(K$1:K736)&gt;0,N(K737)-MAX(K$1:K736)&gt;180),"⚠ Gap &gt; 3h",IF(_xlfn.LET(_xlpm.q,E737,_xlpm.tk,P737,_xlpm.ld,Log!$P$18,_xlpm.fx,IF(OR(_xlpm.ld="",_xlpm.ld="Full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"&amp;_xlpm.q,""))))&lt;&gt;"",IF(N737&lt;&gt;"","Load OK ✓ (checked)","⚠ "&amp;_xlfn.LET(_xlpm.q,E737,_xlpm.tk,P737,_xlpm.ld,Log!$P$18,_xlpm.fx,IF(OR(_xlpm.ld="",_xlpm.ld="Full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"&amp;_xlpm.q,""))))),IF(C737-I737&gt;=0.99,"next day",IF(C737-I737&gt;0.4,"12h → 24h","")))))))))))</f>
        <v/>
      </c>
      <c r="H737" s="4" t="str">
        <f t="shared" si="66"/>
        <v/>
      </c>
      <c r="I737" s="5" t="str">
        <f t="shared" si="67"/>
        <v/>
      </c>
      <c r="J737" s="6">
        <f t="shared" si="68"/>
        <v>0</v>
      </c>
      <c r="K737" s="4" t="str">
        <f t="shared" si="69"/>
        <v/>
      </c>
      <c r="L737" s="4" t="str">
        <f t="shared" si="70"/>
        <v/>
      </c>
      <c r="M737" s="4" t="b" cm="1">
        <f t="array" ref="M737">IF(H737="",FALSE,SUMPRODUCT(--(H$1:H736=H737))&gt;0)</f>
        <v>0</v>
      </c>
      <c r="N737" s="36"/>
      <c r="P737" s="1" t="str">
        <f t="shared" si="71"/>
        <v/>
      </c>
    </row>
    <row r="738" spans="1:16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"&amp;L738,IF(AND(MAX(K$1:K737)&gt;0,N(K738)-MAX(K$1:K737)&gt;180),"⚠ Gap &gt; 3h",IF(_xlfn.LET(_xlpm.q,E738,_xlpm.tk,P738,_xlpm.ld,Log!$P$18,_xlpm.fx,IF(OR(_xlpm.ld="",_xlpm.ld="Full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"&amp;_xlpm.q,""))))&lt;&gt;"",IF(N738&lt;&gt;"","Load OK ✓ (checked)","⚠ "&amp;_xlfn.LET(_xlpm.q,E738,_xlpm.tk,P738,_xlpm.ld,Log!$P$18,_xlpm.fx,IF(OR(_xlpm.ld="",_xlpm.ld="Full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"&amp;_xlpm.q,""))))),IF(C738-I738&gt;=0.99,"next day",IF(C738-I738&gt;0.4,"12h → 24h","")))))))))))</f>
        <v/>
      </c>
      <c r="H738" s="4" t="str">
        <f t="shared" si="66"/>
        <v/>
      </c>
      <c r="I738" s="5" t="str">
        <f t="shared" si="67"/>
        <v/>
      </c>
      <c r="J738" s="6">
        <f t="shared" si="68"/>
        <v>0</v>
      </c>
      <c r="K738" s="4" t="str">
        <f t="shared" si="69"/>
        <v/>
      </c>
      <c r="L738" s="4" t="str">
        <f t="shared" si="70"/>
        <v/>
      </c>
      <c r="M738" s="4" t="b" cm="1">
        <f t="array" ref="M738">IF(H738="",FALSE,SUMPRODUCT(--(H$1:H737=H738))&gt;0)</f>
        <v>0</v>
      </c>
      <c r="N738" s="36"/>
      <c r="P738" s="1" t="str">
        <f t="shared" si="71"/>
        <v/>
      </c>
    </row>
    <row r="739" spans="1:16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"&amp;L739,IF(AND(MAX(K$1:K738)&gt;0,N(K739)-MAX(K$1:K738)&gt;180),"⚠ Gap &gt; 3h",IF(_xlfn.LET(_xlpm.q,E739,_xlpm.tk,P739,_xlpm.ld,Log!$P$18,_xlpm.fx,IF(OR(_xlpm.ld="",_xlpm.ld="Full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"&amp;_xlpm.q,""))))&lt;&gt;"",IF(N739&lt;&gt;"","Load OK ✓ (checked)","⚠ "&amp;_xlfn.LET(_xlpm.q,E739,_xlpm.tk,P739,_xlpm.ld,Log!$P$18,_xlpm.fx,IF(OR(_xlpm.ld="",_xlpm.ld="Full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"&amp;_xlpm.q,""))))),IF(C739-I739&gt;=0.99,"next day",IF(C739-I739&gt;0.4,"12h → 24h","")))))))))))</f>
        <v/>
      </c>
      <c r="H739" s="4" t="str">
        <f t="shared" si="66"/>
        <v/>
      </c>
      <c r="I739" s="5" t="str">
        <f t="shared" si="67"/>
        <v/>
      </c>
      <c r="J739" s="6">
        <f t="shared" si="68"/>
        <v>0</v>
      </c>
      <c r="K739" s="4" t="str">
        <f t="shared" si="69"/>
        <v/>
      </c>
      <c r="L739" s="4" t="str">
        <f t="shared" si="70"/>
        <v/>
      </c>
      <c r="M739" s="4" t="b" cm="1">
        <f t="array" ref="M739">IF(H739="",FALSE,SUMPRODUCT(--(H$1:H738=H739))&gt;0)</f>
        <v>0</v>
      </c>
      <c r="N739" s="36"/>
      <c r="P739" s="1" t="str">
        <f t="shared" si="71"/>
        <v/>
      </c>
    </row>
    <row r="740" spans="1:16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"&amp;L740,IF(AND(MAX(K$1:K739)&gt;0,N(K740)-MAX(K$1:K739)&gt;180),"⚠ Gap &gt; 3h",IF(_xlfn.LET(_xlpm.q,E740,_xlpm.tk,P740,_xlpm.ld,Log!$P$18,_xlpm.fx,IF(OR(_xlpm.ld="",_xlpm.ld="Full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"&amp;_xlpm.q,""))))&lt;&gt;"",IF(N740&lt;&gt;"","Load OK ✓ (checked)","⚠ "&amp;_xlfn.LET(_xlpm.q,E740,_xlpm.tk,P740,_xlpm.ld,Log!$P$18,_xlpm.fx,IF(OR(_xlpm.ld="",_xlpm.ld="Full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"&amp;_xlpm.q,""))))),IF(C740-I740&gt;=0.99,"next day",IF(C740-I740&gt;0.4,"12h → 24h","")))))))))))</f>
        <v/>
      </c>
      <c r="H740" s="4" t="str">
        <f t="shared" si="66"/>
        <v/>
      </c>
      <c r="I740" s="5" t="str">
        <f t="shared" si="67"/>
        <v/>
      </c>
      <c r="J740" s="6">
        <f t="shared" si="68"/>
        <v>0</v>
      </c>
      <c r="K740" s="4" t="str">
        <f t="shared" si="69"/>
        <v/>
      </c>
      <c r="L740" s="4" t="str">
        <f t="shared" si="70"/>
        <v/>
      </c>
      <c r="M740" s="4" t="b" cm="1">
        <f t="array" ref="M740">IF(H740="",FALSE,SUMPRODUCT(--(H$1:H739=H740))&gt;0)</f>
        <v>0</v>
      </c>
      <c r="N740" s="36"/>
      <c r="P740" s="1" t="str">
        <f t="shared" si="71"/>
        <v/>
      </c>
    </row>
    <row r="741" spans="1:16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"&amp;L741,IF(AND(MAX(K$1:K740)&gt;0,N(K741)-MAX(K$1:K740)&gt;180),"⚠ Gap &gt; 3h",IF(_xlfn.LET(_xlpm.q,E741,_xlpm.tk,P741,_xlpm.ld,Log!$P$18,_xlpm.fx,IF(OR(_xlpm.ld="",_xlpm.ld="Full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"&amp;_xlpm.q,""))))&lt;&gt;"",IF(N741&lt;&gt;"","Load OK ✓ (checked)","⚠ "&amp;_xlfn.LET(_xlpm.q,E741,_xlpm.tk,P741,_xlpm.ld,Log!$P$18,_xlpm.fx,IF(OR(_xlpm.ld="",_xlpm.ld="Full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"&amp;_xlpm.q,""))))),IF(C741-I741&gt;=0.99,"next day",IF(C741-I741&gt;0.4,"12h → 24h","")))))))))))</f>
        <v/>
      </c>
      <c r="H741" s="4" t="str">
        <f t="shared" si="66"/>
        <v/>
      </c>
      <c r="I741" s="5" t="str">
        <f t="shared" si="67"/>
        <v/>
      </c>
      <c r="J741" s="6">
        <f t="shared" si="68"/>
        <v>0</v>
      </c>
      <c r="K741" s="4" t="str">
        <f t="shared" si="69"/>
        <v/>
      </c>
      <c r="L741" s="4" t="str">
        <f t="shared" si="70"/>
        <v/>
      </c>
      <c r="M741" s="4" t="b" cm="1">
        <f t="array" ref="M741">IF(H741="",FALSE,SUMPRODUCT(--(H$1:H740=H741))&gt;0)</f>
        <v>0</v>
      </c>
      <c r="N741" s="36"/>
      <c r="P741" s="1" t="str">
        <f t="shared" si="71"/>
        <v/>
      </c>
    </row>
    <row r="742" spans="1:16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"&amp;L742,IF(AND(MAX(K$1:K741)&gt;0,N(K742)-MAX(K$1:K741)&gt;180),"⚠ Gap &gt; 3h",IF(_xlfn.LET(_xlpm.q,E742,_xlpm.tk,P742,_xlpm.ld,Log!$P$18,_xlpm.fx,IF(OR(_xlpm.ld="",_xlpm.ld="Full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"&amp;_xlpm.q,""))))&lt;&gt;"",IF(N742&lt;&gt;"","Load OK ✓ (checked)","⚠ "&amp;_xlfn.LET(_xlpm.q,E742,_xlpm.tk,P742,_xlpm.ld,Log!$P$18,_xlpm.fx,IF(OR(_xlpm.ld="",_xlpm.ld="Full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"&amp;_xlpm.q,""))))),IF(C742-I742&gt;=0.99,"next day",IF(C742-I742&gt;0.4,"12h → 24h","")))))))))))</f>
        <v/>
      </c>
      <c r="H742" s="4" t="str">
        <f t="shared" si="66"/>
        <v/>
      </c>
      <c r="I742" s="5" t="str">
        <f t="shared" si="67"/>
        <v/>
      </c>
      <c r="J742" s="6">
        <f t="shared" si="68"/>
        <v>0</v>
      </c>
      <c r="K742" s="4" t="str">
        <f t="shared" si="69"/>
        <v/>
      </c>
      <c r="L742" s="4" t="str">
        <f t="shared" si="70"/>
        <v/>
      </c>
      <c r="M742" s="4" t="b" cm="1">
        <f t="array" ref="M742">IF(H742="",FALSE,SUMPRODUCT(--(H$1:H741=H742))&gt;0)</f>
        <v>0</v>
      </c>
      <c r="N742" s="36"/>
      <c r="P742" s="1" t="str">
        <f t="shared" si="71"/>
        <v/>
      </c>
    </row>
    <row r="743" spans="1:16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"&amp;L743,IF(AND(MAX(K$1:K742)&gt;0,N(K743)-MAX(K$1:K742)&gt;180),"⚠ Gap &gt; 3h",IF(_xlfn.LET(_xlpm.q,E743,_xlpm.tk,P743,_xlpm.ld,Log!$P$18,_xlpm.fx,IF(OR(_xlpm.ld="",_xlpm.ld="Full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"&amp;_xlpm.q,""))))&lt;&gt;"",IF(N743&lt;&gt;"","Load OK ✓ (checked)","⚠ "&amp;_xlfn.LET(_xlpm.q,E743,_xlpm.tk,P743,_xlpm.ld,Log!$P$18,_xlpm.fx,IF(OR(_xlpm.ld="",_xlpm.ld="Full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"&amp;_xlpm.q,""))))),IF(C743-I743&gt;=0.99,"next day",IF(C743-I743&gt;0.4,"12h → 24h","")))))))))))</f>
        <v/>
      </c>
      <c r="H743" s="4" t="str">
        <f t="shared" si="66"/>
        <v/>
      </c>
      <c r="I743" s="5" t="str">
        <f t="shared" si="67"/>
        <v/>
      </c>
      <c r="J743" s="6">
        <f t="shared" si="68"/>
        <v>0</v>
      </c>
      <c r="K743" s="4" t="str">
        <f t="shared" si="69"/>
        <v/>
      </c>
      <c r="L743" s="4" t="str">
        <f t="shared" si="70"/>
        <v/>
      </c>
      <c r="M743" s="4" t="b" cm="1">
        <f t="array" ref="M743">IF(H743="",FALSE,SUMPRODUCT(--(H$1:H742=H743))&gt;0)</f>
        <v>0</v>
      </c>
      <c r="N743" s="36"/>
      <c r="P743" s="1" t="str">
        <f t="shared" si="71"/>
        <v/>
      </c>
    </row>
    <row r="744" spans="1:16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"&amp;L744,IF(AND(MAX(K$1:K743)&gt;0,N(K744)-MAX(K$1:K743)&gt;180),"⚠ Gap &gt; 3h",IF(_xlfn.LET(_xlpm.q,E744,_xlpm.tk,P744,_xlpm.ld,Log!$P$18,_xlpm.fx,IF(OR(_xlpm.ld="",_xlpm.ld="Full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"&amp;_xlpm.q,""))))&lt;&gt;"",IF(N744&lt;&gt;"","Load OK ✓ (checked)","⚠ "&amp;_xlfn.LET(_xlpm.q,E744,_xlpm.tk,P744,_xlpm.ld,Log!$P$18,_xlpm.fx,IF(OR(_xlpm.ld="",_xlpm.ld="Full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"&amp;_xlpm.q,""))))),IF(C744-I744&gt;=0.99,"next day",IF(C744-I744&gt;0.4,"12h → 24h","")))))))))))</f>
        <v/>
      </c>
      <c r="H744" s="4" t="str">
        <f t="shared" si="66"/>
        <v/>
      </c>
      <c r="I744" s="5" t="str">
        <f t="shared" si="67"/>
        <v/>
      </c>
      <c r="J744" s="6">
        <f t="shared" si="68"/>
        <v>0</v>
      </c>
      <c r="K744" s="4" t="str">
        <f t="shared" si="69"/>
        <v/>
      </c>
      <c r="L744" s="4" t="str">
        <f t="shared" si="70"/>
        <v/>
      </c>
      <c r="M744" s="4" t="b" cm="1">
        <f t="array" ref="M744">IF(H744="",FALSE,SUMPRODUCT(--(H$1:H743=H744))&gt;0)</f>
        <v>0</v>
      </c>
      <c r="N744" s="36"/>
      <c r="P744" s="1" t="str">
        <f t="shared" si="71"/>
        <v/>
      </c>
    </row>
    <row r="745" spans="1:16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"&amp;L745,IF(AND(MAX(K$1:K744)&gt;0,N(K745)-MAX(K$1:K744)&gt;180),"⚠ Gap &gt; 3h",IF(_xlfn.LET(_xlpm.q,E745,_xlpm.tk,P745,_xlpm.ld,Log!$P$18,_xlpm.fx,IF(OR(_xlpm.ld="",_xlpm.ld="Full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"&amp;_xlpm.q,""))))&lt;&gt;"",IF(N745&lt;&gt;"","Load OK ✓ (checked)","⚠ "&amp;_xlfn.LET(_xlpm.q,E745,_xlpm.tk,P745,_xlpm.ld,Log!$P$18,_xlpm.fx,IF(OR(_xlpm.ld="",_xlpm.ld="Full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"&amp;_xlpm.q,""))))),IF(C745-I745&gt;=0.99,"next day",IF(C745-I745&gt;0.4,"12h → 24h","")))))))))))</f>
        <v/>
      </c>
      <c r="H745" s="4" t="str">
        <f t="shared" si="66"/>
        <v/>
      </c>
      <c r="I745" s="5" t="str">
        <f t="shared" si="67"/>
        <v/>
      </c>
      <c r="J745" s="6">
        <f t="shared" si="68"/>
        <v>0</v>
      </c>
      <c r="K745" s="4" t="str">
        <f t="shared" si="69"/>
        <v/>
      </c>
      <c r="L745" s="4" t="str">
        <f t="shared" si="70"/>
        <v/>
      </c>
      <c r="M745" s="4" t="b" cm="1">
        <f t="array" ref="M745">IF(H745="",FALSE,SUMPRODUCT(--(H$1:H744=H745))&gt;0)</f>
        <v>0</v>
      </c>
      <c r="N745" s="36"/>
      <c r="P745" s="1" t="str">
        <f t="shared" si="71"/>
        <v/>
      </c>
    </row>
    <row r="746" spans="1:16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"&amp;L746,IF(AND(MAX(K$1:K745)&gt;0,N(K746)-MAX(K$1:K745)&gt;180),"⚠ Gap &gt; 3h",IF(_xlfn.LET(_xlpm.q,E746,_xlpm.tk,P746,_xlpm.ld,Log!$P$18,_xlpm.fx,IF(OR(_xlpm.ld="",_xlpm.ld="Full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"&amp;_xlpm.q,""))))&lt;&gt;"",IF(N746&lt;&gt;"","Load OK ✓ (checked)","⚠ "&amp;_xlfn.LET(_xlpm.q,E746,_xlpm.tk,P746,_xlpm.ld,Log!$P$18,_xlpm.fx,IF(OR(_xlpm.ld="",_xlpm.ld="Full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"&amp;_xlpm.q,""))))),IF(C746-I746&gt;=0.99,"next day",IF(C746-I746&gt;0.4,"12h → 24h","")))))))))))</f>
        <v/>
      </c>
      <c r="H746" s="4" t="str">
        <f t="shared" si="66"/>
        <v/>
      </c>
      <c r="I746" s="5" t="str">
        <f t="shared" si="67"/>
        <v/>
      </c>
      <c r="J746" s="6">
        <f t="shared" si="68"/>
        <v>0</v>
      </c>
      <c r="K746" s="4" t="str">
        <f t="shared" si="69"/>
        <v/>
      </c>
      <c r="L746" s="4" t="str">
        <f t="shared" si="70"/>
        <v/>
      </c>
      <c r="M746" s="4" t="b" cm="1">
        <f t="array" ref="M746">IF(H746="",FALSE,SUMPRODUCT(--(H$1:H745=H746))&gt;0)</f>
        <v>0</v>
      </c>
      <c r="N746" s="36"/>
      <c r="P746" s="1" t="str">
        <f t="shared" si="71"/>
        <v/>
      </c>
    </row>
    <row r="747" spans="1:16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"&amp;L747,IF(AND(MAX(K$1:K746)&gt;0,N(K747)-MAX(K$1:K746)&gt;180),"⚠ Gap &gt; 3h",IF(_xlfn.LET(_xlpm.q,E747,_xlpm.tk,P747,_xlpm.ld,Log!$P$18,_xlpm.fx,IF(OR(_xlpm.ld="",_xlpm.ld="Full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"&amp;_xlpm.q,""))))&lt;&gt;"",IF(N747&lt;&gt;"","Load OK ✓ (checked)","⚠ "&amp;_xlfn.LET(_xlpm.q,E747,_xlpm.tk,P747,_xlpm.ld,Log!$P$18,_xlpm.fx,IF(OR(_xlpm.ld="",_xlpm.ld="Full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"&amp;_xlpm.q,""))))),IF(C747-I747&gt;=0.99,"next day",IF(C747-I747&gt;0.4,"12h → 24h","")))))))))))</f>
        <v/>
      </c>
      <c r="H747" s="4" t="str">
        <f t="shared" si="66"/>
        <v/>
      </c>
      <c r="I747" s="5" t="str">
        <f t="shared" si="67"/>
        <v/>
      </c>
      <c r="J747" s="6">
        <f t="shared" si="68"/>
        <v>0</v>
      </c>
      <c r="K747" s="4" t="str">
        <f t="shared" si="69"/>
        <v/>
      </c>
      <c r="L747" s="4" t="str">
        <f t="shared" si="70"/>
        <v/>
      </c>
      <c r="M747" s="4" t="b" cm="1">
        <f t="array" ref="M747">IF(H747="",FALSE,SUMPRODUCT(--(H$1:H746=H747))&gt;0)</f>
        <v>0</v>
      </c>
      <c r="N747" s="36"/>
      <c r="P747" s="1" t="str">
        <f t="shared" si="71"/>
        <v/>
      </c>
    </row>
    <row r="748" spans="1:16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"&amp;L748,IF(AND(MAX(K$1:K747)&gt;0,N(K748)-MAX(K$1:K747)&gt;180),"⚠ Gap &gt; 3h",IF(_xlfn.LET(_xlpm.q,E748,_xlpm.tk,P748,_xlpm.ld,Log!$P$18,_xlpm.fx,IF(OR(_xlpm.ld="",_xlpm.ld="Full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"&amp;_xlpm.q,""))))&lt;&gt;"",IF(N748&lt;&gt;"","Load OK ✓ (checked)","⚠ "&amp;_xlfn.LET(_xlpm.q,E748,_xlpm.tk,P748,_xlpm.ld,Log!$P$18,_xlpm.fx,IF(OR(_xlpm.ld="",_xlpm.ld="Full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"&amp;_xlpm.q,""))))),IF(C748-I748&gt;=0.99,"next day",IF(C748-I748&gt;0.4,"12h → 24h","")))))))))))</f>
        <v/>
      </c>
      <c r="H748" s="4" t="str">
        <f t="shared" si="66"/>
        <v/>
      </c>
      <c r="I748" s="5" t="str">
        <f t="shared" si="67"/>
        <v/>
      </c>
      <c r="J748" s="6">
        <f t="shared" si="68"/>
        <v>0</v>
      </c>
      <c r="K748" s="4" t="str">
        <f t="shared" si="69"/>
        <v/>
      </c>
      <c r="L748" s="4" t="str">
        <f t="shared" si="70"/>
        <v/>
      </c>
      <c r="M748" s="4" t="b" cm="1">
        <f t="array" ref="M748">IF(H748="",FALSE,SUMPRODUCT(--(H$1:H747=H748))&gt;0)</f>
        <v>0</v>
      </c>
      <c r="N748" s="36"/>
      <c r="P748" s="1" t="str">
        <f t="shared" si="71"/>
        <v/>
      </c>
    </row>
    <row r="749" spans="1:16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"&amp;L749,IF(AND(MAX(K$1:K748)&gt;0,N(K749)-MAX(K$1:K748)&gt;180),"⚠ Gap &gt; 3h",IF(_xlfn.LET(_xlpm.q,E749,_xlpm.tk,P749,_xlpm.ld,Log!$P$18,_xlpm.fx,IF(OR(_xlpm.ld="",_xlpm.ld="Full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"&amp;_xlpm.q,""))))&lt;&gt;"",IF(N749&lt;&gt;"","Load OK ✓ (checked)","⚠ "&amp;_xlfn.LET(_xlpm.q,E749,_xlpm.tk,P749,_xlpm.ld,Log!$P$18,_xlpm.fx,IF(OR(_xlpm.ld="",_xlpm.ld="Full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"&amp;_xlpm.q,""))))),IF(C749-I749&gt;=0.99,"next day",IF(C749-I749&gt;0.4,"12h → 24h","")))))))))))</f>
        <v/>
      </c>
      <c r="H749" s="4" t="str">
        <f t="shared" si="66"/>
        <v/>
      </c>
      <c r="I749" s="5" t="str">
        <f t="shared" si="67"/>
        <v/>
      </c>
      <c r="J749" s="6">
        <f t="shared" si="68"/>
        <v>0</v>
      </c>
      <c r="K749" s="4" t="str">
        <f t="shared" si="69"/>
        <v/>
      </c>
      <c r="L749" s="4" t="str">
        <f t="shared" si="70"/>
        <v/>
      </c>
      <c r="M749" s="4" t="b" cm="1">
        <f t="array" ref="M749">IF(H749="",FALSE,SUMPRODUCT(--(H$1:H748=H749))&gt;0)</f>
        <v>0</v>
      </c>
      <c r="N749" s="36"/>
      <c r="P749" s="1" t="str">
        <f t="shared" si="71"/>
        <v/>
      </c>
    </row>
    <row r="750" spans="1:16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"&amp;L750,IF(AND(MAX(K$1:K749)&gt;0,N(K750)-MAX(K$1:K749)&gt;180),"⚠ Gap &gt; 3h",IF(_xlfn.LET(_xlpm.q,E750,_xlpm.tk,P750,_xlpm.ld,Log!$P$18,_xlpm.fx,IF(OR(_xlpm.ld="",_xlpm.ld="Full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"&amp;_xlpm.q,""))))&lt;&gt;"",IF(N750&lt;&gt;"","Load OK ✓ (checked)","⚠ "&amp;_xlfn.LET(_xlpm.q,E750,_xlpm.tk,P750,_xlpm.ld,Log!$P$18,_xlpm.fx,IF(OR(_xlpm.ld="",_xlpm.ld="Full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"&amp;_xlpm.q,""))))),IF(C750-I750&gt;=0.99,"next day",IF(C750-I750&gt;0.4,"12h → 24h","")))))))))))</f>
        <v/>
      </c>
      <c r="H750" s="4" t="str">
        <f t="shared" si="66"/>
        <v/>
      </c>
      <c r="I750" s="5" t="str">
        <f t="shared" si="67"/>
        <v/>
      </c>
      <c r="J750" s="6">
        <f t="shared" si="68"/>
        <v>0</v>
      </c>
      <c r="K750" s="4" t="str">
        <f t="shared" si="69"/>
        <v/>
      </c>
      <c r="L750" s="4" t="str">
        <f t="shared" si="70"/>
        <v/>
      </c>
      <c r="M750" s="4" t="b" cm="1">
        <f t="array" ref="M750">IF(H750="",FALSE,SUMPRODUCT(--(H$1:H749=H750))&gt;0)</f>
        <v>0</v>
      </c>
      <c r="N750" s="36"/>
      <c r="P750" s="1" t="str">
        <f t="shared" si="71"/>
        <v/>
      </c>
    </row>
    <row r="751" spans="1:16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"&amp;L751,IF(AND(MAX(K$1:K750)&gt;0,N(K751)-MAX(K$1:K750)&gt;180),"⚠ Gap &gt; 3h",IF(_xlfn.LET(_xlpm.q,E751,_xlpm.tk,P751,_xlpm.ld,Log!$P$18,_xlpm.fx,IF(OR(_xlpm.ld="",_xlpm.ld="Full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"&amp;_xlpm.q,""))))&lt;&gt;"",IF(N751&lt;&gt;"","Load OK ✓ (checked)","⚠ "&amp;_xlfn.LET(_xlpm.q,E751,_xlpm.tk,P751,_xlpm.ld,Log!$P$18,_xlpm.fx,IF(OR(_xlpm.ld="",_xlpm.ld="Full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"&amp;_xlpm.q,""))))),IF(C751-I751&gt;=0.99,"next day",IF(C751-I751&gt;0.4,"12h → 24h","")))))))))))</f>
        <v/>
      </c>
      <c r="H751" s="4" t="str">
        <f t="shared" si="66"/>
        <v/>
      </c>
      <c r="I751" s="5" t="str">
        <f t="shared" si="67"/>
        <v/>
      </c>
      <c r="J751" s="6">
        <f t="shared" si="68"/>
        <v>0</v>
      </c>
      <c r="K751" s="4" t="str">
        <f t="shared" si="69"/>
        <v/>
      </c>
      <c r="L751" s="4" t="str">
        <f t="shared" si="70"/>
        <v/>
      </c>
      <c r="M751" s="4" t="b" cm="1">
        <f t="array" ref="M751">IF(H751="",FALSE,SUMPRODUCT(--(H$1:H750=H751))&gt;0)</f>
        <v>0</v>
      </c>
      <c r="N751" s="36"/>
      <c r="P751" s="1" t="str">
        <f t="shared" si="71"/>
        <v/>
      </c>
    </row>
    <row r="752" spans="1:16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"&amp;L752,IF(AND(MAX(K$1:K751)&gt;0,N(K752)-MAX(K$1:K751)&gt;180),"⚠ Gap &gt; 3h",IF(_xlfn.LET(_xlpm.q,E752,_xlpm.tk,P752,_xlpm.ld,Log!$P$18,_xlpm.fx,IF(OR(_xlpm.ld="",_xlpm.ld="Full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"&amp;_xlpm.q,""))))&lt;&gt;"",IF(N752&lt;&gt;"","Load OK ✓ (checked)","⚠ "&amp;_xlfn.LET(_xlpm.q,E752,_xlpm.tk,P752,_xlpm.ld,Log!$P$18,_xlpm.fx,IF(OR(_xlpm.ld="",_xlpm.ld="Full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"&amp;_xlpm.q,""))))),IF(C752-I752&gt;=0.99,"next day",IF(C752-I752&gt;0.4,"12h → 24h","")))))))))))</f>
        <v/>
      </c>
      <c r="H752" s="4" t="str">
        <f t="shared" si="66"/>
        <v/>
      </c>
      <c r="I752" s="5" t="str">
        <f t="shared" si="67"/>
        <v/>
      </c>
      <c r="J752" s="6">
        <f t="shared" si="68"/>
        <v>0</v>
      </c>
      <c r="K752" s="4" t="str">
        <f t="shared" si="69"/>
        <v/>
      </c>
      <c r="L752" s="4" t="str">
        <f t="shared" si="70"/>
        <v/>
      </c>
      <c r="M752" s="4" t="b" cm="1">
        <f t="array" ref="M752">IF(H752="",FALSE,SUMPRODUCT(--(H$1:H751=H752))&gt;0)</f>
        <v>0</v>
      </c>
      <c r="N752" s="36"/>
      <c r="P752" s="1" t="str">
        <f t="shared" si="71"/>
        <v/>
      </c>
    </row>
    <row r="753" spans="1:16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"&amp;L753,IF(AND(MAX(K$1:K752)&gt;0,N(K753)-MAX(K$1:K752)&gt;180),"⚠ Gap &gt; 3h",IF(_xlfn.LET(_xlpm.q,E753,_xlpm.tk,P753,_xlpm.ld,Log!$P$18,_xlpm.fx,IF(OR(_xlpm.ld="",_xlpm.ld="Full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"&amp;_xlpm.q,""))))&lt;&gt;"",IF(N753&lt;&gt;"","Load OK ✓ (checked)","⚠ "&amp;_xlfn.LET(_xlpm.q,E753,_xlpm.tk,P753,_xlpm.ld,Log!$P$18,_xlpm.fx,IF(OR(_xlpm.ld="",_xlpm.ld="Full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"&amp;_xlpm.q,""))))),IF(C753-I753&gt;=0.99,"next day",IF(C753-I753&gt;0.4,"12h → 24h","")))))))))))</f>
        <v/>
      </c>
      <c r="H753" s="4" t="str">
        <f t="shared" si="66"/>
        <v/>
      </c>
      <c r="I753" s="5" t="str">
        <f t="shared" si="67"/>
        <v/>
      </c>
      <c r="J753" s="6">
        <f t="shared" si="68"/>
        <v>0</v>
      </c>
      <c r="K753" s="4" t="str">
        <f t="shared" si="69"/>
        <v/>
      </c>
      <c r="L753" s="4" t="str">
        <f t="shared" si="70"/>
        <v/>
      </c>
      <c r="M753" s="4" t="b" cm="1">
        <f t="array" ref="M753">IF(H753="",FALSE,SUMPRODUCT(--(H$1:H752=H753))&gt;0)</f>
        <v>0</v>
      </c>
      <c r="N753" s="36"/>
      <c r="P753" s="1" t="str">
        <f t="shared" si="71"/>
        <v/>
      </c>
    </row>
    <row r="754" spans="1:16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"&amp;L754,IF(AND(MAX(K$1:K753)&gt;0,N(K754)-MAX(K$1:K753)&gt;180),"⚠ Gap &gt; 3h",IF(_xlfn.LET(_xlpm.q,E754,_xlpm.tk,P754,_xlpm.ld,Log!$P$18,_xlpm.fx,IF(OR(_xlpm.ld="",_xlpm.ld="Full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"&amp;_xlpm.q,""))))&lt;&gt;"",IF(N754&lt;&gt;"","Load OK ✓ (checked)","⚠ "&amp;_xlfn.LET(_xlpm.q,E754,_xlpm.tk,P754,_xlpm.ld,Log!$P$18,_xlpm.fx,IF(OR(_xlpm.ld="",_xlpm.ld="Full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"&amp;_xlpm.q,""))))),IF(C754-I754&gt;=0.99,"next day",IF(C754-I754&gt;0.4,"12h → 24h","")))))))))))</f>
        <v/>
      </c>
      <c r="H754" s="4" t="str">
        <f t="shared" si="66"/>
        <v/>
      </c>
      <c r="I754" s="5" t="str">
        <f t="shared" si="67"/>
        <v/>
      </c>
      <c r="J754" s="6">
        <f t="shared" si="68"/>
        <v>0</v>
      </c>
      <c r="K754" s="4" t="str">
        <f t="shared" si="69"/>
        <v/>
      </c>
      <c r="L754" s="4" t="str">
        <f t="shared" si="70"/>
        <v/>
      </c>
      <c r="M754" s="4" t="b" cm="1">
        <f t="array" ref="M754">IF(H754="",FALSE,SUMPRODUCT(--(H$1:H753=H754))&gt;0)</f>
        <v>0</v>
      </c>
      <c r="N754" s="36"/>
      <c r="P754" s="1" t="str">
        <f t="shared" si="71"/>
        <v/>
      </c>
    </row>
    <row r="755" spans="1:16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"&amp;L755,IF(AND(MAX(K$1:K754)&gt;0,N(K755)-MAX(K$1:K754)&gt;180),"⚠ Gap &gt; 3h",IF(_xlfn.LET(_xlpm.q,E755,_xlpm.tk,P755,_xlpm.ld,Log!$P$18,_xlpm.fx,IF(OR(_xlpm.ld="",_xlpm.ld="Full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"&amp;_xlpm.q,""))))&lt;&gt;"",IF(N755&lt;&gt;"","Load OK ✓ (checked)","⚠ "&amp;_xlfn.LET(_xlpm.q,E755,_xlpm.tk,P755,_xlpm.ld,Log!$P$18,_xlpm.fx,IF(OR(_xlpm.ld="",_xlpm.ld="Full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"&amp;_xlpm.q,""))))),IF(C755-I755&gt;=0.99,"next day",IF(C755-I755&gt;0.4,"12h → 24h","")))))))))))</f>
        <v/>
      </c>
      <c r="H755" s="4" t="str">
        <f t="shared" si="66"/>
        <v/>
      </c>
      <c r="I755" s="5" t="str">
        <f t="shared" si="67"/>
        <v/>
      </c>
      <c r="J755" s="6">
        <f t="shared" si="68"/>
        <v>0</v>
      </c>
      <c r="K755" s="4" t="str">
        <f t="shared" si="69"/>
        <v/>
      </c>
      <c r="L755" s="4" t="str">
        <f t="shared" si="70"/>
        <v/>
      </c>
      <c r="M755" s="4" t="b" cm="1">
        <f t="array" ref="M755">IF(H755="",FALSE,SUMPRODUCT(--(H$1:H754=H755))&gt;0)</f>
        <v>0</v>
      </c>
      <c r="N755" s="36"/>
      <c r="P755" s="1" t="str">
        <f t="shared" si="71"/>
        <v/>
      </c>
    </row>
    <row r="756" spans="1:16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"&amp;L756,IF(AND(MAX(K$1:K755)&gt;0,N(K756)-MAX(K$1:K755)&gt;180),"⚠ Gap &gt; 3h",IF(_xlfn.LET(_xlpm.q,E756,_xlpm.tk,P756,_xlpm.ld,Log!$P$18,_xlpm.fx,IF(OR(_xlpm.ld="",_xlpm.ld="Full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"&amp;_xlpm.q,""))))&lt;&gt;"",IF(N756&lt;&gt;"","Load OK ✓ (checked)","⚠ "&amp;_xlfn.LET(_xlpm.q,E756,_xlpm.tk,P756,_xlpm.ld,Log!$P$18,_xlpm.fx,IF(OR(_xlpm.ld="",_xlpm.ld="Full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"&amp;_xlpm.q,""))))),IF(C756-I756&gt;=0.99,"next day",IF(C756-I756&gt;0.4,"12h → 24h","")))))))))))</f>
        <v/>
      </c>
      <c r="H756" s="4" t="str">
        <f t="shared" si="66"/>
        <v/>
      </c>
      <c r="I756" s="5" t="str">
        <f t="shared" si="67"/>
        <v/>
      </c>
      <c r="J756" s="6">
        <f t="shared" si="68"/>
        <v>0</v>
      </c>
      <c r="K756" s="4" t="str">
        <f t="shared" si="69"/>
        <v/>
      </c>
      <c r="L756" s="4" t="str">
        <f t="shared" si="70"/>
        <v/>
      </c>
      <c r="M756" s="4" t="b" cm="1">
        <f t="array" ref="M756">IF(H756="",FALSE,SUMPRODUCT(--(H$1:H755=H756))&gt;0)</f>
        <v>0</v>
      </c>
      <c r="N756" s="36"/>
      <c r="P756" s="1" t="str">
        <f t="shared" si="71"/>
        <v/>
      </c>
    </row>
    <row r="757" spans="1:16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"&amp;L757,IF(AND(MAX(K$1:K756)&gt;0,N(K757)-MAX(K$1:K756)&gt;180),"⚠ Gap &gt; 3h",IF(_xlfn.LET(_xlpm.q,E757,_xlpm.tk,P757,_xlpm.ld,Log!$P$18,_xlpm.fx,IF(OR(_xlpm.ld="",_xlpm.ld="Full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"&amp;_xlpm.q,""))))&lt;&gt;"",IF(N757&lt;&gt;"","Load OK ✓ (checked)","⚠ "&amp;_xlfn.LET(_xlpm.q,E757,_xlpm.tk,P757,_xlpm.ld,Log!$P$18,_xlpm.fx,IF(OR(_xlpm.ld="",_xlpm.ld="Full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"&amp;_xlpm.q,""))))),IF(C757-I757&gt;=0.99,"next day",IF(C757-I757&gt;0.4,"12h → 24h","")))))))))))</f>
        <v/>
      </c>
      <c r="H757" s="4" t="str">
        <f t="shared" si="66"/>
        <v/>
      </c>
      <c r="I757" s="5" t="str">
        <f t="shared" si="67"/>
        <v/>
      </c>
      <c r="J757" s="6">
        <f t="shared" si="68"/>
        <v>0</v>
      </c>
      <c r="K757" s="4" t="str">
        <f t="shared" si="69"/>
        <v/>
      </c>
      <c r="L757" s="4" t="str">
        <f t="shared" si="70"/>
        <v/>
      </c>
      <c r="M757" s="4" t="b" cm="1">
        <f t="array" ref="M757">IF(H757="",FALSE,SUMPRODUCT(--(H$1:H756=H757))&gt;0)</f>
        <v>0</v>
      </c>
      <c r="N757" s="36"/>
      <c r="P757" s="1" t="str">
        <f t="shared" si="71"/>
        <v/>
      </c>
    </row>
    <row r="758" spans="1:16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"&amp;L758,IF(AND(MAX(K$1:K757)&gt;0,N(K758)-MAX(K$1:K757)&gt;180),"⚠ Gap &gt; 3h",IF(_xlfn.LET(_xlpm.q,E758,_xlpm.tk,P758,_xlpm.ld,Log!$P$18,_xlpm.fx,IF(OR(_xlpm.ld="",_xlpm.ld="Full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"&amp;_xlpm.q,""))))&lt;&gt;"",IF(N758&lt;&gt;"","Load OK ✓ (checked)","⚠ "&amp;_xlfn.LET(_xlpm.q,E758,_xlpm.tk,P758,_xlpm.ld,Log!$P$18,_xlpm.fx,IF(OR(_xlpm.ld="",_xlpm.ld="Full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"&amp;_xlpm.q,""))))),IF(C758-I758&gt;=0.99,"next day",IF(C758-I758&gt;0.4,"12h → 24h","")))))))))))</f>
        <v/>
      </c>
      <c r="H758" s="4" t="str">
        <f t="shared" si="66"/>
        <v/>
      </c>
      <c r="I758" s="5" t="str">
        <f t="shared" si="67"/>
        <v/>
      </c>
      <c r="J758" s="6">
        <f t="shared" si="68"/>
        <v>0</v>
      </c>
      <c r="K758" s="4" t="str">
        <f t="shared" si="69"/>
        <v/>
      </c>
      <c r="L758" s="4" t="str">
        <f t="shared" si="70"/>
        <v/>
      </c>
      <c r="M758" s="4" t="b" cm="1">
        <f t="array" ref="M758">IF(H758="",FALSE,SUMPRODUCT(--(H$1:H757=H758))&gt;0)</f>
        <v>0</v>
      </c>
      <c r="N758" s="36"/>
      <c r="P758" s="1" t="str">
        <f t="shared" si="71"/>
        <v/>
      </c>
    </row>
    <row r="759" spans="1:16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"&amp;L759,IF(AND(MAX(K$1:K758)&gt;0,N(K759)-MAX(K$1:K758)&gt;180),"⚠ Gap &gt; 3h",IF(_xlfn.LET(_xlpm.q,E759,_xlpm.tk,P759,_xlpm.ld,Log!$P$18,_xlpm.fx,IF(OR(_xlpm.ld="",_xlpm.ld="Full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"&amp;_xlpm.q,""))))&lt;&gt;"",IF(N759&lt;&gt;"","Load OK ✓ (checked)","⚠ "&amp;_xlfn.LET(_xlpm.q,E759,_xlpm.tk,P759,_xlpm.ld,Log!$P$18,_xlpm.fx,IF(OR(_xlpm.ld="",_xlpm.ld="Full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"&amp;_xlpm.q,""))))),IF(C759-I759&gt;=0.99,"next day",IF(C759-I759&gt;0.4,"12h → 24h","")))))))))))</f>
        <v/>
      </c>
      <c r="H759" s="4" t="str">
        <f t="shared" si="66"/>
        <v/>
      </c>
      <c r="I759" s="5" t="str">
        <f t="shared" si="67"/>
        <v/>
      </c>
      <c r="J759" s="6">
        <f t="shared" si="68"/>
        <v>0</v>
      </c>
      <c r="K759" s="4" t="str">
        <f t="shared" si="69"/>
        <v/>
      </c>
      <c r="L759" s="4" t="str">
        <f t="shared" si="70"/>
        <v/>
      </c>
      <c r="M759" s="4" t="b" cm="1">
        <f t="array" ref="M759">IF(H759="",FALSE,SUMPRODUCT(--(H$1:H758=H759))&gt;0)</f>
        <v>0</v>
      </c>
      <c r="N759" s="36"/>
      <c r="P759" s="1" t="str">
        <f t="shared" si="71"/>
        <v/>
      </c>
    </row>
    <row r="760" spans="1:16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"&amp;L760,IF(AND(MAX(K$1:K759)&gt;0,N(K760)-MAX(K$1:K759)&gt;180),"⚠ Gap &gt; 3h",IF(_xlfn.LET(_xlpm.q,E760,_xlpm.tk,P760,_xlpm.ld,Log!$P$18,_xlpm.fx,IF(OR(_xlpm.ld="",_xlpm.ld="Full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"&amp;_xlpm.q,""))))&lt;&gt;"",IF(N760&lt;&gt;"","Load OK ✓ (checked)","⚠ "&amp;_xlfn.LET(_xlpm.q,E760,_xlpm.tk,P760,_xlpm.ld,Log!$P$18,_xlpm.fx,IF(OR(_xlpm.ld="",_xlpm.ld="Full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"&amp;_xlpm.q,""))))),IF(C760-I760&gt;=0.99,"next day",IF(C760-I760&gt;0.4,"12h → 24h","")))))))))))</f>
        <v/>
      </c>
      <c r="H760" s="4" t="str">
        <f t="shared" si="66"/>
        <v/>
      </c>
      <c r="I760" s="5" t="str">
        <f t="shared" si="67"/>
        <v/>
      </c>
      <c r="J760" s="6">
        <f t="shared" si="68"/>
        <v>0</v>
      </c>
      <c r="K760" s="4" t="str">
        <f t="shared" si="69"/>
        <v/>
      </c>
      <c r="L760" s="4" t="str">
        <f t="shared" si="70"/>
        <v/>
      </c>
      <c r="M760" s="4" t="b" cm="1">
        <f t="array" ref="M760">IF(H760="",FALSE,SUMPRODUCT(--(H$1:H759=H760))&gt;0)</f>
        <v>0</v>
      </c>
      <c r="N760" s="36"/>
      <c r="P760" s="1" t="str">
        <f t="shared" si="71"/>
        <v/>
      </c>
    </row>
    <row r="761" spans="1:16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"&amp;L761,IF(AND(MAX(K$1:K760)&gt;0,N(K761)-MAX(K$1:K760)&gt;180),"⚠ Gap &gt; 3h",IF(_xlfn.LET(_xlpm.q,E761,_xlpm.tk,P761,_xlpm.ld,Log!$P$18,_xlpm.fx,IF(OR(_xlpm.ld="",_xlpm.ld="Full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"&amp;_xlpm.q,""))))&lt;&gt;"",IF(N761&lt;&gt;"","Load OK ✓ (checked)","⚠ "&amp;_xlfn.LET(_xlpm.q,E761,_xlpm.tk,P761,_xlpm.ld,Log!$P$18,_xlpm.fx,IF(OR(_xlpm.ld="",_xlpm.ld="Full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"&amp;_xlpm.q,""))))),IF(C761-I761&gt;=0.99,"next day",IF(C761-I761&gt;0.4,"12h → 24h","")))))))))))</f>
        <v/>
      </c>
      <c r="H761" s="4" t="str">
        <f t="shared" si="66"/>
        <v/>
      </c>
      <c r="I761" s="5" t="str">
        <f t="shared" si="67"/>
        <v/>
      </c>
      <c r="J761" s="6">
        <f t="shared" si="68"/>
        <v>0</v>
      </c>
      <c r="K761" s="4" t="str">
        <f t="shared" si="69"/>
        <v/>
      </c>
      <c r="L761" s="4" t="str">
        <f t="shared" si="70"/>
        <v/>
      </c>
      <c r="M761" s="4" t="b" cm="1">
        <f t="array" ref="M761">IF(H761="",FALSE,SUMPRODUCT(--(H$1:H760=H761))&gt;0)</f>
        <v>0</v>
      </c>
      <c r="N761" s="36"/>
      <c r="P761" s="1" t="str">
        <f t="shared" si="71"/>
        <v/>
      </c>
    </row>
    <row r="762" spans="1:16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"&amp;L762,IF(AND(MAX(K$1:K761)&gt;0,N(K762)-MAX(K$1:K761)&gt;180),"⚠ Gap &gt; 3h",IF(_xlfn.LET(_xlpm.q,E762,_xlpm.tk,P762,_xlpm.ld,Log!$P$18,_xlpm.fx,IF(OR(_xlpm.ld="",_xlpm.ld="Full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"&amp;_xlpm.q,""))))&lt;&gt;"",IF(N762&lt;&gt;"","Load OK ✓ (checked)","⚠ "&amp;_xlfn.LET(_xlpm.q,E762,_xlpm.tk,P762,_xlpm.ld,Log!$P$18,_xlpm.fx,IF(OR(_xlpm.ld="",_xlpm.ld="Full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"&amp;_xlpm.q,""))))),IF(C762-I762&gt;=0.99,"next day",IF(C762-I762&gt;0.4,"12h → 24h","")))))))))))</f>
        <v/>
      </c>
      <c r="H762" s="4" t="str">
        <f t="shared" si="66"/>
        <v/>
      </c>
      <c r="I762" s="5" t="str">
        <f t="shared" si="67"/>
        <v/>
      </c>
      <c r="J762" s="6">
        <f t="shared" si="68"/>
        <v>0</v>
      </c>
      <c r="K762" s="4" t="str">
        <f t="shared" si="69"/>
        <v/>
      </c>
      <c r="L762" s="4" t="str">
        <f t="shared" si="70"/>
        <v/>
      </c>
      <c r="M762" s="4" t="b" cm="1">
        <f t="array" ref="M762">IF(H762="",FALSE,SUMPRODUCT(--(H$1:H761=H762))&gt;0)</f>
        <v>0</v>
      </c>
      <c r="N762" s="36"/>
      <c r="P762" s="1" t="str">
        <f t="shared" si="71"/>
        <v/>
      </c>
    </row>
    <row r="763" spans="1:16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"&amp;L763,IF(AND(MAX(K$1:K762)&gt;0,N(K763)-MAX(K$1:K762)&gt;180),"⚠ Gap &gt; 3h",IF(_xlfn.LET(_xlpm.q,E763,_xlpm.tk,P763,_xlpm.ld,Log!$P$18,_xlpm.fx,IF(OR(_xlpm.ld="",_xlpm.ld="Full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"&amp;_xlpm.q,""))))&lt;&gt;"",IF(N763&lt;&gt;"","Load OK ✓ (checked)","⚠ "&amp;_xlfn.LET(_xlpm.q,E763,_xlpm.tk,P763,_xlpm.ld,Log!$P$18,_xlpm.fx,IF(OR(_xlpm.ld="",_xlpm.ld="Full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"&amp;_xlpm.q,""))))),IF(C763-I763&gt;=0.99,"next day",IF(C763-I763&gt;0.4,"12h → 24h","")))))))))))</f>
        <v/>
      </c>
      <c r="H763" s="4" t="str">
        <f t="shared" si="66"/>
        <v/>
      </c>
      <c r="I763" s="5" t="str">
        <f t="shared" si="67"/>
        <v/>
      </c>
      <c r="J763" s="6">
        <f t="shared" si="68"/>
        <v>0</v>
      </c>
      <c r="K763" s="4" t="str">
        <f t="shared" si="69"/>
        <v/>
      </c>
      <c r="L763" s="4" t="str">
        <f t="shared" si="70"/>
        <v/>
      </c>
      <c r="M763" s="4" t="b" cm="1">
        <f t="array" ref="M763">IF(H763="",FALSE,SUMPRODUCT(--(H$1:H762=H763))&gt;0)</f>
        <v>0</v>
      </c>
      <c r="N763" s="36"/>
      <c r="P763" s="1" t="str">
        <f t="shared" si="71"/>
        <v/>
      </c>
    </row>
    <row r="764" spans="1:16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"&amp;L764,IF(AND(MAX(K$1:K763)&gt;0,N(K764)-MAX(K$1:K763)&gt;180),"⚠ Gap &gt; 3h",IF(_xlfn.LET(_xlpm.q,E764,_xlpm.tk,P764,_xlpm.ld,Log!$P$18,_xlpm.fx,IF(OR(_xlpm.ld="",_xlpm.ld="Full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"&amp;_xlpm.q,""))))&lt;&gt;"",IF(N764&lt;&gt;"","Load OK ✓ (checked)","⚠ "&amp;_xlfn.LET(_xlpm.q,E764,_xlpm.tk,P764,_xlpm.ld,Log!$P$18,_xlpm.fx,IF(OR(_xlpm.ld="",_xlpm.ld="Full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"&amp;_xlpm.q,""))))),IF(C764-I764&gt;=0.99,"next day",IF(C764-I764&gt;0.4,"12h → 24h","")))))))))))</f>
        <v/>
      </c>
      <c r="H764" s="4" t="str">
        <f t="shared" si="66"/>
        <v/>
      </c>
      <c r="I764" s="5" t="str">
        <f t="shared" si="67"/>
        <v/>
      </c>
      <c r="J764" s="6">
        <f t="shared" si="68"/>
        <v>0</v>
      </c>
      <c r="K764" s="4" t="str">
        <f t="shared" si="69"/>
        <v/>
      </c>
      <c r="L764" s="4" t="str">
        <f t="shared" si="70"/>
        <v/>
      </c>
      <c r="M764" s="4" t="b" cm="1">
        <f t="array" ref="M764">IF(H764="",FALSE,SUMPRODUCT(--(H$1:H763=H764))&gt;0)</f>
        <v>0</v>
      </c>
      <c r="N764" s="36"/>
      <c r="P764" s="1" t="str">
        <f t="shared" si="71"/>
        <v/>
      </c>
    </row>
    <row r="765" spans="1:16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"&amp;L765,IF(AND(MAX(K$1:K764)&gt;0,N(K765)-MAX(K$1:K764)&gt;180),"⚠ Gap &gt; 3h",IF(_xlfn.LET(_xlpm.q,E765,_xlpm.tk,P765,_xlpm.ld,Log!$P$18,_xlpm.fx,IF(OR(_xlpm.ld="",_xlpm.ld="Full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"&amp;_xlpm.q,""))))&lt;&gt;"",IF(N765&lt;&gt;"","Load OK ✓ (checked)","⚠ "&amp;_xlfn.LET(_xlpm.q,E765,_xlpm.tk,P765,_xlpm.ld,Log!$P$18,_xlpm.fx,IF(OR(_xlpm.ld="",_xlpm.ld="Full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"&amp;_xlpm.q,""))))),IF(C765-I765&gt;=0.99,"next day",IF(C765-I765&gt;0.4,"12h → 24h","")))))))))))</f>
        <v/>
      </c>
      <c r="H765" s="4" t="str">
        <f t="shared" si="66"/>
        <v/>
      </c>
      <c r="I765" s="5" t="str">
        <f t="shared" si="67"/>
        <v/>
      </c>
      <c r="J765" s="6">
        <f t="shared" si="68"/>
        <v>0</v>
      </c>
      <c r="K765" s="4" t="str">
        <f t="shared" si="69"/>
        <v/>
      </c>
      <c r="L765" s="4" t="str">
        <f t="shared" si="70"/>
        <v/>
      </c>
      <c r="M765" s="4" t="b" cm="1">
        <f t="array" ref="M765">IF(H765="",FALSE,SUMPRODUCT(--(H$1:H764=H765))&gt;0)</f>
        <v>0</v>
      </c>
      <c r="N765" s="36"/>
      <c r="P765" s="1" t="str">
        <f t="shared" si="71"/>
        <v/>
      </c>
    </row>
    <row r="766" spans="1:16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"&amp;L766,IF(AND(MAX(K$1:K765)&gt;0,N(K766)-MAX(K$1:K765)&gt;180),"⚠ Gap &gt; 3h",IF(_xlfn.LET(_xlpm.q,E766,_xlpm.tk,P766,_xlpm.ld,Log!$P$18,_xlpm.fx,IF(OR(_xlpm.ld="",_xlpm.ld="Full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"&amp;_xlpm.q,""))))&lt;&gt;"",IF(N766&lt;&gt;"","Load OK ✓ (checked)","⚠ "&amp;_xlfn.LET(_xlpm.q,E766,_xlpm.tk,P766,_xlpm.ld,Log!$P$18,_xlpm.fx,IF(OR(_xlpm.ld="",_xlpm.ld="Full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"&amp;_xlpm.q,""))))),IF(C766-I766&gt;=0.99,"next day",IF(C766-I766&gt;0.4,"12h → 24h","")))))))))))</f>
        <v/>
      </c>
      <c r="H766" s="4" t="str">
        <f t="shared" si="66"/>
        <v/>
      </c>
      <c r="I766" s="5" t="str">
        <f t="shared" si="67"/>
        <v/>
      </c>
      <c r="J766" s="6">
        <f t="shared" si="68"/>
        <v>0</v>
      </c>
      <c r="K766" s="4" t="str">
        <f t="shared" si="69"/>
        <v/>
      </c>
      <c r="L766" s="4" t="str">
        <f t="shared" si="70"/>
        <v/>
      </c>
      <c r="M766" s="4" t="b" cm="1">
        <f t="array" ref="M766">IF(H766="",FALSE,SUMPRODUCT(--(H$1:H765=H766))&gt;0)</f>
        <v>0</v>
      </c>
      <c r="N766" s="36"/>
      <c r="P766" s="1" t="str">
        <f t="shared" si="71"/>
        <v/>
      </c>
    </row>
    <row r="767" spans="1:16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"&amp;L767,IF(AND(MAX(K$1:K766)&gt;0,N(K767)-MAX(K$1:K766)&gt;180),"⚠ Gap &gt; 3h",IF(_xlfn.LET(_xlpm.q,E767,_xlpm.tk,P767,_xlpm.ld,Log!$P$18,_xlpm.fx,IF(OR(_xlpm.ld="",_xlpm.ld="Full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"&amp;_xlpm.q,""))))&lt;&gt;"",IF(N767&lt;&gt;"","Load OK ✓ (checked)","⚠ "&amp;_xlfn.LET(_xlpm.q,E767,_xlpm.tk,P767,_xlpm.ld,Log!$P$18,_xlpm.fx,IF(OR(_xlpm.ld="",_xlpm.ld="Full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"&amp;_xlpm.q,""))))),IF(C767-I767&gt;=0.99,"next day",IF(C767-I767&gt;0.4,"12h → 24h","")))))))))))</f>
        <v/>
      </c>
      <c r="H767" s="4" t="str">
        <f t="shared" si="66"/>
        <v/>
      </c>
      <c r="I767" s="5" t="str">
        <f t="shared" si="67"/>
        <v/>
      </c>
      <c r="J767" s="6">
        <f t="shared" si="68"/>
        <v>0</v>
      </c>
      <c r="K767" s="4" t="str">
        <f t="shared" si="69"/>
        <v/>
      </c>
      <c r="L767" s="4" t="str">
        <f t="shared" si="70"/>
        <v/>
      </c>
      <c r="M767" s="4" t="b" cm="1">
        <f t="array" ref="M767">IF(H767="",FALSE,SUMPRODUCT(--(H$1:H766=H767))&gt;0)</f>
        <v>0</v>
      </c>
      <c r="N767" s="36"/>
      <c r="P767" s="1" t="str">
        <f t="shared" si="71"/>
        <v/>
      </c>
    </row>
    <row r="768" spans="1:16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"&amp;L768,IF(AND(MAX(K$1:K767)&gt;0,N(K768)-MAX(K$1:K767)&gt;180),"⚠ Gap &gt; 3h",IF(_xlfn.LET(_xlpm.q,E768,_xlpm.tk,P768,_xlpm.ld,Log!$P$18,_xlpm.fx,IF(OR(_xlpm.ld="",_xlpm.ld="Full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"&amp;_xlpm.q,""))))&lt;&gt;"",IF(N768&lt;&gt;"","Load OK ✓ (checked)","⚠ "&amp;_xlfn.LET(_xlpm.q,E768,_xlpm.tk,P768,_xlpm.ld,Log!$P$18,_xlpm.fx,IF(OR(_xlpm.ld="",_xlpm.ld="Full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"&amp;_xlpm.q,""))))),IF(C768-I768&gt;=0.99,"next day",IF(C768-I768&gt;0.4,"12h → 24h","")))))))))))</f>
        <v/>
      </c>
      <c r="H768" s="4" t="str">
        <f t="shared" si="66"/>
        <v/>
      </c>
      <c r="I768" s="5" t="str">
        <f t="shared" si="67"/>
        <v/>
      </c>
      <c r="J768" s="6">
        <f t="shared" si="68"/>
        <v>0</v>
      </c>
      <c r="K768" s="4" t="str">
        <f t="shared" si="69"/>
        <v/>
      </c>
      <c r="L768" s="4" t="str">
        <f t="shared" si="70"/>
        <v/>
      </c>
      <c r="M768" s="4" t="b" cm="1">
        <f t="array" ref="M768">IF(H768="",FALSE,SUMPRODUCT(--(H$1:H767=H768))&gt;0)</f>
        <v>0</v>
      </c>
      <c r="N768" s="36"/>
      <c r="P768" s="1" t="str">
        <f t="shared" si="71"/>
        <v/>
      </c>
    </row>
    <row r="769" spans="1:16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"&amp;L769,IF(AND(MAX(K$1:K768)&gt;0,N(K769)-MAX(K$1:K768)&gt;180),"⚠ Gap &gt; 3h",IF(_xlfn.LET(_xlpm.q,E769,_xlpm.tk,P769,_xlpm.ld,Log!$P$18,_xlpm.fx,IF(OR(_xlpm.ld="",_xlpm.ld="Full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"&amp;_xlpm.q,""))))&lt;&gt;"",IF(N769&lt;&gt;"","Load OK ✓ (checked)","⚠ "&amp;_xlfn.LET(_xlpm.q,E769,_xlpm.tk,P769,_xlpm.ld,Log!$P$18,_xlpm.fx,IF(OR(_xlpm.ld="",_xlpm.ld="Full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"&amp;_xlpm.q,""))))),IF(C769-I769&gt;=0.99,"next day",IF(C769-I769&gt;0.4,"12h → 24h","")))))))))))</f>
        <v/>
      </c>
      <c r="H769" s="4" t="str">
        <f t="shared" si="66"/>
        <v/>
      </c>
      <c r="I769" s="5" t="str">
        <f t="shared" si="67"/>
        <v/>
      </c>
      <c r="J769" s="6">
        <f t="shared" si="68"/>
        <v>0</v>
      </c>
      <c r="K769" s="4" t="str">
        <f t="shared" si="69"/>
        <v/>
      </c>
      <c r="L769" s="4" t="str">
        <f t="shared" si="70"/>
        <v/>
      </c>
      <c r="M769" s="4" t="b" cm="1">
        <f t="array" ref="M769">IF(H769="",FALSE,SUMPRODUCT(--(H$1:H768=H769))&gt;0)</f>
        <v>0</v>
      </c>
      <c r="N769" s="36"/>
      <c r="P769" s="1" t="str">
        <f t="shared" si="71"/>
        <v/>
      </c>
    </row>
    <row r="770" spans="1:16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"&amp;L770,IF(AND(MAX(K$1:K769)&gt;0,N(K770)-MAX(K$1:K769)&gt;180),"⚠ Gap &gt; 3h",IF(_xlfn.LET(_xlpm.q,E770,_xlpm.tk,P770,_xlpm.ld,Log!$P$18,_xlpm.fx,IF(OR(_xlpm.ld="",_xlpm.ld="Full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"&amp;_xlpm.q,""))))&lt;&gt;"",IF(N770&lt;&gt;"","Load OK ✓ (checked)","⚠ "&amp;_xlfn.LET(_xlpm.q,E770,_xlpm.tk,P770,_xlpm.ld,Log!$P$18,_xlpm.fx,IF(OR(_xlpm.ld="",_xlpm.ld="Full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"&amp;_xlpm.q,""))))),IF(C770-I770&gt;=0.99,"next day",IF(C770-I770&gt;0.4,"12h → 24h","")))))))))))</f>
        <v/>
      </c>
      <c r="H770" s="4" t="str">
        <f t="shared" ref="H770:H833" si="72">IF(B770="","",_xlfn.LET(_xlpm.t,TRIM(B770),IF(LEFT(_xlpm.t,1)="[",IFERROR(TRIM(MID(_xlpm.t,FIND(": ",_xlpm.t,FIND("]",_xlpm.t))+2,500)),_xlpm.t),_xlpm.t)))</f>
        <v/>
      </c>
      <c r="I770" s="5" t="str">
        <f t="shared" ref="I770:I833" si="73">IF(H770="","",IFERROR(TIMEVALUE(TRIM(SUBSTITUTE(SUBSTITUTE(MID(H770,SEARCH(":",H770)-2,5),".",""),"*",""))),""))</f>
        <v/>
      </c>
      <c r="J770" s="6">
        <f t="shared" ref="J770:J833" si="74">IF(OR(B770="",F770="",M770),0,IF(ISNUMBER(F770),F770,N(E770)))</f>
        <v>0</v>
      </c>
      <c r="K770" s="4" t="str">
        <f t="shared" ref="K770:K833" si="75">IF(OR(C770="",M770),"",ROUND(C770*1440,0))</f>
        <v/>
      </c>
      <c r="L770" s="4" t="str">
        <f t="shared" ref="L770:L833" si="76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  <c r="N770" s="36"/>
      <c r="P770" s="1" t="str">
        <f t="shared" ref="P770:P833" si="77">IF(OR(H770="",NOT(ISNUMBER(L770))),"",IFERROR(_xlfn.LET(_xlpm.t,TRIM(SUBSTITUTE(SUBSTITUTE(SUBSTITUTE(H770,"*",""),"_",""),"."," ")),_xlpm.s,TRIM(MID(SUBSTITUTE(_xlpm.t," ",REPT(" ",100)),101,100)),IF(AND(LEN(_xlpm.s)=3,ISNUMBER(--_xlpm.s)),--_xlpm.s,"")),""))</f>
        <v/>
      </c>
    </row>
    <row r="771" spans="1:16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"&amp;L771,IF(AND(MAX(K$1:K770)&gt;0,N(K771)-MAX(K$1:K770)&gt;180),"⚠ Gap &gt; 3h",IF(_xlfn.LET(_xlpm.q,E771,_xlpm.tk,P771,_xlpm.ld,Log!$P$18,_xlpm.fx,IF(OR(_xlpm.ld="",_xlpm.ld="Full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"&amp;_xlpm.q,""))))&lt;&gt;"",IF(N771&lt;&gt;"","Load OK ✓ (checked)","⚠ "&amp;_xlfn.LET(_xlpm.q,E771,_xlpm.tk,P771,_xlpm.ld,Log!$P$18,_xlpm.fx,IF(OR(_xlpm.ld="",_xlpm.ld="Full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"&amp;_xlpm.q,""))))),IF(C771-I771&gt;=0.99,"next day",IF(C771-I771&gt;0.4,"12h → 24h","")))))))))))</f>
        <v/>
      </c>
      <c r="H771" s="4" t="str">
        <f t="shared" si="72"/>
        <v/>
      </c>
      <c r="I771" s="5" t="str">
        <f t="shared" si="73"/>
        <v/>
      </c>
      <c r="J771" s="6">
        <f t="shared" si="74"/>
        <v>0</v>
      </c>
      <c r="K771" s="4" t="str">
        <f t="shared" si="75"/>
        <v/>
      </c>
      <c r="L771" s="4" t="str">
        <f t="shared" si="76"/>
        <v/>
      </c>
      <c r="M771" s="4" t="b" cm="1">
        <f t="array" ref="M771">IF(H771="",FALSE,SUMPRODUCT(--(H$1:H770=H771))&gt;0)</f>
        <v>0</v>
      </c>
      <c r="N771" s="36"/>
      <c r="P771" s="1" t="str">
        <f t="shared" si="77"/>
        <v/>
      </c>
    </row>
    <row r="772" spans="1:16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"&amp;L772,IF(AND(MAX(K$1:K771)&gt;0,N(K772)-MAX(K$1:K771)&gt;180),"⚠ Gap &gt; 3h",IF(_xlfn.LET(_xlpm.q,E772,_xlpm.tk,P772,_xlpm.ld,Log!$P$18,_xlpm.fx,IF(OR(_xlpm.ld="",_xlpm.ld="Full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"&amp;_xlpm.q,""))))&lt;&gt;"",IF(N772&lt;&gt;"","Load OK ✓ (checked)","⚠ "&amp;_xlfn.LET(_xlpm.q,E772,_xlpm.tk,P772,_xlpm.ld,Log!$P$18,_xlpm.fx,IF(OR(_xlpm.ld="",_xlpm.ld="Full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"&amp;_xlpm.q,""))))),IF(C772-I772&gt;=0.99,"next day",IF(C772-I772&gt;0.4,"12h → 24h","")))))))))))</f>
        <v/>
      </c>
      <c r="H772" s="4" t="str">
        <f t="shared" si="72"/>
        <v/>
      </c>
      <c r="I772" s="5" t="str">
        <f t="shared" si="73"/>
        <v/>
      </c>
      <c r="J772" s="6">
        <f t="shared" si="74"/>
        <v>0</v>
      </c>
      <c r="K772" s="4" t="str">
        <f t="shared" si="75"/>
        <v/>
      </c>
      <c r="L772" s="4" t="str">
        <f t="shared" si="76"/>
        <v/>
      </c>
      <c r="M772" s="4" t="b" cm="1">
        <f t="array" ref="M772">IF(H772="",FALSE,SUMPRODUCT(--(H$1:H771=H772))&gt;0)</f>
        <v>0</v>
      </c>
      <c r="N772" s="36"/>
      <c r="P772" s="1" t="str">
        <f t="shared" si="77"/>
        <v/>
      </c>
    </row>
    <row r="773" spans="1:16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"&amp;L773,IF(AND(MAX(K$1:K772)&gt;0,N(K773)-MAX(K$1:K772)&gt;180),"⚠ Gap &gt; 3h",IF(_xlfn.LET(_xlpm.q,E773,_xlpm.tk,P773,_xlpm.ld,Log!$P$18,_xlpm.fx,IF(OR(_xlpm.ld="",_xlpm.ld="Full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"&amp;_xlpm.q,""))))&lt;&gt;"",IF(N773&lt;&gt;"","Load OK ✓ (checked)","⚠ "&amp;_xlfn.LET(_xlpm.q,E773,_xlpm.tk,P773,_xlpm.ld,Log!$P$18,_xlpm.fx,IF(OR(_xlpm.ld="",_xlpm.ld="Full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"&amp;_xlpm.q,""))))),IF(C773-I773&gt;=0.99,"next day",IF(C773-I773&gt;0.4,"12h → 24h","")))))))))))</f>
        <v/>
      </c>
      <c r="H773" s="4" t="str">
        <f t="shared" si="72"/>
        <v/>
      </c>
      <c r="I773" s="5" t="str">
        <f t="shared" si="73"/>
        <v/>
      </c>
      <c r="J773" s="6">
        <f t="shared" si="74"/>
        <v>0</v>
      </c>
      <c r="K773" s="4" t="str">
        <f t="shared" si="75"/>
        <v/>
      </c>
      <c r="L773" s="4" t="str">
        <f t="shared" si="76"/>
        <v/>
      </c>
      <c r="M773" s="4" t="b" cm="1">
        <f t="array" ref="M773">IF(H773="",FALSE,SUMPRODUCT(--(H$1:H772=H773))&gt;0)</f>
        <v>0</v>
      </c>
      <c r="N773" s="36"/>
      <c r="P773" s="1" t="str">
        <f t="shared" si="77"/>
        <v/>
      </c>
    </row>
    <row r="774" spans="1:16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"&amp;L774,IF(AND(MAX(K$1:K773)&gt;0,N(K774)-MAX(K$1:K773)&gt;180),"⚠ Gap &gt; 3h",IF(_xlfn.LET(_xlpm.q,E774,_xlpm.tk,P774,_xlpm.ld,Log!$P$18,_xlpm.fx,IF(OR(_xlpm.ld="",_xlpm.ld="Full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"&amp;_xlpm.q,""))))&lt;&gt;"",IF(N774&lt;&gt;"","Load OK ✓ (checked)","⚠ "&amp;_xlfn.LET(_xlpm.q,E774,_xlpm.tk,P774,_xlpm.ld,Log!$P$18,_xlpm.fx,IF(OR(_xlpm.ld="",_xlpm.ld="Full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"&amp;_xlpm.q,""))))),IF(C774-I774&gt;=0.99,"next day",IF(C774-I774&gt;0.4,"12h → 24h","")))))))))))</f>
        <v/>
      </c>
      <c r="H774" s="4" t="str">
        <f t="shared" si="72"/>
        <v/>
      </c>
      <c r="I774" s="5" t="str">
        <f t="shared" si="73"/>
        <v/>
      </c>
      <c r="J774" s="6">
        <f t="shared" si="74"/>
        <v>0</v>
      </c>
      <c r="K774" s="4" t="str">
        <f t="shared" si="75"/>
        <v/>
      </c>
      <c r="L774" s="4" t="str">
        <f t="shared" si="76"/>
        <v/>
      </c>
      <c r="M774" s="4" t="b" cm="1">
        <f t="array" ref="M774">IF(H774="",FALSE,SUMPRODUCT(--(H$1:H773=H774))&gt;0)</f>
        <v>0</v>
      </c>
      <c r="N774" s="36"/>
      <c r="P774" s="1" t="str">
        <f t="shared" si="77"/>
        <v/>
      </c>
    </row>
    <row r="775" spans="1:16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"&amp;L775,IF(AND(MAX(K$1:K774)&gt;0,N(K775)-MAX(K$1:K774)&gt;180),"⚠ Gap &gt; 3h",IF(_xlfn.LET(_xlpm.q,E775,_xlpm.tk,P775,_xlpm.ld,Log!$P$18,_xlpm.fx,IF(OR(_xlpm.ld="",_xlpm.ld="Full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"&amp;_xlpm.q,""))))&lt;&gt;"",IF(N775&lt;&gt;"","Load OK ✓ (checked)","⚠ "&amp;_xlfn.LET(_xlpm.q,E775,_xlpm.tk,P775,_xlpm.ld,Log!$P$18,_xlpm.fx,IF(OR(_xlpm.ld="",_xlpm.ld="Full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"&amp;_xlpm.q,""))))),IF(C775-I775&gt;=0.99,"next day",IF(C775-I775&gt;0.4,"12h → 24h","")))))))))))</f>
        <v/>
      </c>
      <c r="H775" s="4" t="str">
        <f t="shared" si="72"/>
        <v/>
      </c>
      <c r="I775" s="5" t="str">
        <f t="shared" si="73"/>
        <v/>
      </c>
      <c r="J775" s="6">
        <f t="shared" si="74"/>
        <v>0</v>
      </c>
      <c r="K775" s="4" t="str">
        <f t="shared" si="75"/>
        <v/>
      </c>
      <c r="L775" s="4" t="str">
        <f t="shared" si="76"/>
        <v/>
      </c>
      <c r="M775" s="4" t="b" cm="1">
        <f t="array" ref="M775">IF(H775="",FALSE,SUMPRODUCT(--(H$1:H774=H775))&gt;0)</f>
        <v>0</v>
      </c>
      <c r="N775" s="36"/>
      <c r="P775" s="1" t="str">
        <f t="shared" si="77"/>
        <v/>
      </c>
    </row>
    <row r="776" spans="1:16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"&amp;L776,IF(AND(MAX(K$1:K775)&gt;0,N(K776)-MAX(K$1:K775)&gt;180),"⚠ Gap &gt; 3h",IF(_xlfn.LET(_xlpm.q,E776,_xlpm.tk,P776,_xlpm.ld,Log!$P$18,_xlpm.fx,IF(OR(_xlpm.ld="",_xlpm.ld="Full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"&amp;_xlpm.q,""))))&lt;&gt;"",IF(N776&lt;&gt;"","Load OK ✓ (checked)","⚠ "&amp;_xlfn.LET(_xlpm.q,E776,_xlpm.tk,P776,_xlpm.ld,Log!$P$18,_xlpm.fx,IF(OR(_xlpm.ld="",_xlpm.ld="Full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"&amp;_xlpm.q,""))))),IF(C776-I776&gt;=0.99,"next day",IF(C776-I776&gt;0.4,"12h → 24h","")))))))))))</f>
        <v/>
      </c>
      <c r="H776" s="4" t="str">
        <f t="shared" si="72"/>
        <v/>
      </c>
      <c r="I776" s="5" t="str">
        <f t="shared" si="73"/>
        <v/>
      </c>
      <c r="J776" s="6">
        <f t="shared" si="74"/>
        <v>0</v>
      </c>
      <c r="K776" s="4" t="str">
        <f t="shared" si="75"/>
        <v/>
      </c>
      <c r="L776" s="4" t="str">
        <f t="shared" si="76"/>
        <v/>
      </c>
      <c r="M776" s="4" t="b" cm="1">
        <f t="array" ref="M776">IF(H776="",FALSE,SUMPRODUCT(--(H$1:H775=H776))&gt;0)</f>
        <v>0</v>
      </c>
      <c r="N776" s="36"/>
      <c r="P776" s="1" t="str">
        <f t="shared" si="77"/>
        <v/>
      </c>
    </row>
    <row r="777" spans="1:16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"&amp;L777,IF(AND(MAX(K$1:K776)&gt;0,N(K777)-MAX(K$1:K776)&gt;180),"⚠ Gap &gt; 3h",IF(_xlfn.LET(_xlpm.q,E777,_xlpm.tk,P777,_xlpm.ld,Log!$P$18,_xlpm.fx,IF(OR(_xlpm.ld="",_xlpm.ld="Full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"&amp;_xlpm.q,""))))&lt;&gt;"",IF(N777&lt;&gt;"","Load OK ✓ (checked)","⚠ "&amp;_xlfn.LET(_xlpm.q,E777,_xlpm.tk,P777,_xlpm.ld,Log!$P$18,_xlpm.fx,IF(OR(_xlpm.ld="",_xlpm.ld="Full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"&amp;_xlpm.q,""))))),IF(C777-I777&gt;=0.99,"next day",IF(C777-I777&gt;0.4,"12h → 24h","")))))))))))</f>
        <v/>
      </c>
      <c r="H777" s="4" t="str">
        <f t="shared" si="72"/>
        <v/>
      </c>
      <c r="I777" s="5" t="str">
        <f t="shared" si="73"/>
        <v/>
      </c>
      <c r="J777" s="6">
        <f t="shared" si="74"/>
        <v>0</v>
      </c>
      <c r="K777" s="4" t="str">
        <f t="shared" si="75"/>
        <v/>
      </c>
      <c r="L777" s="4" t="str">
        <f t="shared" si="76"/>
        <v/>
      </c>
      <c r="M777" s="4" t="b" cm="1">
        <f t="array" ref="M777">IF(H777="",FALSE,SUMPRODUCT(--(H$1:H776=H777))&gt;0)</f>
        <v>0</v>
      </c>
      <c r="N777" s="36"/>
      <c r="P777" s="1" t="str">
        <f t="shared" si="77"/>
        <v/>
      </c>
    </row>
    <row r="778" spans="1:16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"&amp;L778,IF(AND(MAX(K$1:K777)&gt;0,N(K778)-MAX(K$1:K777)&gt;180),"⚠ Gap &gt; 3h",IF(_xlfn.LET(_xlpm.q,E778,_xlpm.tk,P778,_xlpm.ld,Log!$P$18,_xlpm.fx,IF(OR(_xlpm.ld="",_xlpm.ld="Full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"&amp;_xlpm.q,""))))&lt;&gt;"",IF(N778&lt;&gt;"","Load OK ✓ (checked)","⚠ "&amp;_xlfn.LET(_xlpm.q,E778,_xlpm.tk,P778,_xlpm.ld,Log!$P$18,_xlpm.fx,IF(OR(_xlpm.ld="",_xlpm.ld="Full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"&amp;_xlpm.q,""))))),IF(C778-I778&gt;=0.99,"next day",IF(C778-I778&gt;0.4,"12h → 24h","")))))))))))</f>
        <v/>
      </c>
      <c r="H778" s="4" t="str">
        <f t="shared" si="72"/>
        <v/>
      </c>
      <c r="I778" s="5" t="str">
        <f t="shared" si="73"/>
        <v/>
      </c>
      <c r="J778" s="6">
        <f t="shared" si="74"/>
        <v>0</v>
      </c>
      <c r="K778" s="4" t="str">
        <f t="shared" si="75"/>
        <v/>
      </c>
      <c r="L778" s="4" t="str">
        <f t="shared" si="76"/>
        <v/>
      </c>
      <c r="M778" s="4" t="b" cm="1">
        <f t="array" ref="M778">IF(H778="",FALSE,SUMPRODUCT(--(H$1:H777=H778))&gt;0)</f>
        <v>0</v>
      </c>
      <c r="N778" s="36"/>
      <c r="P778" s="1" t="str">
        <f t="shared" si="77"/>
        <v/>
      </c>
    </row>
    <row r="779" spans="1:16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"&amp;L779,IF(AND(MAX(K$1:K778)&gt;0,N(K779)-MAX(K$1:K778)&gt;180),"⚠ Gap &gt; 3h",IF(_xlfn.LET(_xlpm.q,E779,_xlpm.tk,P779,_xlpm.ld,Log!$P$18,_xlpm.fx,IF(OR(_xlpm.ld="",_xlpm.ld="Full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"&amp;_xlpm.q,""))))&lt;&gt;"",IF(N779&lt;&gt;"","Load OK ✓ (checked)","⚠ "&amp;_xlfn.LET(_xlpm.q,E779,_xlpm.tk,P779,_xlpm.ld,Log!$P$18,_xlpm.fx,IF(OR(_xlpm.ld="",_xlpm.ld="Full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"&amp;_xlpm.q,""))))),IF(C779-I779&gt;=0.99,"next day",IF(C779-I779&gt;0.4,"12h → 24h","")))))))))))</f>
        <v/>
      </c>
      <c r="H779" s="4" t="str">
        <f t="shared" si="72"/>
        <v/>
      </c>
      <c r="I779" s="5" t="str">
        <f t="shared" si="73"/>
        <v/>
      </c>
      <c r="J779" s="6">
        <f t="shared" si="74"/>
        <v>0</v>
      </c>
      <c r="K779" s="4" t="str">
        <f t="shared" si="75"/>
        <v/>
      </c>
      <c r="L779" s="4" t="str">
        <f t="shared" si="76"/>
        <v/>
      </c>
      <c r="M779" s="4" t="b" cm="1">
        <f t="array" ref="M779">IF(H779="",FALSE,SUMPRODUCT(--(H$1:H778=H779))&gt;0)</f>
        <v>0</v>
      </c>
      <c r="N779" s="36"/>
      <c r="P779" s="1" t="str">
        <f t="shared" si="77"/>
        <v/>
      </c>
    </row>
    <row r="780" spans="1:16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"&amp;L780,IF(AND(MAX(K$1:K779)&gt;0,N(K780)-MAX(K$1:K779)&gt;180),"⚠ Gap &gt; 3h",IF(_xlfn.LET(_xlpm.q,E780,_xlpm.tk,P780,_xlpm.ld,Log!$P$18,_xlpm.fx,IF(OR(_xlpm.ld="",_xlpm.ld="Full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"&amp;_xlpm.q,""))))&lt;&gt;"",IF(N780&lt;&gt;"","Load OK ✓ (checked)","⚠ "&amp;_xlfn.LET(_xlpm.q,E780,_xlpm.tk,P780,_xlpm.ld,Log!$P$18,_xlpm.fx,IF(OR(_xlpm.ld="",_xlpm.ld="Full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"&amp;_xlpm.q,""))))),IF(C780-I780&gt;=0.99,"next day",IF(C780-I780&gt;0.4,"12h → 24h","")))))))))))</f>
        <v/>
      </c>
      <c r="H780" s="4" t="str">
        <f t="shared" si="72"/>
        <v/>
      </c>
      <c r="I780" s="5" t="str">
        <f t="shared" si="73"/>
        <v/>
      </c>
      <c r="J780" s="6">
        <f t="shared" si="74"/>
        <v>0</v>
      </c>
      <c r="K780" s="4" t="str">
        <f t="shared" si="75"/>
        <v/>
      </c>
      <c r="L780" s="4" t="str">
        <f t="shared" si="76"/>
        <v/>
      </c>
      <c r="M780" s="4" t="b" cm="1">
        <f t="array" ref="M780">IF(H780="",FALSE,SUMPRODUCT(--(H$1:H779=H780))&gt;0)</f>
        <v>0</v>
      </c>
      <c r="N780" s="36"/>
      <c r="P780" s="1" t="str">
        <f t="shared" si="77"/>
        <v/>
      </c>
    </row>
    <row r="781" spans="1:16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"&amp;L781,IF(AND(MAX(K$1:K780)&gt;0,N(K781)-MAX(K$1:K780)&gt;180),"⚠ Gap &gt; 3h",IF(_xlfn.LET(_xlpm.q,E781,_xlpm.tk,P781,_xlpm.ld,Log!$P$18,_xlpm.fx,IF(OR(_xlpm.ld="",_xlpm.ld="Full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"&amp;_xlpm.q,""))))&lt;&gt;"",IF(N781&lt;&gt;"","Load OK ✓ (checked)","⚠ "&amp;_xlfn.LET(_xlpm.q,E781,_xlpm.tk,P781,_xlpm.ld,Log!$P$18,_xlpm.fx,IF(OR(_xlpm.ld="",_xlpm.ld="Full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"&amp;_xlpm.q,""))))),IF(C781-I781&gt;=0.99,"next day",IF(C781-I781&gt;0.4,"12h → 24h","")))))))))))</f>
        <v/>
      </c>
      <c r="H781" s="4" t="str">
        <f t="shared" si="72"/>
        <v/>
      </c>
      <c r="I781" s="5" t="str">
        <f t="shared" si="73"/>
        <v/>
      </c>
      <c r="J781" s="6">
        <f t="shared" si="74"/>
        <v>0</v>
      </c>
      <c r="K781" s="4" t="str">
        <f t="shared" si="75"/>
        <v/>
      </c>
      <c r="L781" s="4" t="str">
        <f t="shared" si="76"/>
        <v/>
      </c>
      <c r="M781" s="4" t="b" cm="1">
        <f t="array" ref="M781">IF(H781="",FALSE,SUMPRODUCT(--(H$1:H780=H781))&gt;0)</f>
        <v>0</v>
      </c>
      <c r="N781" s="36"/>
      <c r="P781" s="1" t="str">
        <f t="shared" si="77"/>
        <v/>
      </c>
    </row>
    <row r="782" spans="1:16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"&amp;L782,IF(AND(MAX(K$1:K781)&gt;0,N(K782)-MAX(K$1:K781)&gt;180),"⚠ Gap &gt; 3h",IF(_xlfn.LET(_xlpm.q,E782,_xlpm.tk,P782,_xlpm.ld,Log!$P$18,_xlpm.fx,IF(OR(_xlpm.ld="",_xlpm.ld="Full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"&amp;_xlpm.q,""))))&lt;&gt;"",IF(N782&lt;&gt;"","Load OK ✓ (checked)","⚠ "&amp;_xlfn.LET(_xlpm.q,E782,_xlpm.tk,P782,_xlpm.ld,Log!$P$18,_xlpm.fx,IF(OR(_xlpm.ld="",_xlpm.ld="Full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"&amp;_xlpm.q,""))))),IF(C782-I782&gt;=0.99,"next day",IF(C782-I782&gt;0.4,"12h → 24h","")))))))))))</f>
        <v/>
      </c>
      <c r="H782" s="4" t="str">
        <f t="shared" si="72"/>
        <v/>
      </c>
      <c r="I782" s="5" t="str">
        <f t="shared" si="73"/>
        <v/>
      </c>
      <c r="J782" s="6">
        <f t="shared" si="74"/>
        <v>0</v>
      </c>
      <c r="K782" s="4" t="str">
        <f t="shared" si="75"/>
        <v/>
      </c>
      <c r="L782" s="4" t="str">
        <f t="shared" si="76"/>
        <v/>
      </c>
      <c r="M782" s="4" t="b" cm="1">
        <f t="array" ref="M782">IF(H782="",FALSE,SUMPRODUCT(--(H$1:H781=H782))&gt;0)</f>
        <v>0</v>
      </c>
      <c r="N782" s="36"/>
      <c r="P782" s="1" t="str">
        <f t="shared" si="77"/>
        <v/>
      </c>
    </row>
    <row r="783" spans="1:16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"&amp;L783,IF(AND(MAX(K$1:K782)&gt;0,N(K783)-MAX(K$1:K782)&gt;180),"⚠ Gap &gt; 3h",IF(_xlfn.LET(_xlpm.q,E783,_xlpm.tk,P783,_xlpm.ld,Log!$P$18,_xlpm.fx,IF(OR(_xlpm.ld="",_xlpm.ld="Full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"&amp;_xlpm.q,""))))&lt;&gt;"",IF(N783&lt;&gt;"","Load OK ✓ (checked)","⚠ "&amp;_xlfn.LET(_xlpm.q,E783,_xlpm.tk,P783,_xlpm.ld,Log!$P$18,_xlpm.fx,IF(OR(_xlpm.ld="",_xlpm.ld="Full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"&amp;_xlpm.q,""))))),IF(C783-I783&gt;=0.99,"next day",IF(C783-I783&gt;0.4,"12h → 24h","")))))))))))</f>
        <v/>
      </c>
      <c r="H783" s="4" t="str">
        <f t="shared" si="72"/>
        <v/>
      </c>
      <c r="I783" s="5" t="str">
        <f t="shared" si="73"/>
        <v/>
      </c>
      <c r="J783" s="6">
        <f t="shared" si="74"/>
        <v>0</v>
      </c>
      <c r="K783" s="4" t="str">
        <f t="shared" si="75"/>
        <v/>
      </c>
      <c r="L783" s="4" t="str">
        <f t="shared" si="76"/>
        <v/>
      </c>
      <c r="M783" s="4" t="b" cm="1">
        <f t="array" ref="M783">IF(H783="",FALSE,SUMPRODUCT(--(H$1:H782=H783))&gt;0)</f>
        <v>0</v>
      </c>
      <c r="N783" s="36"/>
      <c r="P783" s="1" t="str">
        <f t="shared" si="77"/>
        <v/>
      </c>
    </row>
    <row r="784" spans="1:16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"&amp;L784,IF(AND(MAX(K$1:K783)&gt;0,N(K784)-MAX(K$1:K783)&gt;180),"⚠ Gap &gt; 3h",IF(_xlfn.LET(_xlpm.q,E784,_xlpm.tk,P784,_xlpm.ld,Log!$P$18,_xlpm.fx,IF(OR(_xlpm.ld="",_xlpm.ld="Full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"&amp;_xlpm.q,""))))&lt;&gt;"",IF(N784&lt;&gt;"","Load OK ✓ (checked)","⚠ "&amp;_xlfn.LET(_xlpm.q,E784,_xlpm.tk,P784,_xlpm.ld,Log!$P$18,_xlpm.fx,IF(OR(_xlpm.ld="",_xlpm.ld="Full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"&amp;_xlpm.q,""))))),IF(C784-I784&gt;=0.99,"next day",IF(C784-I784&gt;0.4,"12h → 24h","")))))))))))</f>
        <v/>
      </c>
      <c r="H784" s="4" t="str">
        <f t="shared" si="72"/>
        <v/>
      </c>
      <c r="I784" s="5" t="str">
        <f t="shared" si="73"/>
        <v/>
      </c>
      <c r="J784" s="6">
        <f t="shared" si="74"/>
        <v>0</v>
      </c>
      <c r="K784" s="4" t="str">
        <f t="shared" si="75"/>
        <v/>
      </c>
      <c r="L784" s="4" t="str">
        <f t="shared" si="76"/>
        <v/>
      </c>
      <c r="M784" s="4" t="b" cm="1">
        <f t="array" ref="M784">IF(H784="",FALSE,SUMPRODUCT(--(H$1:H783=H784))&gt;0)</f>
        <v>0</v>
      </c>
      <c r="N784" s="36"/>
      <c r="P784" s="1" t="str">
        <f t="shared" si="77"/>
        <v/>
      </c>
    </row>
    <row r="785" spans="1:16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"&amp;L785,IF(AND(MAX(K$1:K784)&gt;0,N(K785)-MAX(K$1:K784)&gt;180),"⚠ Gap &gt; 3h",IF(_xlfn.LET(_xlpm.q,E785,_xlpm.tk,P785,_xlpm.ld,Log!$P$18,_xlpm.fx,IF(OR(_xlpm.ld="",_xlpm.ld="Full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"&amp;_xlpm.q,""))))&lt;&gt;"",IF(N785&lt;&gt;"","Load OK ✓ (checked)","⚠ "&amp;_xlfn.LET(_xlpm.q,E785,_xlpm.tk,P785,_xlpm.ld,Log!$P$18,_xlpm.fx,IF(OR(_xlpm.ld="",_xlpm.ld="Full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"&amp;_xlpm.q,""))))),IF(C785-I785&gt;=0.99,"next day",IF(C785-I785&gt;0.4,"12h → 24h","")))))))))))</f>
        <v/>
      </c>
      <c r="H785" s="4" t="str">
        <f t="shared" si="72"/>
        <v/>
      </c>
      <c r="I785" s="5" t="str">
        <f t="shared" si="73"/>
        <v/>
      </c>
      <c r="J785" s="6">
        <f t="shared" si="74"/>
        <v>0</v>
      </c>
      <c r="K785" s="4" t="str">
        <f t="shared" si="75"/>
        <v/>
      </c>
      <c r="L785" s="4" t="str">
        <f t="shared" si="76"/>
        <v/>
      </c>
      <c r="M785" s="4" t="b" cm="1">
        <f t="array" ref="M785">IF(H785="",FALSE,SUMPRODUCT(--(H$1:H784=H785))&gt;0)</f>
        <v>0</v>
      </c>
      <c r="N785" s="36"/>
      <c r="P785" s="1" t="str">
        <f t="shared" si="77"/>
        <v/>
      </c>
    </row>
    <row r="786" spans="1:16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"&amp;L786,IF(AND(MAX(K$1:K785)&gt;0,N(K786)-MAX(K$1:K785)&gt;180),"⚠ Gap &gt; 3h",IF(_xlfn.LET(_xlpm.q,E786,_xlpm.tk,P786,_xlpm.ld,Log!$P$18,_xlpm.fx,IF(OR(_xlpm.ld="",_xlpm.ld="Full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"&amp;_xlpm.q,""))))&lt;&gt;"",IF(N786&lt;&gt;"","Load OK ✓ (checked)","⚠ "&amp;_xlfn.LET(_xlpm.q,E786,_xlpm.tk,P786,_xlpm.ld,Log!$P$18,_xlpm.fx,IF(OR(_xlpm.ld="",_xlpm.ld="Full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"&amp;_xlpm.q,""))))),IF(C786-I786&gt;=0.99,"next day",IF(C786-I786&gt;0.4,"12h → 24h","")))))))))))</f>
        <v/>
      </c>
      <c r="H786" s="4" t="str">
        <f t="shared" si="72"/>
        <v/>
      </c>
      <c r="I786" s="5" t="str">
        <f t="shared" si="73"/>
        <v/>
      </c>
      <c r="J786" s="6">
        <f t="shared" si="74"/>
        <v>0</v>
      </c>
      <c r="K786" s="4" t="str">
        <f t="shared" si="75"/>
        <v/>
      </c>
      <c r="L786" s="4" t="str">
        <f t="shared" si="76"/>
        <v/>
      </c>
      <c r="M786" s="4" t="b" cm="1">
        <f t="array" ref="M786">IF(H786="",FALSE,SUMPRODUCT(--(H$1:H785=H786))&gt;0)</f>
        <v>0</v>
      </c>
      <c r="N786" s="36"/>
      <c r="P786" s="1" t="str">
        <f t="shared" si="77"/>
        <v/>
      </c>
    </row>
    <row r="787" spans="1:16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"&amp;L787,IF(AND(MAX(K$1:K786)&gt;0,N(K787)-MAX(K$1:K786)&gt;180),"⚠ Gap &gt; 3h",IF(_xlfn.LET(_xlpm.q,E787,_xlpm.tk,P787,_xlpm.ld,Log!$P$18,_xlpm.fx,IF(OR(_xlpm.ld="",_xlpm.ld="Full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"&amp;_xlpm.q,""))))&lt;&gt;"",IF(N787&lt;&gt;"","Load OK ✓ (checked)","⚠ "&amp;_xlfn.LET(_xlpm.q,E787,_xlpm.tk,P787,_xlpm.ld,Log!$P$18,_xlpm.fx,IF(OR(_xlpm.ld="",_xlpm.ld="Full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"&amp;_xlpm.q,""))))),IF(C787-I787&gt;=0.99,"next day",IF(C787-I787&gt;0.4,"12h → 24h","")))))))))))</f>
        <v/>
      </c>
      <c r="H787" s="4" t="str">
        <f t="shared" si="72"/>
        <v/>
      </c>
      <c r="I787" s="5" t="str">
        <f t="shared" si="73"/>
        <v/>
      </c>
      <c r="J787" s="6">
        <f t="shared" si="74"/>
        <v>0</v>
      </c>
      <c r="K787" s="4" t="str">
        <f t="shared" si="75"/>
        <v/>
      </c>
      <c r="L787" s="4" t="str">
        <f t="shared" si="76"/>
        <v/>
      </c>
      <c r="M787" s="4" t="b" cm="1">
        <f t="array" ref="M787">IF(H787="",FALSE,SUMPRODUCT(--(H$1:H786=H787))&gt;0)</f>
        <v>0</v>
      </c>
      <c r="N787" s="36"/>
      <c r="P787" s="1" t="str">
        <f t="shared" si="77"/>
        <v/>
      </c>
    </row>
    <row r="788" spans="1:16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"&amp;L788,IF(AND(MAX(K$1:K787)&gt;0,N(K788)-MAX(K$1:K787)&gt;180),"⚠ Gap &gt; 3h",IF(_xlfn.LET(_xlpm.q,E788,_xlpm.tk,P788,_xlpm.ld,Log!$P$18,_xlpm.fx,IF(OR(_xlpm.ld="",_xlpm.ld="Full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"&amp;_xlpm.q,""))))&lt;&gt;"",IF(N788&lt;&gt;"","Load OK ✓ (checked)","⚠ "&amp;_xlfn.LET(_xlpm.q,E788,_xlpm.tk,P788,_xlpm.ld,Log!$P$18,_xlpm.fx,IF(OR(_xlpm.ld="",_xlpm.ld="Full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"&amp;_xlpm.q,""))))),IF(C788-I788&gt;=0.99,"next day",IF(C788-I788&gt;0.4,"12h → 24h","")))))))))))</f>
        <v/>
      </c>
      <c r="H788" s="4" t="str">
        <f t="shared" si="72"/>
        <v/>
      </c>
      <c r="I788" s="5" t="str">
        <f t="shared" si="73"/>
        <v/>
      </c>
      <c r="J788" s="6">
        <f t="shared" si="74"/>
        <v>0</v>
      </c>
      <c r="K788" s="4" t="str">
        <f t="shared" si="75"/>
        <v/>
      </c>
      <c r="L788" s="4" t="str">
        <f t="shared" si="76"/>
        <v/>
      </c>
      <c r="M788" s="4" t="b" cm="1">
        <f t="array" ref="M788">IF(H788="",FALSE,SUMPRODUCT(--(H$1:H787=H788))&gt;0)</f>
        <v>0</v>
      </c>
      <c r="N788" s="36"/>
      <c r="P788" s="1" t="str">
        <f t="shared" si="77"/>
        <v/>
      </c>
    </row>
    <row r="789" spans="1:16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"&amp;L789,IF(AND(MAX(K$1:K788)&gt;0,N(K789)-MAX(K$1:K788)&gt;180),"⚠ Gap &gt; 3h",IF(_xlfn.LET(_xlpm.q,E789,_xlpm.tk,P789,_xlpm.ld,Log!$P$18,_xlpm.fx,IF(OR(_xlpm.ld="",_xlpm.ld="Full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"&amp;_xlpm.q,""))))&lt;&gt;"",IF(N789&lt;&gt;"","Load OK ✓ (checked)","⚠ "&amp;_xlfn.LET(_xlpm.q,E789,_xlpm.tk,P789,_xlpm.ld,Log!$P$18,_xlpm.fx,IF(OR(_xlpm.ld="",_xlpm.ld="Full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"&amp;_xlpm.q,""))))),IF(C789-I789&gt;=0.99,"next day",IF(C789-I789&gt;0.4,"12h → 24h","")))))))))))</f>
        <v/>
      </c>
      <c r="H789" s="4" t="str">
        <f t="shared" si="72"/>
        <v/>
      </c>
      <c r="I789" s="5" t="str">
        <f t="shared" si="73"/>
        <v/>
      </c>
      <c r="J789" s="6">
        <f t="shared" si="74"/>
        <v>0</v>
      </c>
      <c r="K789" s="4" t="str">
        <f t="shared" si="75"/>
        <v/>
      </c>
      <c r="L789" s="4" t="str">
        <f t="shared" si="76"/>
        <v/>
      </c>
      <c r="M789" s="4" t="b" cm="1">
        <f t="array" ref="M789">IF(H789="",FALSE,SUMPRODUCT(--(H$1:H788=H789))&gt;0)</f>
        <v>0</v>
      </c>
      <c r="N789" s="36"/>
      <c r="P789" s="1" t="str">
        <f t="shared" si="77"/>
        <v/>
      </c>
    </row>
    <row r="790" spans="1:16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"&amp;L790,IF(AND(MAX(K$1:K789)&gt;0,N(K790)-MAX(K$1:K789)&gt;180),"⚠ Gap &gt; 3h",IF(_xlfn.LET(_xlpm.q,E790,_xlpm.tk,P790,_xlpm.ld,Log!$P$18,_xlpm.fx,IF(OR(_xlpm.ld="",_xlpm.ld="Full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"&amp;_xlpm.q,""))))&lt;&gt;"",IF(N790&lt;&gt;"","Load OK ✓ (checked)","⚠ "&amp;_xlfn.LET(_xlpm.q,E790,_xlpm.tk,P790,_xlpm.ld,Log!$P$18,_xlpm.fx,IF(OR(_xlpm.ld="",_xlpm.ld="Full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"&amp;_xlpm.q,""))))),IF(C790-I790&gt;=0.99,"next day",IF(C790-I790&gt;0.4,"12h → 24h","")))))))))))</f>
        <v/>
      </c>
      <c r="H790" s="4" t="str">
        <f t="shared" si="72"/>
        <v/>
      </c>
      <c r="I790" s="5" t="str">
        <f t="shared" si="73"/>
        <v/>
      </c>
      <c r="J790" s="6">
        <f t="shared" si="74"/>
        <v>0</v>
      </c>
      <c r="K790" s="4" t="str">
        <f t="shared" si="75"/>
        <v/>
      </c>
      <c r="L790" s="4" t="str">
        <f t="shared" si="76"/>
        <v/>
      </c>
      <c r="M790" s="4" t="b" cm="1">
        <f t="array" ref="M790">IF(H790="",FALSE,SUMPRODUCT(--(H$1:H789=H790))&gt;0)</f>
        <v>0</v>
      </c>
      <c r="N790" s="36"/>
      <c r="P790" s="1" t="str">
        <f t="shared" si="77"/>
        <v/>
      </c>
    </row>
    <row r="791" spans="1:16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"&amp;L791,IF(AND(MAX(K$1:K790)&gt;0,N(K791)-MAX(K$1:K790)&gt;180),"⚠ Gap &gt; 3h",IF(_xlfn.LET(_xlpm.q,E791,_xlpm.tk,P791,_xlpm.ld,Log!$P$18,_xlpm.fx,IF(OR(_xlpm.ld="",_xlpm.ld="Full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"&amp;_xlpm.q,""))))&lt;&gt;"",IF(N791&lt;&gt;"","Load OK ✓ (checked)","⚠ "&amp;_xlfn.LET(_xlpm.q,E791,_xlpm.tk,P791,_xlpm.ld,Log!$P$18,_xlpm.fx,IF(OR(_xlpm.ld="",_xlpm.ld="Full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"&amp;_xlpm.q,""))))),IF(C791-I791&gt;=0.99,"next day",IF(C791-I791&gt;0.4,"12h → 24h","")))))))))))</f>
        <v/>
      </c>
      <c r="H791" s="4" t="str">
        <f t="shared" si="72"/>
        <v/>
      </c>
      <c r="I791" s="5" t="str">
        <f t="shared" si="73"/>
        <v/>
      </c>
      <c r="J791" s="6">
        <f t="shared" si="74"/>
        <v>0</v>
      </c>
      <c r="K791" s="4" t="str">
        <f t="shared" si="75"/>
        <v/>
      </c>
      <c r="L791" s="4" t="str">
        <f t="shared" si="76"/>
        <v/>
      </c>
      <c r="M791" s="4" t="b" cm="1">
        <f t="array" ref="M791">IF(H791="",FALSE,SUMPRODUCT(--(H$1:H790=H791))&gt;0)</f>
        <v>0</v>
      </c>
      <c r="N791" s="36"/>
      <c r="P791" s="1" t="str">
        <f t="shared" si="77"/>
        <v/>
      </c>
    </row>
    <row r="792" spans="1:16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"&amp;L792,IF(AND(MAX(K$1:K791)&gt;0,N(K792)-MAX(K$1:K791)&gt;180),"⚠ Gap &gt; 3h",IF(_xlfn.LET(_xlpm.q,E792,_xlpm.tk,P792,_xlpm.ld,Log!$P$18,_xlpm.fx,IF(OR(_xlpm.ld="",_xlpm.ld="Full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"&amp;_xlpm.q,""))))&lt;&gt;"",IF(N792&lt;&gt;"","Load OK ✓ (checked)","⚠ "&amp;_xlfn.LET(_xlpm.q,E792,_xlpm.tk,P792,_xlpm.ld,Log!$P$18,_xlpm.fx,IF(OR(_xlpm.ld="",_xlpm.ld="Full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"&amp;_xlpm.q,""))))),IF(C792-I792&gt;=0.99,"next day",IF(C792-I792&gt;0.4,"12h → 24h","")))))))))))</f>
        <v/>
      </c>
      <c r="H792" s="4" t="str">
        <f t="shared" si="72"/>
        <v/>
      </c>
      <c r="I792" s="5" t="str">
        <f t="shared" si="73"/>
        <v/>
      </c>
      <c r="J792" s="6">
        <f t="shared" si="74"/>
        <v>0</v>
      </c>
      <c r="K792" s="4" t="str">
        <f t="shared" si="75"/>
        <v/>
      </c>
      <c r="L792" s="4" t="str">
        <f t="shared" si="76"/>
        <v/>
      </c>
      <c r="M792" s="4" t="b" cm="1">
        <f t="array" ref="M792">IF(H792="",FALSE,SUMPRODUCT(--(H$1:H791=H792))&gt;0)</f>
        <v>0</v>
      </c>
      <c r="N792" s="36"/>
      <c r="P792" s="1" t="str">
        <f t="shared" si="77"/>
        <v/>
      </c>
    </row>
    <row r="793" spans="1:16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"&amp;L793,IF(AND(MAX(K$1:K792)&gt;0,N(K793)-MAX(K$1:K792)&gt;180),"⚠ Gap &gt; 3h",IF(_xlfn.LET(_xlpm.q,E793,_xlpm.tk,P793,_xlpm.ld,Log!$P$18,_xlpm.fx,IF(OR(_xlpm.ld="",_xlpm.ld="Full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"&amp;_xlpm.q,""))))&lt;&gt;"",IF(N793&lt;&gt;"","Load OK ✓ (checked)","⚠ "&amp;_xlfn.LET(_xlpm.q,E793,_xlpm.tk,P793,_xlpm.ld,Log!$P$18,_xlpm.fx,IF(OR(_xlpm.ld="",_xlpm.ld="Full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"&amp;_xlpm.q,""))))),IF(C793-I793&gt;=0.99,"next day",IF(C793-I793&gt;0.4,"12h → 24h","")))))))))))</f>
        <v/>
      </c>
      <c r="H793" s="4" t="str">
        <f t="shared" si="72"/>
        <v/>
      </c>
      <c r="I793" s="5" t="str">
        <f t="shared" si="73"/>
        <v/>
      </c>
      <c r="J793" s="6">
        <f t="shared" si="74"/>
        <v>0</v>
      </c>
      <c r="K793" s="4" t="str">
        <f t="shared" si="75"/>
        <v/>
      </c>
      <c r="L793" s="4" t="str">
        <f t="shared" si="76"/>
        <v/>
      </c>
      <c r="M793" s="4" t="b" cm="1">
        <f t="array" ref="M793">IF(H793="",FALSE,SUMPRODUCT(--(H$1:H792=H793))&gt;0)</f>
        <v>0</v>
      </c>
      <c r="N793" s="36"/>
      <c r="P793" s="1" t="str">
        <f t="shared" si="77"/>
        <v/>
      </c>
    </row>
    <row r="794" spans="1:16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"&amp;L794,IF(AND(MAX(K$1:K793)&gt;0,N(K794)-MAX(K$1:K793)&gt;180),"⚠ Gap &gt; 3h",IF(_xlfn.LET(_xlpm.q,E794,_xlpm.tk,P794,_xlpm.ld,Log!$P$18,_xlpm.fx,IF(OR(_xlpm.ld="",_xlpm.ld="Full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"&amp;_xlpm.q,""))))&lt;&gt;"",IF(N794&lt;&gt;"","Load OK ✓ (checked)","⚠ "&amp;_xlfn.LET(_xlpm.q,E794,_xlpm.tk,P794,_xlpm.ld,Log!$P$18,_xlpm.fx,IF(OR(_xlpm.ld="",_xlpm.ld="Full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"&amp;_xlpm.q,""))))),IF(C794-I794&gt;=0.99,"next day",IF(C794-I794&gt;0.4,"12h → 24h","")))))))))))</f>
        <v/>
      </c>
      <c r="H794" s="4" t="str">
        <f t="shared" si="72"/>
        <v/>
      </c>
      <c r="I794" s="5" t="str">
        <f t="shared" si="73"/>
        <v/>
      </c>
      <c r="J794" s="6">
        <f t="shared" si="74"/>
        <v>0</v>
      </c>
      <c r="K794" s="4" t="str">
        <f t="shared" si="75"/>
        <v/>
      </c>
      <c r="L794" s="4" t="str">
        <f t="shared" si="76"/>
        <v/>
      </c>
      <c r="M794" s="4" t="b" cm="1">
        <f t="array" ref="M794">IF(H794="",FALSE,SUMPRODUCT(--(H$1:H793=H794))&gt;0)</f>
        <v>0</v>
      </c>
      <c r="N794" s="36"/>
      <c r="P794" s="1" t="str">
        <f t="shared" si="77"/>
        <v/>
      </c>
    </row>
    <row r="795" spans="1:16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"&amp;L795,IF(AND(MAX(K$1:K794)&gt;0,N(K795)-MAX(K$1:K794)&gt;180),"⚠ Gap &gt; 3h",IF(_xlfn.LET(_xlpm.q,E795,_xlpm.tk,P795,_xlpm.ld,Log!$P$18,_xlpm.fx,IF(OR(_xlpm.ld="",_xlpm.ld="Full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"&amp;_xlpm.q,""))))&lt;&gt;"",IF(N795&lt;&gt;"","Load OK ✓ (checked)","⚠ "&amp;_xlfn.LET(_xlpm.q,E795,_xlpm.tk,P795,_xlpm.ld,Log!$P$18,_xlpm.fx,IF(OR(_xlpm.ld="",_xlpm.ld="Full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"&amp;_xlpm.q,""))))),IF(C795-I795&gt;=0.99,"next day",IF(C795-I795&gt;0.4,"12h → 24h","")))))))))))</f>
        <v/>
      </c>
      <c r="H795" s="4" t="str">
        <f t="shared" si="72"/>
        <v/>
      </c>
      <c r="I795" s="5" t="str">
        <f t="shared" si="73"/>
        <v/>
      </c>
      <c r="J795" s="6">
        <f t="shared" si="74"/>
        <v>0</v>
      </c>
      <c r="K795" s="4" t="str">
        <f t="shared" si="75"/>
        <v/>
      </c>
      <c r="L795" s="4" t="str">
        <f t="shared" si="76"/>
        <v/>
      </c>
      <c r="M795" s="4" t="b" cm="1">
        <f t="array" ref="M795">IF(H795="",FALSE,SUMPRODUCT(--(H$1:H794=H795))&gt;0)</f>
        <v>0</v>
      </c>
      <c r="N795" s="36"/>
      <c r="P795" s="1" t="str">
        <f t="shared" si="77"/>
        <v/>
      </c>
    </row>
    <row r="796" spans="1:16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"&amp;L796,IF(AND(MAX(K$1:K795)&gt;0,N(K796)-MAX(K$1:K795)&gt;180),"⚠ Gap &gt; 3h",IF(_xlfn.LET(_xlpm.q,E796,_xlpm.tk,P796,_xlpm.ld,Log!$P$18,_xlpm.fx,IF(OR(_xlpm.ld="",_xlpm.ld="Full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"&amp;_xlpm.q,""))))&lt;&gt;"",IF(N796&lt;&gt;"","Load OK ✓ (checked)","⚠ "&amp;_xlfn.LET(_xlpm.q,E796,_xlpm.tk,P796,_xlpm.ld,Log!$P$18,_xlpm.fx,IF(OR(_xlpm.ld="",_xlpm.ld="Full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"&amp;_xlpm.q,""))))),IF(C796-I796&gt;=0.99,"next day",IF(C796-I796&gt;0.4,"12h → 24h","")))))))))))</f>
        <v/>
      </c>
      <c r="H796" s="4" t="str">
        <f t="shared" si="72"/>
        <v/>
      </c>
      <c r="I796" s="5" t="str">
        <f t="shared" si="73"/>
        <v/>
      </c>
      <c r="J796" s="6">
        <f t="shared" si="74"/>
        <v>0</v>
      </c>
      <c r="K796" s="4" t="str">
        <f t="shared" si="75"/>
        <v/>
      </c>
      <c r="L796" s="4" t="str">
        <f t="shared" si="76"/>
        <v/>
      </c>
      <c r="M796" s="4" t="b" cm="1">
        <f t="array" ref="M796">IF(H796="",FALSE,SUMPRODUCT(--(H$1:H795=H796))&gt;0)</f>
        <v>0</v>
      </c>
      <c r="N796" s="36"/>
      <c r="P796" s="1" t="str">
        <f t="shared" si="77"/>
        <v/>
      </c>
    </row>
    <row r="797" spans="1:16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"&amp;L797,IF(AND(MAX(K$1:K796)&gt;0,N(K797)-MAX(K$1:K796)&gt;180),"⚠ Gap &gt; 3h",IF(_xlfn.LET(_xlpm.q,E797,_xlpm.tk,P797,_xlpm.ld,Log!$P$18,_xlpm.fx,IF(OR(_xlpm.ld="",_xlpm.ld="Full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"&amp;_xlpm.q,""))))&lt;&gt;"",IF(N797&lt;&gt;"","Load OK ✓ (checked)","⚠ "&amp;_xlfn.LET(_xlpm.q,E797,_xlpm.tk,P797,_xlpm.ld,Log!$P$18,_xlpm.fx,IF(OR(_xlpm.ld="",_xlpm.ld="Full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"&amp;_xlpm.q,""))))),IF(C797-I797&gt;=0.99,"next day",IF(C797-I797&gt;0.4,"12h → 24h","")))))))))))</f>
        <v/>
      </c>
      <c r="H797" s="4" t="str">
        <f t="shared" si="72"/>
        <v/>
      </c>
      <c r="I797" s="5" t="str">
        <f t="shared" si="73"/>
        <v/>
      </c>
      <c r="J797" s="6">
        <f t="shared" si="74"/>
        <v>0</v>
      </c>
      <c r="K797" s="4" t="str">
        <f t="shared" si="75"/>
        <v/>
      </c>
      <c r="L797" s="4" t="str">
        <f t="shared" si="76"/>
        <v/>
      </c>
      <c r="M797" s="4" t="b" cm="1">
        <f t="array" ref="M797">IF(H797="",FALSE,SUMPRODUCT(--(H$1:H796=H797))&gt;0)</f>
        <v>0</v>
      </c>
      <c r="N797" s="36"/>
      <c r="P797" s="1" t="str">
        <f t="shared" si="77"/>
        <v/>
      </c>
    </row>
    <row r="798" spans="1:16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"&amp;L798,IF(AND(MAX(K$1:K797)&gt;0,N(K798)-MAX(K$1:K797)&gt;180),"⚠ Gap &gt; 3h",IF(_xlfn.LET(_xlpm.q,E798,_xlpm.tk,P798,_xlpm.ld,Log!$P$18,_xlpm.fx,IF(OR(_xlpm.ld="",_xlpm.ld="Full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"&amp;_xlpm.q,""))))&lt;&gt;"",IF(N798&lt;&gt;"","Load OK ✓ (checked)","⚠ "&amp;_xlfn.LET(_xlpm.q,E798,_xlpm.tk,P798,_xlpm.ld,Log!$P$18,_xlpm.fx,IF(OR(_xlpm.ld="",_xlpm.ld="Full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"&amp;_xlpm.q,""))))),IF(C798-I798&gt;=0.99,"next day",IF(C798-I798&gt;0.4,"12h → 24h","")))))))))))</f>
        <v/>
      </c>
      <c r="H798" s="4" t="str">
        <f t="shared" si="72"/>
        <v/>
      </c>
      <c r="I798" s="5" t="str">
        <f t="shared" si="73"/>
        <v/>
      </c>
      <c r="J798" s="6">
        <f t="shared" si="74"/>
        <v>0</v>
      </c>
      <c r="K798" s="4" t="str">
        <f t="shared" si="75"/>
        <v/>
      </c>
      <c r="L798" s="4" t="str">
        <f t="shared" si="76"/>
        <v/>
      </c>
      <c r="M798" s="4" t="b" cm="1">
        <f t="array" ref="M798">IF(H798="",FALSE,SUMPRODUCT(--(H$1:H797=H798))&gt;0)</f>
        <v>0</v>
      </c>
      <c r="N798" s="36"/>
      <c r="P798" s="1" t="str">
        <f t="shared" si="77"/>
        <v/>
      </c>
    </row>
    <row r="799" spans="1:16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"&amp;L799,IF(AND(MAX(K$1:K798)&gt;0,N(K799)-MAX(K$1:K798)&gt;180),"⚠ Gap &gt; 3h",IF(_xlfn.LET(_xlpm.q,E799,_xlpm.tk,P799,_xlpm.ld,Log!$P$18,_xlpm.fx,IF(OR(_xlpm.ld="",_xlpm.ld="Full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"&amp;_xlpm.q,""))))&lt;&gt;"",IF(N799&lt;&gt;"","Load OK ✓ (checked)","⚠ "&amp;_xlfn.LET(_xlpm.q,E799,_xlpm.tk,P799,_xlpm.ld,Log!$P$18,_xlpm.fx,IF(OR(_xlpm.ld="",_xlpm.ld="Full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"&amp;_xlpm.q,""))))),IF(C799-I799&gt;=0.99,"next day",IF(C799-I799&gt;0.4,"12h → 24h","")))))))))))</f>
        <v/>
      </c>
      <c r="H799" s="4" t="str">
        <f t="shared" si="72"/>
        <v/>
      </c>
      <c r="I799" s="5" t="str">
        <f t="shared" si="73"/>
        <v/>
      </c>
      <c r="J799" s="6">
        <f t="shared" si="74"/>
        <v>0</v>
      </c>
      <c r="K799" s="4" t="str">
        <f t="shared" si="75"/>
        <v/>
      </c>
      <c r="L799" s="4" t="str">
        <f t="shared" si="76"/>
        <v/>
      </c>
      <c r="M799" s="4" t="b" cm="1">
        <f t="array" ref="M799">IF(H799="",FALSE,SUMPRODUCT(--(H$1:H798=H799))&gt;0)</f>
        <v>0</v>
      </c>
      <c r="N799" s="36"/>
      <c r="P799" s="1" t="str">
        <f t="shared" si="77"/>
        <v/>
      </c>
    </row>
    <row r="800" spans="1:16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"&amp;L800,IF(AND(MAX(K$1:K799)&gt;0,N(K800)-MAX(K$1:K799)&gt;180),"⚠ Gap &gt; 3h",IF(_xlfn.LET(_xlpm.q,E800,_xlpm.tk,P800,_xlpm.ld,Log!$P$18,_xlpm.fx,IF(OR(_xlpm.ld="",_xlpm.ld="Full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"&amp;_xlpm.q,""))))&lt;&gt;"",IF(N800&lt;&gt;"","Load OK ✓ (checked)","⚠ "&amp;_xlfn.LET(_xlpm.q,E800,_xlpm.tk,P800,_xlpm.ld,Log!$P$18,_xlpm.fx,IF(OR(_xlpm.ld="",_xlpm.ld="Full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"&amp;_xlpm.q,""))))),IF(C800-I800&gt;=0.99,"next day",IF(C800-I800&gt;0.4,"12h → 24h","")))))))))))</f>
        <v/>
      </c>
      <c r="H800" s="4" t="str">
        <f t="shared" si="72"/>
        <v/>
      </c>
      <c r="I800" s="5" t="str">
        <f t="shared" si="73"/>
        <v/>
      </c>
      <c r="J800" s="6">
        <f t="shared" si="74"/>
        <v>0</v>
      </c>
      <c r="K800" s="4" t="str">
        <f t="shared" si="75"/>
        <v/>
      </c>
      <c r="L800" s="4" t="str">
        <f t="shared" si="76"/>
        <v/>
      </c>
      <c r="M800" s="4" t="b" cm="1">
        <f t="array" ref="M800">IF(H800="",FALSE,SUMPRODUCT(--(H$1:H799=H800))&gt;0)</f>
        <v>0</v>
      </c>
      <c r="N800" s="36"/>
      <c r="P800" s="1" t="str">
        <f t="shared" si="77"/>
        <v/>
      </c>
    </row>
    <row r="801" spans="1:16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"&amp;L801,IF(AND(MAX(K$1:K800)&gt;0,N(K801)-MAX(K$1:K800)&gt;180),"⚠ Gap &gt; 3h",IF(_xlfn.LET(_xlpm.q,E801,_xlpm.tk,P801,_xlpm.ld,Log!$P$18,_xlpm.fx,IF(OR(_xlpm.ld="",_xlpm.ld="Full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"&amp;_xlpm.q,""))))&lt;&gt;"",IF(N801&lt;&gt;"","Load OK ✓ (checked)","⚠ "&amp;_xlfn.LET(_xlpm.q,E801,_xlpm.tk,P801,_xlpm.ld,Log!$P$18,_xlpm.fx,IF(OR(_xlpm.ld="",_xlpm.ld="Full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"&amp;_xlpm.q,""))))),IF(C801-I801&gt;=0.99,"next day",IF(C801-I801&gt;0.4,"12h → 24h","")))))))))))</f>
        <v/>
      </c>
      <c r="H801" s="4" t="str">
        <f t="shared" si="72"/>
        <v/>
      </c>
      <c r="I801" s="5" t="str">
        <f t="shared" si="73"/>
        <v/>
      </c>
      <c r="J801" s="6">
        <f t="shared" si="74"/>
        <v>0</v>
      </c>
      <c r="K801" s="4" t="str">
        <f t="shared" si="75"/>
        <v/>
      </c>
      <c r="L801" s="4" t="str">
        <f t="shared" si="76"/>
        <v/>
      </c>
      <c r="M801" s="4" t="b" cm="1">
        <f t="array" ref="M801">IF(H801="",FALSE,SUMPRODUCT(--(H$1:H800=H801))&gt;0)</f>
        <v>0</v>
      </c>
      <c r="N801" s="36"/>
      <c r="P801" s="1" t="str">
        <f t="shared" si="77"/>
        <v/>
      </c>
    </row>
    <row r="802" spans="1:16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"&amp;L802,IF(AND(MAX(K$1:K801)&gt;0,N(K802)-MAX(K$1:K801)&gt;180),"⚠ Gap &gt; 3h",IF(_xlfn.LET(_xlpm.q,E802,_xlpm.tk,P802,_xlpm.ld,Log!$P$18,_xlpm.fx,IF(OR(_xlpm.ld="",_xlpm.ld="Full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"&amp;_xlpm.q,""))))&lt;&gt;"",IF(N802&lt;&gt;"","Load OK ✓ (checked)","⚠ "&amp;_xlfn.LET(_xlpm.q,E802,_xlpm.tk,P802,_xlpm.ld,Log!$P$18,_xlpm.fx,IF(OR(_xlpm.ld="",_xlpm.ld="Full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"&amp;_xlpm.q,""))))),IF(C802-I802&gt;=0.99,"next day",IF(C802-I802&gt;0.4,"12h → 24h","")))))))))))</f>
        <v/>
      </c>
      <c r="H802" s="4" t="str">
        <f t="shared" si="72"/>
        <v/>
      </c>
      <c r="I802" s="5" t="str">
        <f t="shared" si="73"/>
        <v/>
      </c>
      <c r="J802" s="6">
        <f t="shared" si="74"/>
        <v>0</v>
      </c>
      <c r="K802" s="4" t="str">
        <f t="shared" si="75"/>
        <v/>
      </c>
      <c r="L802" s="4" t="str">
        <f t="shared" si="76"/>
        <v/>
      </c>
      <c r="M802" s="4" t="b" cm="1">
        <f t="array" ref="M802">IF(H802="",FALSE,SUMPRODUCT(--(H$1:H801=H802))&gt;0)</f>
        <v>0</v>
      </c>
      <c r="N802" s="36"/>
      <c r="P802" s="1" t="str">
        <f t="shared" si="77"/>
        <v/>
      </c>
    </row>
    <row r="803" spans="1:16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"&amp;L803,IF(AND(MAX(K$1:K802)&gt;0,N(K803)-MAX(K$1:K802)&gt;180),"⚠ Gap &gt; 3h",IF(_xlfn.LET(_xlpm.q,E803,_xlpm.tk,P803,_xlpm.ld,Log!$P$18,_xlpm.fx,IF(OR(_xlpm.ld="",_xlpm.ld="Full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"&amp;_xlpm.q,""))))&lt;&gt;"",IF(N803&lt;&gt;"","Load OK ✓ (checked)","⚠ "&amp;_xlfn.LET(_xlpm.q,E803,_xlpm.tk,P803,_xlpm.ld,Log!$P$18,_xlpm.fx,IF(OR(_xlpm.ld="",_xlpm.ld="Full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"&amp;_xlpm.q,""))))),IF(C803-I803&gt;=0.99,"next day",IF(C803-I803&gt;0.4,"12h → 24h","")))))))))))</f>
        <v/>
      </c>
      <c r="H803" s="4" t="str">
        <f t="shared" si="72"/>
        <v/>
      </c>
      <c r="I803" s="5" t="str">
        <f t="shared" si="73"/>
        <v/>
      </c>
      <c r="J803" s="6">
        <f t="shared" si="74"/>
        <v>0</v>
      </c>
      <c r="K803" s="4" t="str">
        <f t="shared" si="75"/>
        <v/>
      </c>
      <c r="L803" s="4" t="str">
        <f t="shared" si="76"/>
        <v/>
      </c>
      <c r="M803" s="4" t="b" cm="1">
        <f t="array" ref="M803">IF(H803="",FALSE,SUMPRODUCT(--(H$1:H802=H803))&gt;0)</f>
        <v>0</v>
      </c>
      <c r="N803" s="36"/>
      <c r="P803" s="1" t="str">
        <f t="shared" si="77"/>
        <v/>
      </c>
    </row>
    <row r="804" spans="1:16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"&amp;L804,IF(AND(MAX(K$1:K803)&gt;0,N(K804)-MAX(K$1:K803)&gt;180),"⚠ Gap &gt; 3h",IF(_xlfn.LET(_xlpm.q,E804,_xlpm.tk,P804,_xlpm.ld,Log!$P$18,_xlpm.fx,IF(OR(_xlpm.ld="",_xlpm.ld="Full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"&amp;_xlpm.q,""))))&lt;&gt;"",IF(N804&lt;&gt;"","Load OK ✓ (checked)","⚠ "&amp;_xlfn.LET(_xlpm.q,E804,_xlpm.tk,P804,_xlpm.ld,Log!$P$18,_xlpm.fx,IF(OR(_xlpm.ld="",_xlpm.ld="Full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"&amp;_xlpm.q,""))))),IF(C804-I804&gt;=0.99,"next day",IF(C804-I804&gt;0.4,"12h → 24h","")))))))))))</f>
        <v/>
      </c>
      <c r="H804" s="4" t="str">
        <f t="shared" si="72"/>
        <v/>
      </c>
      <c r="I804" s="5" t="str">
        <f t="shared" si="73"/>
        <v/>
      </c>
      <c r="J804" s="6">
        <f t="shared" si="74"/>
        <v>0</v>
      </c>
      <c r="K804" s="4" t="str">
        <f t="shared" si="75"/>
        <v/>
      </c>
      <c r="L804" s="4" t="str">
        <f t="shared" si="76"/>
        <v/>
      </c>
      <c r="M804" s="4" t="b" cm="1">
        <f t="array" ref="M804">IF(H804="",FALSE,SUMPRODUCT(--(H$1:H803=H804))&gt;0)</f>
        <v>0</v>
      </c>
      <c r="N804" s="36"/>
      <c r="P804" s="1" t="str">
        <f t="shared" si="77"/>
        <v/>
      </c>
    </row>
    <row r="805" spans="1:16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"&amp;L805,IF(AND(MAX(K$1:K804)&gt;0,N(K805)-MAX(K$1:K804)&gt;180),"⚠ Gap &gt; 3h",IF(_xlfn.LET(_xlpm.q,E805,_xlpm.tk,P805,_xlpm.ld,Log!$P$18,_xlpm.fx,IF(OR(_xlpm.ld="",_xlpm.ld="Full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"&amp;_xlpm.q,""))))&lt;&gt;"",IF(N805&lt;&gt;"","Load OK ✓ (checked)","⚠ "&amp;_xlfn.LET(_xlpm.q,E805,_xlpm.tk,P805,_xlpm.ld,Log!$P$18,_xlpm.fx,IF(OR(_xlpm.ld="",_xlpm.ld="Full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"&amp;_xlpm.q,""))))),IF(C805-I805&gt;=0.99,"next day",IF(C805-I805&gt;0.4,"12h → 24h","")))))))))))</f>
        <v/>
      </c>
      <c r="H805" s="4" t="str">
        <f t="shared" si="72"/>
        <v/>
      </c>
      <c r="I805" s="5" t="str">
        <f t="shared" si="73"/>
        <v/>
      </c>
      <c r="J805" s="6">
        <f t="shared" si="74"/>
        <v>0</v>
      </c>
      <c r="K805" s="4" t="str">
        <f t="shared" si="75"/>
        <v/>
      </c>
      <c r="L805" s="4" t="str">
        <f t="shared" si="76"/>
        <v/>
      </c>
      <c r="M805" s="4" t="b" cm="1">
        <f t="array" ref="M805">IF(H805="",FALSE,SUMPRODUCT(--(H$1:H804=H805))&gt;0)</f>
        <v>0</v>
      </c>
      <c r="N805" s="36"/>
      <c r="P805" s="1" t="str">
        <f t="shared" si="77"/>
        <v/>
      </c>
    </row>
    <row r="806" spans="1:16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"&amp;L806,IF(AND(MAX(K$1:K805)&gt;0,N(K806)-MAX(K$1:K805)&gt;180),"⚠ Gap &gt; 3h",IF(_xlfn.LET(_xlpm.q,E806,_xlpm.tk,P806,_xlpm.ld,Log!$P$18,_xlpm.fx,IF(OR(_xlpm.ld="",_xlpm.ld="Full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"&amp;_xlpm.q,""))))&lt;&gt;"",IF(N806&lt;&gt;"","Load OK ✓ (checked)","⚠ "&amp;_xlfn.LET(_xlpm.q,E806,_xlpm.tk,P806,_xlpm.ld,Log!$P$18,_xlpm.fx,IF(OR(_xlpm.ld="",_xlpm.ld="Full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"&amp;_xlpm.q,""))))),IF(C806-I806&gt;=0.99,"next day",IF(C806-I806&gt;0.4,"12h → 24h","")))))))))))</f>
        <v/>
      </c>
      <c r="H806" s="4" t="str">
        <f t="shared" si="72"/>
        <v/>
      </c>
      <c r="I806" s="5" t="str">
        <f t="shared" si="73"/>
        <v/>
      </c>
      <c r="J806" s="6">
        <f t="shared" si="74"/>
        <v>0</v>
      </c>
      <c r="K806" s="4" t="str">
        <f t="shared" si="75"/>
        <v/>
      </c>
      <c r="L806" s="4" t="str">
        <f t="shared" si="76"/>
        <v/>
      </c>
      <c r="M806" s="4" t="b" cm="1">
        <f t="array" ref="M806">IF(H806="",FALSE,SUMPRODUCT(--(H$1:H805=H806))&gt;0)</f>
        <v>0</v>
      </c>
      <c r="N806" s="36"/>
      <c r="P806" s="1" t="str">
        <f t="shared" si="77"/>
        <v/>
      </c>
    </row>
    <row r="807" spans="1:16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"&amp;L807,IF(AND(MAX(K$1:K806)&gt;0,N(K807)-MAX(K$1:K806)&gt;180),"⚠ Gap &gt; 3h",IF(_xlfn.LET(_xlpm.q,E807,_xlpm.tk,P807,_xlpm.ld,Log!$P$18,_xlpm.fx,IF(OR(_xlpm.ld="",_xlpm.ld="Full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"&amp;_xlpm.q,""))))&lt;&gt;"",IF(N807&lt;&gt;"","Load OK ✓ (checked)","⚠ "&amp;_xlfn.LET(_xlpm.q,E807,_xlpm.tk,P807,_xlpm.ld,Log!$P$18,_xlpm.fx,IF(OR(_xlpm.ld="",_xlpm.ld="Full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"&amp;_xlpm.q,""))))),IF(C807-I807&gt;=0.99,"next day",IF(C807-I807&gt;0.4,"12h → 24h","")))))))))))</f>
        <v/>
      </c>
      <c r="H807" s="4" t="str">
        <f t="shared" si="72"/>
        <v/>
      </c>
      <c r="I807" s="5" t="str">
        <f t="shared" si="73"/>
        <v/>
      </c>
      <c r="J807" s="6">
        <f t="shared" si="74"/>
        <v>0</v>
      </c>
      <c r="K807" s="4" t="str">
        <f t="shared" si="75"/>
        <v/>
      </c>
      <c r="L807" s="4" t="str">
        <f t="shared" si="76"/>
        <v/>
      </c>
      <c r="M807" s="4" t="b" cm="1">
        <f t="array" ref="M807">IF(H807="",FALSE,SUMPRODUCT(--(H$1:H806=H807))&gt;0)</f>
        <v>0</v>
      </c>
      <c r="N807" s="36"/>
      <c r="P807" s="1" t="str">
        <f t="shared" si="77"/>
        <v/>
      </c>
    </row>
    <row r="808" spans="1:16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"&amp;L808,IF(AND(MAX(K$1:K807)&gt;0,N(K808)-MAX(K$1:K807)&gt;180),"⚠ Gap &gt; 3h",IF(_xlfn.LET(_xlpm.q,E808,_xlpm.tk,P808,_xlpm.ld,Log!$P$18,_xlpm.fx,IF(OR(_xlpm.ld="",_xlpm.ld="Full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"&amp;_xlpm.q,""))))&lt;&gt;"",IF(N808&lt;&gt;"","Load OK ✓ (checked)","⚠ "&amp;_xlfn.LET(_xlpm.q,E808,_xlpm.tk,P808,_xlpm.ld,Log!$P$18,_xlpm.fx,IF(OR(_xlpm.ld="",_xlpm.ld="Full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"&amp;_xlpm.q,""))))),IF(C808-I808&gt;=0.99,"next day",IF(C808-I808&gt;0.4,"12h → 24h","")))))))))))</f>
        <v/>
      </c>
      <c r="H808" s="4" t="str">
        <f t="shared" si="72"/>
        <v/>
      </c>
      <c r="I808" s="5" t="str">
        <f t="shared" si="73"/>
        <v/>
      </c>
      <c r="J808" s="6">
        <f t="shared" si="74"/>
        <v>0</v>
      </c>
      <c r="K808" s="4" t="str">
        <f t="shared" si="75"/>
        <v/>
      </c>
      <c r="L808" s="4" t="str">
        <f t="shared" si="76"/>
        <v/>
      </c>
      <c r="M808" s="4" t="b" cm="1">
        <f t="array" ref="M808">IF(H808="",FALSE,SUMPRODUCT(--(H$1:H807=H808))&gt;0)</f>
        <v>0</v>
      </c>
      <c r="N808" s="36"/>
      <c r="P808" s="1" t="str">
        <f t="shared" si="77"/>
        <v/>
      </c>
    </row>
    <row r="809" spans="1:16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"&amp;L809,IF(AND(MAX(K$1:K808)&gt;0,N(K809)-MAX(K$1:K808)&gt;180),"⚠ Gap &gt; 3h",IF(_xlfn.LET(_xlpm.q,E809,_xlpm.tk,P809,_xlpm.ld,Log!$P$18,_xlpm.fx,IF(OR(_xlpm.ld="",_xlpm.ld="Full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"&amp;_xlpm.q,""))))&lt;&gt;"",IF(N809&lt;&gt;"","Load OK ✓ (checked)","⚠ "&amp;_xlfn.LET(_xlpm.q,E809,_xlpm.tk,P809,_xlpm.ld,Log!$P$18,_xlpm.fx,IF(OR(_xlpm.ld="",_xlpm.ld="Full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"&amp;_xlpm.q,""))))),IF(C809-I809&gt;=0.99,"next day",IF(C809-I809&gt;0.4,"12h → 24h","")))))))))))</f>
        <v/>
      </c>
      <c r="H809" s="4" t="str">
        <f t="shared" si="72"/>
        <v/>
      </c>
      <c r="I809" s="5" t="str">
        <f t="shared" si="73"/>
        <v/>
      </c>
      <c r="J809" s="6">
        <f t="shared" si="74"/>
        <v>0</v>
      </c>
      <c r="K809" s="4" t="str">
        <f t="shared" si="75"/>
        <v/>
      </c>
      <c r="L809" s="4" t="str">
        <f t="shared" si="76"/>
        <v/>
      </c>
      <c r="M809" s="4" t="b" cm="1">
        <f t="array" ref="M809">IF(H809="",FALSE,SUMPRODUCT(--(H$1:H808=H809))&gt;0)</f>
        <v>0</v>
      </c>
      <c r="N809" s="36"/>
      <c r="P809" s="1" t="str">
        <f t="shared" si="77"/>
        <v/>
      </c>
    </row>
    <row r="810" spans="1:16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"&amp;L810,IF(AND(MAX(K$1:K809)&gt;0,N(K810)-MAX(K$1:K809)&gt;180),"⚠ Gap &gt; 3h",IF(_xlfn.LET(_xlpm.q,E810,_xlpm.tk,P810,_xlpm.ld,Log!$P$18,_xlpm.fx,IF(OR(_xlpm.ld="",_xlpm.ld="Full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"&amp;_xlpm.q,""))))&lt;&gt;"",IF(N810&lt;&gt;"","Load OK ✓ (checked)","⚠ "&amp;_xlfn.LET(_xlpm.q,E810,_xlpm.tk,P810,_xlpm.ld,Log!$P$18,_xlpm.fx,IF(OR(_xlpm.ld="",_xlpm.ld="Full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"&amp;_xlpm.q,""))))),IF(C810-I810&gt;=0.99,"next day",IF(C810-I810&gt;0.4,"12h → 24h","")))))))))))</f>
        <v/>
      </c>
      <c r="H810" s="4" t="str">
        <f t="shared" si="72"/>
        <v/>
      </c>
      <c r="I810" s="5" t="str">
        <f t="shared" si="73"/>
        <v/>
      </c>
      <c r="J810" s="6">
        <f t="shared" si="74"/>
        <v>0</v>
      </c>
      <c r="K810" s="4" t="str">
        <f t="shared" si="75"/>
        <v/>
      </c>
      <c r="L810" s="4" t="str">
        <f t="shared" si="76"/>
        <v/>
      </c>
      <c r="M810" s="4" t="b" cm="1">
        <f t="array" ref="M810">IF(H810="",FALSE,SUMPRODUCT(--(H$1:H809=H810))&gt;0)</f>
        <v>0</v>
      </c>
      <c r="N810" s="36"/>
      <c r="P810" s="1" t="str">
        <f t="shared" si="77"/>
        <v/>
      </c>
    </row>
    <row r="811" spans="1:16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"&amp;L811,IF(AND(MAX(K$1:K810)&gt;0,N(K811)-MAX(K$1:K810)&gt;180),"⚠ Gap &gt; 3h",IF(_xlfn.LET(_xlpm.q,E811,_xlpm.tk,P811,_xlpm.ld,Log!$P$18,_xlpm.fx,IF(OR(_xlpm.ld="",_xlpm.ld="Full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"&amp;_xlpm.q,""))))&lt;&gt;"",IF(N811&lt;&gt;"","Load OK ✓ (checked)","⚠ "&amp;_xlfn.LET(_xlpm.q,E811,_xlpm.tk,P811,_xlpm.ld,Log!$P$18,_xlpm.fx,IF(OR(_xlpm.ld="",_xlpm.ld="Full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"&amp;_xlpm.q,""))))),IF(C811-I811&gt;=0.99,"next day",IF(C811-I811&gt;0.4,"12h → 24h","")))))))))))</f>
        <v/>
      </c>
      <c r="H811" s="4" t="str">
        <f t="shared" si="72"/>
        <v/>
      </c>
      <c r="I811" s="5" t="str">
        <f t="shared" si="73"/>
        <v/>
      </c>
      <c r="J811" s="6">
        <f t="shared" si="74"/>
        <v>0</v>
      </c>
      <c r="K811" s="4" t="str">
        <f t="shared" si="75"/>
        <v/>
      </c>
      <c r="L811" s="4" t="str">
        <f t="shared" si="76"/>
        <v/>
      </c>
      <c r="M811" s="4" t="b" cm="1">
        <f t="array" ref="M811">IF(H811="",FALSE,SUMPRODUCT(--(H$1:H810=H811))&gt;0)</f>
        <v>0</v>
      </c>
      <c r="N811" s="36"/>
      <c r="P811" s="1" t="str">
        <f t="shared" si="77"/>
        <v/>
      </c>
    </row>
    <row r="812" spans="1:16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"&amp;L812,IF(AND(MAX(K$1:K811)&gt;0,N(K812)-MAX(K$1:K811)&gt;180),"⚠ Gap &gt; 3h",IF(_xlfn.LET(_xlpm.q,E812,_xlpm.tk,P812,_xlpm.ld,Log!$P$18,_xlpm.fx,IF(OR(_xlpm.ld="",_xlpm.ld="Full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"&amp;_xlpm.q,""))))&lt;&gt;"",IF(N812&lt;&gt;"","Load OK ✓ (checked)","⚠ "&amp;_xlfn.LET(_xlpm.q,E812,_xlpm.tk,P812,_xlpm.ld,Log!$P$18,_xlpm.fx,IF(OR(_xlpm.ld="",_xlpm.ld="Full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"&amp;_xlpm.q,""))))),IF(C812-I812&gt;=0.99,"next day",IF(C812-I812&gt;0.4,"12h → 24h","")))))))))))</f>
        <v/>
      </c>
      <c r="H812" s="4" t="str">
        <f t="shared" si="72"/>
        <v/>
      </c>
      <c r="I812" s="5" t="str">
        <f t="shared" si="73"/>
        <v/>
      </c>
      <c r="J812" s="6">
        <f t="shared" si="74"/>
        <v>0</v>
      </c>
      <c r="K812" s="4" t="str">
        <f t="shared" si="75"/>
        <v/>
      </c>
      <c r="L812" s="4" t="str">
        <f t="shared" si="76"/>
        <v/>
      </c>
      <c r="M812" s="4" t="b" cm="1">
        <f t="array" ref="M812">IF(H812="",FALSE,SUMPRODUCT(--(H$1:H811=H812))&gt;0)</f>
        <v>0</v>
      </c>
      <c r="N812" s="36"/>
      <c r="P812" s="1" t="str">
        <f t="shared" si="77"/>
        <v/>
      </c>
    </row>
    <row r="813" spans="1:16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"&amp;L813,IF(AND(MAX(K$1:K812)&gt;0,N(K813)-MAX(K$1:K812)&gt;180),"⚠ Gap &gt; 3h",IF(_xlfn.LET(_xlpm.q,E813,_xlpm.tk,P813,_xlpm.ld,Log!$P$18,_xlpm.fx,IF(OR(_xlpm.ld="",_xlpm.ld="Full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"&amp;_xlpm.q,""))))&lt;&gt;"",IF(N813&lt;&gt;"","Load OK ✓ (checked)","⚠ "&amp;_xlfn.LET(_xlpm.q,E813,_xlpm.tk,P813,_xlpm.ld,Log!$P$18,_xlpm.fx,IF(OR(_xlpm.ld="",_xlpm.ld="Full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"&amp;_xlpm.q,""))))),IF(C813-I813&gt;=0.99,"next day",IF(C813-I813&gt;0.4,"12h → 24h","")))))))))))</f>
        <v/>
      </c>
      <c r="H813" s="4" t="str">
        <f t="shared" si="72"/>
        <v/>
      </c>
      <c r="I813" s="5" t="str">
        <f t="shared" si="73"/>
        <v/>
      </c>
      <c r="J813" s="6">
        <f t="shared" si="74"/>
        <v>0</v>
      </c>
      <c r="K813" s="4" t="str">
        <f t="shared" si="75"/>
        <v/>
      </c>
      <c r="L813" s="4" t="str">
        <f t="shared" si="76"/>
        <v/>
      </c>
      <c r="M813" s="4" t="b" cm="1">
        <f t="array" ref="M813">IF(H813="",FALSE,SUMPRODUCT(--(H$1:H812=H813))&gt;0)</f>
        <v>0</v>
      </c>
      <c r="N813" s="36"/>
      <c r="P813" s="1" t="str">
        <f t="shared" si="77"/>
        <v/>
      </c>
    </row>
    <row r="814" spans="1:16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"&amp;L814,IF(AND(MAX(K$1:K813)&gt;0,N(K814)-MAX(K$1:K813)&gt;180),"⚠ Gap &gt; 3h",IF(_xlfn.LET(_xlpm.q,E814,_xlpm.tk,P814,_xlpm.ld,Log!$P$18,_xlpm.fx,IF(OR(_xlpm.ld="",_xlpm.ld="Full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"&amp;_xlpm.q,""))))&lt;&gt;"",IF(N814&lt;&gt;"","Load OK ✓ (checked)","⚠ "&amp;_xlfn.LET(_xlpm.q,E814,_xlpm.tk,P814,_xlpm.ld,Log!$P$18,_xlpm.fx,IF(OR(_xlpm.ld="",_xlpm.ld="Full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"&amp;_xlpm.q,""))))),IF(C814-I814&gt;=0.99,"next day",IF(C814-I814&gt;0.4,"12h → 24h","")))))))))))</f>
        <v/>
      </c>
      <c r="H814" s="4" t="str">
        <f t="shared" si="72"/>
        <v/>
      </c>
      <c r="I814" s="5" t="str">
        <f t="shared" si="73"/>
        <v/>
      </c>
      <c r="J814" s="6">
        <f t="shared" si="74"/>
        <v>0</v>
      </c>
      <c r="K814" s="4" t="str">
        <f t="shared" si="75"/>
        <v/>
      </c>
      <c r="L814" s="4" t="str">
        <f t="shared" si="76"/>
        <v/>
      </c>
      <c r="M814" s="4" t="b" cm="1">
        <f t="array" ref="M814">IF(H814="",FALSE,SUMPRODUCT(--(H$1:H813=H814))&gt;0)</f>
        <v>0</v>
      </c>
      <c r="N814" s="36"/>
      <c r="P814" s="1" t="str">
        <f t="shared" si="77"/>
        <v/>
      </c>
    </row>
    <row r="815" spans="1:16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"&amp;L815,IF(AND(MAX(K$1:K814)&gt;0,N(K815)-MAX(K$1:K814)&gt;180),"⚠ Gap &gt; 3h",IF(_xlfn.LET(_xlpm.q,E815,_xlpm.tk,P815,_xlpm.ld,Log!$P$18,_xlpm.fx,IF(OR(_xlpm.ld="",_xlpm.ld="Full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"&amp;_xlpm.q,""))))&lt;&gt;"",IF(N815&lt;&gt;"","Load OK ✓ (checked)","⚠ "&amp;_xlfn.LET(_xlpm.q,E815,_xlpm.tk,P815,_xlpm.ld,Log!$P$18,_xlpm.fx,IF(OR(_xlpm.ld="",_xlpm.ld="Full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"&amp;_xlpm.q,""))))),IF(C815-I815&gt;=0.99,"next day",IF(C815-I815&gt;0.4,"12h → 24h","")))))))))))</f>
        <v/>
      </c>
      <c r="H815" s="4" t="str">
        <f t="shared" si="72"/>
        <v/>
      </c>
      <c r="I815" s="5" t="str">
        <f t="shared" si="73"/>
        <v/>
      </c>
      <c r="J815" s="6">
        <f t="shared" si="74"/>
        <v>0</v>
      </c>
      <c r="K815" s="4" t="str">
        <f t="shared" si="75"/>
        <v/>
      </c>
      <c r="L815" s="4" t="str">
        <f t="shared" si="76"/>
        <v/>
      </c>
      <c r="M815" s="4" t="b" cm="1">
        <f t="array" ref="M815">IF(H815="",FALSE,SUMPRODUCT(--(H$1:H814=H815))&gt;0)</f>
        <v>0</v>
      </c>
      <c r="N815" s="36"/>
      <c r="P815" s="1" t="str">
        <f t="shared" si="77"/>
        <v/>
      </c>
    </row>
    <row r="816" spans="1:16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"&amp;L816,IF(AND(MAX(K$1:K815)&gt;0,N(K816)-MAX(K$1:K815)&gt;180),"⚠ Gap &gt; 3h",IF(_xlfn.LET(_xlpm.q,E816,_xlpm.tk,P816,_xlpm.ld,Log!$P$18,_xlpm.fx,IF(OR(_xlpm.ld="",_xlpm.ld="Full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"&amp;_xlpm.q,""))))&lt;&gt;"",IF(N816&lt;&gt;"","Load OK ✓ (checked)","⚠ "&amp;_xlfn.LET(_xlpm.q,E816,_xlpm.tk,P816,_xlpm.ld,Log!$P$18,_xlpm.fx,IF(OR(_xlpm.ld="",_xlpm.ld="Full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"&amp;_xlpm.q,""))))),IF(C816-I816&gt;=0.99,"next day",IF(C816-I816&gt;0.4,"12h → 24h","")))))))))))</f>
        <v/>
      </c>
      <c r="H816" s="4" t="str">
        <f t="shared" si="72"/>
        <v/>
      </c>
      <c r="I816" s="5" t="str">
        <f t="shared" si="73"/>
        <v/>
      </c>
      <c r="J816" s="6">
        <f t="shared" si="74"/>
        <v>0</v>
      </c>
      <c r="K816" s="4" t="str">
        <f t="shared" si="75"/>
        <v/>
      </c>
      <c r="L816" s="4" t="str">
        <f t="shared" si="76"/>
        <v/>
      </c>
      <c r="M816" s="4" t="b" cm="1">
        <f t="array" ref="M816">IF(H816="",FALSE,SUMPRODUCT(--(H$1:H815=H816))&gt;0)</f>
        <v>0</v>
      </c>
      <c r="N816" s="36"/>
      <c r="P816" s="1" t="str">
        <f t="shared" si="77"/>
        <v/>
      </c>
    </row>
    <row r="817" spans="1:16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"&amp;L817,IF(AND(MAX(K$1:K816)&gt;0,N(K817)-MAX(K$1:K816)&gt;180),"⚠ Gap &gt; 3h",IF(_xlfn.LET(_xlpm.q,E817,_xlpm.tk,P817,_xlpm.ld,Log!$P$18,_xlpm.fx,IF(OR(_xlpm.ld="",_xlpm.ld="Full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"&amp;_xlpm.q,""))))&lt;&gt;"",IF(N817&lt;&gt;"","Load OK ✓ (checked)","⚠ "&amp;_xlfn.LET(_xlpm.q,E817,_xlpm.tk,P817,_xlpm.ld,Log!$P$18,_xlpm.fx,IF(OR(_xlpm.ld="",_xlpm.ld="Full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"&amp;_xlpm.q,""))))),IF(C817-I817&gt;=0.99,"next day",IF(C817-I817&gt;0.4,"12h → 24h","")))))))))))</f>
        <v/>
      </c>
      <c r="H817" s="4" t="str">
        <f t="shared" si="72"/>
        <v/>
      </c>
      <c r="I817" s="5" t="str">
        <f t="shared" si="73"/>
        <v/>
      </c>
      <c r="J817" s="6">
        <f t="shared" si="74"/>
        <v>0</v>
      </c>
      <c r="K817" s="4" t="str">
        <f t="shared" si="75"/>
        <v/>
      </c>
      <c r="L817" s="4" t="str">
        <f t="shared" si="76"/>
        <v/>
      </c>
      <c r="M817" s="4" t="b" cm="1">
        <f t="array" ref="M817">IF(H817="",FALSE,SUMPRODUCT(--(H$1:H816=H817))&gt;0)</f>
        <v>0</v>
      </c>
      <c r="N817" s="36"/>
      <c r="P817" s="1" t="str">
        <f t="shared" si="77"/>
        <v/>
      </c>
    </row>
    <row r="818" spans="1:16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"&amp;L818,IF(AND(MAX(K$1:K817)&gt;0,N(K818)-MAX(K$1:K817)&gt;180),"⚠ Gap &gt; 3h",IF(_xlfn.LET(_xlpm.q,E818,_xlpm.tk,P818,_xlpm.ld,Log!$P$18,_xlpm.fx,IF(OR(_xlpm.ld="",_xlpm.ld="Full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"&amp;_xlpm.q,""))))&lt;&gt;"",IF(N818&lt;&gt;"","Load OK ✓ (checked)","⚠ "&amp;_xlfn.LET(_xlpm.q,E818,_xlpm.tk,P818,_xlpm.ld,Log!$P$18,_xlpm.fx,IF(OR(_xlpm.ld="",_xlpm.ld="Full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"&amp;_xlpm.q,""))))),IF(C818-I818&gt;=0.99,"next day",IF(C818-I818&gt;0.4,"12h → 24h","")))))))))))</f>
        <v/>
      </c>
      <c r="H818" s="4" t="str">
        <f t="shared" si="72"/>
        <v/>
      </c>
      <c r="I818" s="5" t="str">
        <f t="shared" si="73"/>
        <v/>
      </c>
      <c r="J818" s="6">
        <f t="shared" si="74"/>
        <v>0</v>
      </c>
      <c r="K818" s="4" t="str">
        <f t="shared" si="75"/>
        <v/>
      </c>
      <c r="L818" s="4" t="str">
        <f t="shared" si="76"/>
        <v/>
      </c>
      <c r="M818" s="4" t="b" cm="1">
        <f t="array" ref="M818">IF(H818="",FALSE,SUMPRODUCT(--(H$1:H817=H818))&gt;0)</f>
        <v>0</v>
      </c>
      <c r="N818" s="36"/>
      <c r="P818" s="1" t="str">
        <f t="shared" si="77"/>
        <v/>
      </c>
    </row>
    <row r="819" spans="1:16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"&amp;L819,IF(AND(MAX(K$1:K818)&gt;0,N(K819)-MAX(K$1:K818)&gt;180),"⚠ Gap &gt; 3h",IF(_xlfn.LET(_xlpm.q,E819,_xlpm.tk,P819,_xlpm.ld,Log!$P$18,_xlpm.fx,IF(OR(_xlpm.ld="",_xlpm.ld="Full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"&amp;_xlpm.q,""))))&lt;&gt;"",IF(N819&lt;&gt;"","Load OK ✓ (checked)","⚠ "&amp;_xlfn.LET(_xlpm.q,E819,_xlpm.tk,P819,_xlpm.ld,Log!$P$18,_xlpm.fx,IF(OR(_xlpm.ld="",_xlpm.ld="Full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"&amp;_xlpm.q,""))))),IF(C819-I819&gt;=0.99,"next day",IF(C819-I819&gt;0.4,"12h → 24h","")))))))))))</f>
        <v/>
      </c>
      <c r="H819" s="4" t="str">
        <f t="shared" si="72"/>
        <v/>
      </c>
      <c r="I819" s="5" t="str">
        <f t="shared" si="73"/>
        <v/>
      </c>
      <c r="J819" s="6">
        <f t="shared" si="74"/>
        <v>0</v>
      </c>
      <c r="K819" s="4" t="str">
        <f t="shared" si="75"/>
        <v/>
      </c>
      <c r="L819" s="4" t="str">
        <f t="shared" si="76"/>
        <v/>
      </c>
      <c r="M819" s="4" t="b" cm="1">
        <f t="array" ref="M819">IF(H819="",FALSE,SUMPRODUCT(--(H$1:H818=H819))&gt;0)</f>
        <v>0</v>
      </c>
      <c r="N819" s="36"/>
      <c r="P819" s="1" t="str">
        <f t="shared" si="77"/>
        <v/>
      </c>
    </row>
    <row r="820" spans="1:16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"&amp;L820,IF(AND(MAX(K$1:K819)&gt;0,N(K820)-MAX(K$1:K819)&gt;180),"⚠ Gap &gt; 3h",IF(_xlfn.LET(_xlpm.q,E820,_xlpm.tk,P820,_xlpm.ld,Log!$P$18,_xlpm.fx,IF(OR(_xlpm.ld="",_xlpm.ld="Full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"&amp;_xlpm.q,""))))&lt;&gt;"",IF(N820&lt;&gt;"","Load OK ✓ (checked)","⚠ "&amp;_xlfn.LET(_xlpm.q,E820,_xlpm.tk,P820,_xlpm.ld,Log!$P$18,_xlpm.fx,IF(OR(_xlpm.ld="",_xlpm.ld="Full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"&amp;_xlpm.q,""))))),IF(C820-I820&gt;=0.99,"next day",IF(C820-I820&gt;0.4,"12h → 24h","")))))))))))</f>
        <v/>
      </c>
      <c r="H820" s="4" t="str">
        <f t="shared" si="72"/>
        <v/>
      </c>
      <c r="I820" s="5" t="str">
        <f t="shared" si="73"/>
        <v/>
      </c>
      <c r="J820" s="6">
        <f t="shared" si="74"/>
        <v>0</v>
      </c>
      <c r="K820" s="4" t="str">
        <f t="shared" si="75"/>
        <v/>
      </c>
      <c r="L820" s="4" t="str">
        <f t="shared" si="76"/>
        <v/>
      </c>
      <c r="M820" s="4" t="b" cm="1">
        <f t="array" ref="M820">IF(H820="",FALSE,SUMPRODUCT(--(H$1:H819=H820))&gt;0)</f>
        <v>0</v>
      </c>
      <c r="N820" s="36"/>
      <c r="P820" s="1" t="str">
        <f t="shared" si="77"/>
        <v/>
      </c>
    </row>
    <row r="821" spans="1:16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"&amp;L821,IF(AND(MAX(K$1:K820)&gt;0,N(K821)-MAX(K$1:K820)&gt;180),"⚠ Gap &gt; 3h",IF(_xlfn.LET(_xlpm.q,E821,_xlpm.tk,P821,_xlpm.ld,Log!$P$18,_xlpm.fx,IF(OR(_xlpm.ld="",_xlpm.ld="Full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"&amp;_xlpm.q,""))))&lt;&gt;"",IF(N821&lt;&gt;"","Load OK ✓ (checked)","⚠ "&amp;_xlfn.LET(_xlpm.q,E821,_xlpm.tk,P821,_xlpm.ld,Log!$P$18,_xlpm.fx,IF(OR(_xlpm.ld="",_xlpm.ld="Full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"&amp;_xlpm.q,""))))),IF(C821-I821&gt;=0.99,"next day",IF(C821-I821&gt;0.4,"12h → 24h","")))))))))))</f>
        <v/>
      </c>
      <c r="H821" s="4" t="str">
        <f t="shared" si="72"/>
        <v/>
      </c>
      <c r="I821" s="5" t="str">
        <f t="shared" si="73"/>
        <v/>
      </c>
      <c r="J821" s="6">
        <f t="shared" si="74"/>
        <v>0</v>
      </c>
      <c r="K821" s="4" t="str">
        <f t="shared" si="75"/>
        <v/>
      </c>
      <c r="L821" s="4" t="str">
        <f t="shared" si="76"/>
        <v/>
      </c>
      <c r="M821" s="4" t="b" cm="1">
        <f t="array" ref="M821">IF(H821="",FALSE,SUMPRODUCT(--(H$1:H820=H821))&gt;0)</f>
        <v>0</v>
      </c>
      <c r="N821" s="36"/>
      <c r="P821" s="1" t="str">
        <f t="shared" si="77"/>
        <v/>
      </c>
    </row>
    <row r="822" spans="1:16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"&amp;L822,IF(AND(MAX(K$1:K821)&gt;0,N(K822)-MAX(K$1:K821)&gt;180),"⚠ Gap &gt; 3h",IF(_xlfn.LET(_xlpm.q,E822,_xlpm.tk,P822,_xlpm.ld,Log!$P$18,_xlpm.fx,IF(OR(_xlpm.ld="",_xlpm.ld="Full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"&amp;_xlpm.q,""))))&lt;&gt;"",IF(N822&lt;&gt;"","Load OK ✓ (checked)","⚠ "&amp;_xlfn.LET(_xlpm.q,E822,_xlpm.tk,P822,_xlpm.ld,Log!$P$18,_xlpm.fx,IF(OR(_xlpm.ld="",_xlpm.ld="Full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"&amp;_xlpm.q,""))))),IF(C822-I822&gt;=0.99,"next day",IF(C822-I822&gt;0.4,"12h → 24h","")))))))))))</f>
        <v/>
      </c>
      <c r="H822" s="4" t="str">
        <f t="shared" si="72"/>
        <v/>
      </c>
      <c r="I822" s="5" t="str">
        <f t="shared" si="73"/>
        <v/>
      </c>
      <c r="J822" s="6">
        <f t="shared" si="74"/>
        <v>0</v>
      </c>
      <c r="K822" s="4" t="str">
        <f t="shared" si="75"/>
        <v/>
      </c>
      <c r="L822" s="4" t="str">
        <f t="shared" si="76"/>
        <v/>
      </c>
      <c r="M822" s="4" t="b" cm="1">
        <f t="array" ref="M822">IF(H822="",FALSE,SUMPRODUCT(--(H$1:H821=H822))&gt;0)</f>
        <v>0</v>
      </c>
      <c r="N822" s="36"/>
      <c r="P822" s="1" t="str">
        <f t="shared" si="77"/>
        <v/>
      </c>
    </row>
    <row r="823" spans="1:16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"&amp;L823,IF(AND(MAX(K$1:K822)&gt;0,N(K823)-MAX(K$1:K822)&gt;180),"⚠ Gap &gt; 3h",IF(_xlfn.LET(_xlpm.q,E823,_xlpm.tk,P823,_xlpm.ld,Log!$P$18,_xlpm.fx,IF(OR(_xlpm.ld="",_xlpm.ld="Full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"&amp;_xlpm.q,""))))&lt;&gt;"",IF(N823&lt;&gt;"","Load OK ✓ (checked)","⚠ "&amp;_xlfn.LET(_xlpm.q,E823,_xlpm.tk,P823,_xlpm.ld,Log!$P$18,_xlpm.fx,IF(OR(_xlpm.ld="",_xlpm.ld="Full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"&amp;_xlpm.q,""))))),IF(C823-I823&gt;=0.99,"next day",IF(C823-I823&gt;0.4,"12h → 24h","")))))))))))</f>
        <v/>
      </c>
      <c r="H823" s="4" t="str">
        <f t="shared" si="72"/>
        <v/>
      </c>
      <c r="I823" s="5" t="str">
        <f t="shared" si="73"/>
        <v/>
      </c>
      <c r="J823" s="6">
        <f t="shared" si="74"/>
        <v>0</v>
      </c>
      <c r="K823" s="4" t="str">
        <f t="shared" si="75"/>
        <v/>
      </c>
      <c r="L823" s="4" t="str">
        <f t="shared" si="76"/>
        <v/>
      </c>
      <c r="M823" s="4" t="b" cm="1">
        <f t="array" ref="M823">IF(H823="",FALSE,SUMPRODUCT(--(H$1:H822=H823))&gt;0)</f>
        <v>0</v>
      </c>
      <c r="N823" s="36"/>
      <c r="P823" s="1" t="str">
        <f t="shared" si="77"/>
        <v/>
      </c>
    </row>
    <row r="824" spans="1:16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"&amp;L824,IF(AND(MAX(K$1:K823)&gt;0,N(K824)-MAX(K$1:K823)&gt;180),"⚠ Gap &gt; 3h",IF(_xlfn.LET(_xlpm.q,E824,_xlpm.tk,P824,_xlpm.ld,Log!$P$18,_xlpm.fx,IF(OR(_xlpm.ld="",_xlpm.ld="Full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"&amp;_xlpm.q,""))))&lt;&gt;"",IF(N824&lt;&gt;"","Load OK ✓ (checked)","⚠ "&amp;_xlfn.LET(_xlpm.q,E824,_xlpm.tk,P824,_xlpm.ld,Log!$P$18,_xlpm.fx,IF(OR(_xlpm.ld="",_xlpm.ld="Full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"&amp;_xlpm.q,""))))),IF(C824-I824&gt;=0.99,"next day",IF(C824-I824&gt;0.4,"12h → 24h","")))))))))))</f>
        <v/>
      </c>
      <c r="H824" s="4" t="str">
        <f t="shared" si="72"/>
        <v/>
      </c>
      <c r="I824" s="5" t="str">
        <f t="shared" si="73"/>
        <v/>
      </c>
      <c r="J824" s="6">
        <f t="shared" si="74"/>
        <v>0</v>
      </c>
      <c r="K824" s="4" t="str">
        <f t="shared" si="75"/>
        <v/>
      </c>
      <c r="L824" s="4" t="str">
        <f t="shared" si="76"/>
        <v/>
      </c>
      <c r="M824" s="4" t="b" cm="1">
        <f t="array" ref="M824">IF(H824="",FALSE,SUMPRODUCT(--(H$1:H823=H824))&gt;0)</f>
        <v>0</v>
      </c>
      <c r="N824" s="36"/>
      <c r="P824" s="1" t="str">
        <f t="shared" si="77"/>
        <v/>
      </c>
    </row>
    <row r="825" spans="1:16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"&amp;L825,IF(AND(MAX(K$1:K824)&gt;0,N(K825)-MAX(K$1:K824)&gt;180),"⚠ Gap &gt; 3h",IF(_xlfn.LET(_xlpm.q,E825,_xlpm.tk,P825,_xlpm.ld,Log!$P$18,_xlpm.fx,IF(OR(_xlpm.ld="",_xlpm.ld="Full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"&amp;_xlpm.q,""))))&lt;&gt;"",IF(N825&lt;&gt;"","Load OK ✓ (checked)","⚠ "&amp;_xlfn.LET(_xlpm.q,E825,_xlpm.tk,P825,_xlpm.ld,Log!$P$18,_xlpm.fx,IF(OR(_xlpm.ld="",_xlpm.ld="Full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"&amp;_xlpm.q,""))))),IF(C825-I825&gt;=0.99,"next day",IF(C825-I825&gt;0.4,"12h → 24h","")))))))))))</f>
        <v/>
      </c>
      <c r="H825" s="4" t="str">
        <f t="shared" si="72"/>
        <v/>
      </c>
      <c r="I825" s="5" t="str">
        <f t="shared" si="73"/>
        <v/>
      </c>
      <c r="J825" s="6">
        <f t="shared" si="74"/>
        <v>0</v>
      </c>
      <c r="K825" s="4" t="str">
        <f t="shared" si="75"/>
        <v/>
      </c>
      <c r="L825" s="4" t="str">
        <f t="shared" si="76"/>
        <v/>
      </c>
      <c r="M825" s="4" t="b" cm="1">
        <f t="array" ref="M825">IF(H825="",FALSE,SUMPRODUCT(--(H$1:H824=H825))&gt;0)</f>
        <v>0</v>
      </c>
      <c r="N825" s="36"/>
      <c r="P825" s="1" t="str">
        <f t="shared" si="77"/>
        <v/>
      </c>
    </row>
    <row r="826" spans="1:16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"&amp;L826,IF(AND(MAX(K$1:K825)&gt;0,N(K826)-MAX(K$1:K825)&gt;180),"⚠ Gap &gt; 3h",IF(_xlfn.LET(_xlpm.q,E826,_xlpm.tk,P826,_xlpm.ld,Log!$P$18,_xlpm.fx,IF(OR(_xlpm.ld="",_xlpm.ld="Full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"&amp;_xlpm.q,""))))&lt;&gt;"",IF(N826&lt;&gt;"","Load OK ✓ (checked)","⚠ "&amp;_xlfn.LET(_xlpm.q,E826,_xlpm.tk,P826,_xlpm.ld,Log!$P$18,_xlpm.fx,IF(OR(_xlpm.ld="",_xlpm.ld="Full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"&amp;_xlpm.q,""))))),IF(C826-I826&gt;=0.99,"next day",IF(C826-I826&gt;0.4,"12h → 24h","")))))))))))</f>
        <v/>
      </c>
      <c r="H826" s="4" t="str">
        <f t="shared" si="72"/>
        <v/>
      </c>
      <c r="I826" s="5" t="str">
        <f t="shared" si="73"/>
        <v/>
      </c>
      <c r="J826" s="6">
        <f t="shared" si="74"/>
        <v>0</v>
      </c>
      <c r="K826" s="4" t="str">
        <f t="shared" si="75"/>
        <v/>
      </c>
      <c r="L826" s="4" t="str">
        <f t="shared" si="76"/>
        <v/>
      </c>
      <c r="M826" s="4" t="b" cm="1">
        <f t="array" ref="M826">IF(H826="",FALSE,SUMPRODUCT(--(H$1:H825=H826))&gt;0)</f>
        <v>0</v>
      </c>
      <c r="N826" s="36"/>
      <c r="P826" s="1" t="str">
        <f t="shared" si="77"/>
        <v/>
      </c>
    </row>
    <row r="827" spans="1:16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"&amp;L827,IF(AND(MAX(K$1:K826)&gt;0,N(K827)-MAX(K$1:K826)&gt;180),"⚠ Gap &gt; 3h",IF(_xlfn.LET(_xlpm.q,E827,_xlpm.tk,P827,_xlpm.ld,Log!$P$18,_xlpm.fx,IF(OR(_xlpm.ld="",_xlpm.ld="Full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"&amp;_xlpm.q,""))))&lt;&gt;"",IF(N827&lt;&gt;"","Load OK ✓ (checked)","⚠ "&amp;_xlfn.LET(_xlpm.q,E827,_xlpm.tk,P827,_xlpm.ld,Log!$P$18,_xlpm.fx,IF(OR(_xlpm.ld="",_xlpm.ld="Full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"&amp;_xlpm.q,""))))),IF(C827-I827&gt;=0.99,"next day",IF(C827-I827&gt;0.4,"12h → 24h","")))))))))))</f>
        <v/>
      </c>
      <c r="H827" s="4" t="str">
        <f t="shared" si="72"/>
        <v/>
      </c>
      <c r="I827" s="5" t="str">
        <f t="shared" si="73"/>
        <v/>
      </c>
      <c r="J827" s="6">
        <f t="shared" si="74"/>
        <v>0</v>
      </c>
      <c r="K827" s="4" t="str">
        <f t="shared" si="75"/>
        <v/>
      </c>
      <c r="L827" s="4" t="str">
        <f t="shared" si="76"/>
        <v/>
      </c>
      <c r="M827" s="4" t="b" cm="1">
        <f t="array" ref="M827">IF(H827="",FALSE,SUMPRODUCT(--(H$1:H826=H827))&gt;0)</f>
        <v>0</v>
      </c>
      <c r="N827" s="36"/>
      <c r="P827" s="1" t="str">
        <f t="shared" si="77"/>
        <v/>
      </c>
    </row>
    <row r="828" spans="1:16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"&amp;L828,IF(AND(MAX(K$1:K827)&gt;0,N(K828)-MAX(K$1:K827)&gt;180),"⚠ Gap &gt; 3h",IF(_xlfn.LET(_xlpm.q,E828,_xlpm.tk,P828,_xlpm.ld,Log!$P$18,_xlpm.fx,IF(OR(_xlpm.ld="",_xlpm.ld="Full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"&amp;_xlpm.q,""))))&lt;&gt;"",IF(N828&lt;&gt;"","Load OK ✓ (checked)","⚠ "&amp;_xlfn.LET(_xlpm.q,E828,_xlpm.tk,P828,_xlpm.ld,Log!$P$18,_xlpm.fx,IF(OR(_xlpm.ld="",_xlpm.ld="Full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"&amp;_xlpm.q,""))))),IF(C828-I828&gt;=0.99,"next day",IF(C828-I828&gt;0.4,"12h → 24h","")))))))))))</f>
        <v/>
      </c>
      <c r="H828" s="4" t="str">
        <f t="shared" si="72"/>
        <v/>
      </c>
      <c r="I828" s="5" t="str">
        <f t="shared" si="73"/>
        <v/>
      </c>
      <c r="J828" s="6">
        <f t="shared" si="74"/>
        <v>0</v>
      </c>
      <c r="K828" s="4" t="str">
        <f t="shared" si="75"/>
        <v/>
      </c>
      <c r="L828" s="4" t="str">
        <f t="shared" si="76"/>
        <v/>
      </c>
      <c r="M828" s="4" t="b" cm="1">
        <f t="array" ref="M828">IF(H828="",FALSE,SUMPRODUCT(--(H$1:H827=H828))&gt;0)</f>
        <v>0</v>
      </c>
      <c r="N828" s="36"/>
      <c r="P828" s="1" t="str">
        <f t="shared" si="77"/>
        <v/>
      </c>
    </row>
    <row r="829" spans="1:16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"&amp;L829,IF(AND(MAX(K$1:K828)&gt;0,N(K829)-MAX(K$1:K828)&gt;180),"⚠ Gap &gt; 3h",IF(_xlfn.LET(_xlpm.q,E829,_xlpm.tk,P829,_xlpm.ld,Log!$P$18,_xlpm.fx,IF(OR(_xlpm.ld="",_xlpm.ld="Full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"&amp;_xlpm.q,""))))&lt;&gt;"",IF(N829&lt;&gt;"","Load OK ✓ (checked)","⚠ "&amp;_xlfn.LET(_xlpm.q,E829,_xlpm.tk,P829,_xlpm.ld,Log!$P$18,_xlpm.fx,IF(OR(_xlpm.ld="",_xlpm.ld="Full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"&amp;_xlpm.q,""))))),IF(C829-I829&gt;=0.99,"next day",IF(C829-I829&gt;0.4,"12h → 24h","")))))))))))</f>
        <v/>
      </c>
      <c r="H829" s="4" t="str">
        <f t="shared" si="72"/>
        <v/>
      </c>
      <c r="I829" s="5" t="str">
        <f t="shared" si="73"/>
        <v/>
      </c>
      <c r="J829" s="6">
        <f t="shared" si="74"/>
        <v>0</v>
      </c>
      <c r="K829" s="4" t="str">
        <f t="shared" si="75"/>
        <v/>
      </c>
      <c r="L829" s="4" t="str">
        <f t="shared" si="76"/>
        <v/>
      </c>
      <c r="M829" s="4" t="b" cm="1">
        <f t="array" ref="M829">IF(H829="",FALSE,SUMPRODUCT(--(H$1:H828=H829))&gt;0)</f>
        <v>0</v>
      </c>
      <c r="N829" s="36"/>
      <c r="P829" s="1" t="str">
        <f t="shared" si="77"/>
        <v/>
      </c>
    </row>
    <row r="830" spans="1:16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"&amp;L830,IF(AND(MAX(K$1:K829)&gt;0,N(K830)-MAX(K$1:K829)&gt;180),"⚠ Gap &gt; 3h",IF(_xlfn.LET(_xlpm.q,E830,_xlpm.tk,P830,_xlpm.ld,Log!$P$18,_xlpm.fx,IF(OR(_xlpm.ld="",_xlpm.ld="Full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"&amp;_xlpm.q,""))))&lt;&gt;"",IF(N830&lt;&gt;"","Load OK ✓ (checked)","⚠ "&amp;_xlfn.LET(_xlpm.q,E830,_xlpm.tk,P830,_xlpm.ld,Log!$P$18,_xlpm.fx,IF(OR(_xlpm.ld="",_xlpm.ld="Full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"&amp;_xlpm.q,""))))),IF(C830-I830&gt;=0.99,"next day",IF(C830-I830&gt;0.4,"12h → 24h","")))))))))))</f>
        <v/>
      </c>
      <c r="H830" s="4" t="str">
        <f t="shared" si="72"/>
        <v/>
      </c>
      <c r="I830" s="5" t="str">
        <f t="shared" si="73"/>
        <v/>
      </c>
      <c r="J830" s="6">
        <f t="shared" si="74"/>
        <v>0</v>
      </c>
      <c r="K830" s="4" t="str">
        <f t="shared" si="75"/>
        <v/>
      </c>
      <c r="L830" s="4" t="str">
        <f t="shared" si="76"/>
        <v/>
      </c>
      <c r="M830" s="4" t="b" cm="1">
        <f t="array" ref="M830">IF(H830="",FALSE,SUMPRODUCT(--(H$1:H829=H830))&gt;0)</f>
        <v>0</v>
      </c>
      <c r="N830" s="36"/>
      <c r="P830" s="1" t="str">
        <f t="shared" si="77"/>
        <v/>
      </c>
    </row>
    <row r="831" spans="1:16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"&amp;L831,IF(AND(MAX(K$1:K830)&gt;0,N(K831)-MAX(K$1:K830)&gt;180),"⚠ Gap &gt; 3h",IF(_xlfn.LET(_xlpm.q,E831,_xlpm.tk,P831,_xlpm.ld,Log!$P$18,_xlpm.fx,IF(OR(_xlpm.ld="",_xlpm.ld="Full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"&amp;_xlpm.q,""))))&lt;&gt;"",IF(N831&lt;&gt;"","Load OK ✓ (checked)","⚠ "&amp;_xlfn.LET(_xlpm.q,E831,_xlpm.tk,P831,_xlpm.ld,Log!$P$18,_xlpm.fx,IF(OR(_xlpm.ld="",_xlpm.ld="Full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"&amp;_xlpm.q,""))))),IF(C831-I831&gt;=0.99,"next day",IF(C831-I831&gt;0.4,"12h → 24h","")))))))))))</f>
        <v/>
      </c>
      <c r="H831" s="4" t="str">
        <f t="shared" si="72"/>
        <v/>
      </c>
      <c r="I831" s="5" t="str">
        <f t="shared" si="73"/>
        <v/>
      </c>
      <c r="J831" s="6">
        <f t="shared" si="74"/>
        <v>0</v>
      </c>
      <c r="K831" s="4" t="str">
        <f t="shared" si="75"/>
        <v/>
      </c>
      <c r="L831" s="4" t="str">
        <f t="shared" si="76"/>
        <v/>
      </c>
      <c r="M831" s="4" t="b" cm="1">
        <f t="array" ref="M831">IF(H831="",FALSE,SUMPRODUCT(--(H$1:H830=H831))&gt;0)</f>
        <v>0</v>
      </c>
      <c r="N831" s="36"/>
      <c r="P831" s="1" t="str">
        <f t="shared" si="77"/>
        <v/>
      </c>
    </row>
    <row r="832" spans="1:16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"&amp;L832,IF(AND(MAX(K$1:K831)&gt;0,N(K832)-MAX(K$1:K831)&gt;180),"⚠ Gap &gt; 3h",IF(_xlfn.LET(_xlpm.q,E832,_xlpm.tk,P832,_xlpm.ld,Log!$P$18,_xlpm.fx,IF(OR(_xlpm.ld="",_xlpm.ld="Full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"&amp;_xlpm.q,""))))&lt;&gt;"",IF(N832&lt;&gt;"","Load OK ✓ (checked)","⚠ "&amp;_xlfn.LET(_xlpm.q,E832,_xlpm.tk,P832,_xlpm.ld,Log!$P$18,_xlpm.fx,IF(OR(_xlpm.ld="",_xlpm.ld="Full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"&amp;_xlpm.q,""))))),IF(C832-I832&gt;=0.99,"next day",IF(C832-I832&gt;0.4,"12h → 24h","")))))))))))</f>
        <v/>
      </c>
      <c r="H832" s="4" t="str">
        <f t="shared" si="72"/>
        <v/>
      </c>
      <c r="I832" s="5" t="str">
        <f t="shared" si="73"/>
        <v/>
      </c>
      <c r="J832" s="6">
        <f t="shared" si="74"/>
        <v>0</v>
      </c>
      <c r="K832" s="4" t="str">
        <f t="shared" si="75"/>
        <v/>
      </c>
      <c r="L832" s="4" t="str">
        <f t="shared" si="76"/>
        <v/>
      </c>
      <c r="M832" s="4" t="b" cm="1">
        <f t="array" ref="M832">IF(H832="",FALSE,SUMPRODUCT(--(H$1:H831=H832))&gt;0)</f>
        <v>0</v>
      </c>
      <c r="N832" s="36"/>
      <c r="P832" s="1" t="str">
        <f t="shared" si="77"/>
        <v/>
      </c>
    </row>
    <row r="833" spans="1:16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"&amp;L833,IF(AND(MAX(K$1:K832)&gt;0,N(K833)-MAX(K$1:K832)&gt;180),"⚠ Gap &gt; 3h",IF(_xlfn.LET(_xlpm.q,E833,_xlpm.tk,P833,_xlpm.ld,Log!$P$18,_xlpm.fx,IF(OR(_xlpm.ld="",_xlpm.ld="Full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"&amp;_xlpm.q,""))))&lt;&gt;"",IF(N833&lt;&gt;"","Load OK ✓ (checked)","⚠ "&amp;_xlfn.LET(_xlpm.q,E833,_xlpm.tk,P833,_xlpm.ld,Log!$P$18,_xlpm.fx,IF(OR(_xlpm.ld="",_xlpm.ld="Full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"&amp;_xlpm.q,""))))),IF(C833-I833&gt;=0.99,"next day",IF(C833-I833&gt;0.4,"12h → 24h","")))))))))))</f>
        <v/>
      </c>
      <c r="H833" s="4" t="str">
        <f t="shared" si="72"/>
        <v/>
      </c>
      <c r="I833" s="5" t="str">
        <f t="shared" si="73"/>
        <v/>
      </c>
      <c r="J833" s="6">
        <f t="shared" si="74"/>
        <v>0</v>
      </c>
      <c r="K833" s="4" t="str">
        <f t="shared" si="75"/>
        <v/>
      </c>
      <c r="L833" s="4" t="str">
        <f t="shared" si="76"/>
        <v/>
      </c>
      <c r="M833" s="4" t="b" cm="1">
        <f t="array" ref="M833">IF(H833="",FALSE,SUMPRODUCT(--(H$1:H832=H833))&gt;0)</f>
        <v>0</v>
      </c>
      <c r="N833" s="36"/>
      <c r="P833" s="1" t="str">
        <f t="shared" si="77"/>
        <v/>
      </c>
    </row>
    <row r="834" spans="1:16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"&amp;L834,IF(AND(MAX(K$1:K833)&gt;0,N(K834)-MAX(K$1:K833)&gt;180),"⚠ Gap &gt; 3h",IF(_xlfn.LET(_xlpm.q,E834,_xlpm.tk,P834,_xlpm.ld,Log!$P$18,_xlpm.fx,IF(OR(_xlpm.ld="",_xlpm.ld="Full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"&amp;_xlpm.q,""))))&lt;&gt;"",IF(N834&lt;&gt;"","Load OK ✓ (checked)","⚠ "&amp;_xlfn.LET(_xlpm.q,E834,_xlpm.tk,P834,_xlpm.ld,Log!$P$18,_xlpm.fx,IF(OR(_xlpm.ld="",_xlpm.ld="Full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"&amp;_xlpm.q,""))))),IF(C834-I834&gt;=0.99,"next day",IF(C834-I834&gt;0.4,"12h → 24h","")))))))))))</f>
        <v/>
      </c>
      <c r="H834" s="4" t="str">
        <f t="shared" ref="H834:H897" si="78">IF(B834="","",_xlfn.LET(_xlpm.t,TRIM(B834),IF(LEFT(_xlpm.t,1)="[",IFERROR(TRIM(MID(_xlpm.t,FIND(": ",_xlpm.t,FIND("]",_xlpm.t))+2,500)),_xlpm.t),_xlpm.t)))</f>
        <v/>
      </c>
      <c r="I834" s="5" t="str">
        <f t="shared" ref="I834:I897" si="79">IF(H834="","",IFERROR(TIMEVALUE(TRIM(SUBSTITUTE(SUBSTITUTE(MID(H834,SEARCH(":",H834)-2,5),".",""),"*",""))),""))</f>
        <v/>
      </c>
      <c r="J834" s="6">
        <f t="shared" ref="J834:J897" si="80">IF(OR(B834="",F834="",M834),0,IF(ISNUMBER(F834),F834,N(E834)))</f>
        <v>0</v>
      </c>
      <c r="K834" s="4" t="str">
        <f t="shared" ref="K834:K897" si="81">IF(OR(C834="",M834),"",ROUND(C834*1440,0))</f>
        <v/>
      </c>
      <c r="L834" s="4" t="str">
        <f t="shared" ref="L834:L897" si="82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  <c r="N834" s="36"/>
      <c r="P834" s="1" t="str">
        <f t="shared" ref="P834:P897" si="83">IF(OR(H834="",NOT(ISNUMBER(L834))),"",IFERROR(_xlfn.LET(_xlpm.t,TRIM(SUBSTITUTE(SUBSTITUTE(SUBSTITUTE(H834,"*",""),"_",""),"."," ")),_xlpm.s,TRIM(MID(SUBSTITUTE(_xlpm.t," ",REPT(" ",100)),101,100)),IF(AND(LEN(_xlpm.s)=3,ISNUMBER(--_xlpm.s)),--_xlpm.s,"")),""))</f>
        <v/>
      </c>
    </row>
    <row r="835" spans="1:16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"&amp;L835,IF(AND(MAX(K$1:K834)&gt;0,N(K835)-MAX(K$1:K834)&gt;180),"⚠ Gap &gt; 3h",IF(_xlfn.LET(_xlpm.q,E835,_xlpm.tk,P835,_xlpm.ld,Log!$P$18,_xlpm.fx,IF(OR(_xlpm.ld="",_xlpm.ld="Full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"&amp;_xlpm.q,""))))&lt;&gt;"",IF(N835&lt;&gt;"","Load OK ✓ (checked)","⚠ "&amp;_xlfn.LET(_xlpm.q,E835,_xlpm.tk,P835,_xlpm.ld,Log!$P$18,_xlpm.fx,IF(OR(_xlpm.ld="",_xlpm.ld="Full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"&amp;_xlpm.q,""))))),IF(C835-I835&gt;=0.99,"next day",IF(C835-I835&gt;0.4,"12h → 24h","")))))))))))</f>
        <v/>
      </c>
      <c r="H835" s="4" t="str">
        <f t="shared" si="78"/>
        <v/>
      </c>
      <c r="I835" s="5" t="str">
        <f t="shared" si="79"/>
        <v/>
      </c>
      <c r="J835" s="6">
        <f t="shared" si="80"/>
        <v>0</v>
      </c>
      <c r="K835" s="4" t="str">
        <f t="shared" si="81"/>
        <v/>
      </c>
      <c r="L835" s="4" t="str">
        <f t="shared" si="82"/>
        <v/>
      </c>
      <c r="M835" s="4" t="b" cm="1">
        <f t="array" ref="M835">IF(H835="",FALSE,SUMPRODUCT(--(H$1:H834=H835))&gt;0)</f>
        <v>0</v>
      </c>
      <c r="N835" s="36"/>
      <c r="P835" s="1" t="str">
        <f t="shared" si="83"/>
        <v/>
      </c>
    </row>
    <row r="836" spans="1:16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"&amp;L836,IF(AND(MAX(K$1:K835)&gt;0,N(K836)-MAX(K$1:K835)&gt;180),"⚠ Gap &gt; 3h",IF(_xlfn.LET(_xlpm.q,E836,_xlpm.tk,P836,_xlpm.ld,Log!$P$18,_xlpm.fx,IF(OR(_xlpm.ld="",_xlpm.ld="Full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"&amp;_xlpm.q,""))))&lt;&gt;"",IF(N836&lt;&gt;"","Load OK ✓ (checked)","⚠ "&amp;_xlfn.LET(_xlpm.q,E836,_xlpm.tk,P836,_xlpm.ld,Log!$P$18,_xlpm.fx,IF(OR(_xlpm.ld="",_xlpm.ld="Full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"&amp;_xlpm.q,""))))),IF(C836-I836&gt;=0.99,"next day",IF(C836-I836&gt;0.4,"12h → 24h","")))))))))))</f>
        <v/>
      </c>
      <c r="H836" s="4" t="str">
        <f t="shared" si="78"/>
        <v/>
      </c>
      <c r="I836" s="5" t="str">
        <f t="shared" si="79"/>
        <v/>
      </c>
      <c r="J836" s="6">
        <f t="shared" si="80"/>
        <v>0</v>
      </c>
      <c r="K836" s="4" t="str">
        <f t="shared" si="81"/>
        <v/>
      </c>
      <c r="L836" s="4" t="str">
        <f t="shared" si="82"/>
        <v/>
      </c>
      <c r="M836" s="4" t="b" cm="1">
        <f t="array" ref="M836">IF(H836="",FALSE,SUMPRODUCT(--(H$1:H835=H836))&gt;0)</f>
        <v>0</v>
      </c>
      <c r="N836" s="36"/>
      <c r="P836" s="1" t="str">
        <f t="shared" si="83"/>
        <v/>
      </c>
    </row>
    <row r="837" spans="1:16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"&amp;L837,IF(AND(MAX(K$1:K836)&gt;0,N(K837)-MAX(K$1:K836)&gt;180),"⚠ Gap &gt; 3h",IF(_xlfn.LET(_xlpm.q,E837,_xlpm.tk,P837,_xlpm.ld,Log!$P$18,_xlpm.fx,IF(OR(_xlpm.ld="",_xlpm.ld="Full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"&amp;_xlpm.q,""))))&lt;&gt;"",IF(N837&lt;&gt;"","Load OK ✓ (checked)","⚠ "&amp;_xlfn.LET(_xlpm.q,E837,_xlpm.tk,P837,_xlpm.ld,Log!$P$18,_xlpm.fx,IF(OR(_xlpm.ld="",_xlpm.ld="Full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"&amp;_xlpm.q,""))))),IF(C837-I837&gt;=0.99,"next day",IF(C837-I837&gt;0.4,"12h → 24h","")))))))))))</f>
        <v/>
      </c>
      <c r="H837" s="4" t="str">
        <f t="shared" si="78"/>
        <v/>
      </c>
      <c r="I837" s="5" t="str">
        <f t="shared" si="79"/>
        <v/>
      </c>
      <c r="J837" s="6">
        <f t="shared" si="80"/>
        <v>0</v>
      </c>
      <c r="K837" s="4" t="str">
        <f t="shared" si="81"/>
        <v/>
      </c>
      <c r="L837" s="4" t="str">
        <f t="shared" si="82"/>
        <v/>
      </c>
      <c r="M837" s="4" t="b" cm="1">
        <f t="array" ref="M837">IF(H837="",FALSE,SUMPRODUCT(--(H$1:H836=H837))&gt;0)</f>
        <v>0</v>
      </c>
      <c r="N837" s="36"/>
      <c r="P837" s="1" t="str">
        <f t="shared" si="83"/>
        <v/>
      </c>
    </row>
    <row r="838" spans="1:16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"&amp;L838,IF(AND(MAX(K$1:K837)&gt;0,N(K838)-MAX(K$1:K837)&gt;180),"⚠ Gap &gt; 3h",IF(_xlfn.LET(_xlpm.q,E838,_xlpm.tk,P838,_xlpm.ld,Log!$P$18,_xlpm.fx,IF(OR(_xlpm.ld="",_xlpm.ld="Full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"&amp;_xlpm.q,""))))&lt;&gt;"",IF(N838&lt;&gt;"","Load OK ✓ (checked)","⚠ "&amp;_xlfn.LET(_xlpm.q,E838,_xlpm.tk,P838,_xlpm.ld,Log!$P$18,_xlpm.fx,IF(OR(_xlpm.ld="",_xlpm.ld="Full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"&amp;_xlpm.q,""))))),IF(C838-I838&gt;=0.99,"next day",IF(C838-I838&gt;0.4,"12h → 24h","")))))))))))</f>
        <v/>
      </c>
      <c r="H838" s="4" t="str">
        <f t="shared" si="78"/>
        <v/>
      </c>
      <c r="I838" s="5" t="str">
        <f t="shared" si="79"/>
        <v/>
      </c>
      <c r="J838" s="6">
        <f t="shared" si="80"/>
        <v>0</v>
      </c>
      <c r="K838" s="4" t="str">
        <f t="shared" si="81"/>
        <v/>
      </c>
      <c r="L838" s="4" t="str">
        <f t="shared" si="82"/>
        <v/>
      </c>
      <c r="M838" s="4" t="b" cm="1">
        <f t="array" ref="M838">IF(H838="",FALSE,SUMPRODUCT(--(H$1:H837=H838))&gt;0)</f>
        <v>0</v>
      </c>
      <c r="N838" s="36"/>
      <c r="P838" s="1" t="str">
        <f t="shared" si="83"/>
        <v/>
      </c>
    </row>
    <row r="839" spans="1:16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"&amp;L839,IF(AND(MAX(K$1:K838)&gt;0,N(K839)-MAX(K$1:K838)&gt;180),"⚠ Gap &gt; 3h",IF(_xlfn.LET(_xlpm.q,E839,_xlpm.tk,P839,_xlpm.ld,Log!$P$18,_xlpm.fx,IF(OR(_xlpm.ld="",_xlpm.ld="Full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"&amp;_xlpm.q,""))))&lt;&gt;"",IF(N839&lt;&gt;"","Load OK ✓ (checked)","⚠ "&amp;_xlfn.LET(_xlpm.q,E839,_xlpm.tk,P839,_xlpm.ld,Log!$P$18,_xlpm.fx,IF(OR(_xlpm.ld="",_xlpm.ld="Full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"&amp;_xlpm.q,""))))),IF(C839-I839&gt;=0.99,"next day",IF(C839-I839&gt;0.4,"12h → 24h","")))))))))))</f>
        <v/>
      </c>
      <c r="H839" s="4" t="str">
        <f t="shared" si="78"/>
        <v/>
      </c>
      <c r="I839" s="5" t="str">
        <f t="shared" si="79"/>
        <v/>
      </c>
      <c r="J839" s="6">
        <f t="shared" si="80"/>
        <v>0</v>
      </c>
      <c r="K839" s="4" t="str">
        <f t="shared" si="81"/>
        <v/>
      </c>
      <c r="L839" s="4" t="str">
        <f t="shared" si="82"/>
        <v/>
      </c>
      <c r="M839" s="4" t="b" cm="1">
        <f t="array" ref="M839">IF(H839="",FALSE,SUMPRODUCT(--(H$1:H838=H839))&gt;0)</f>
        <v>0</v>
      </c>
      <c r="N839" s="36"/>
      <c r="P839" s="1" t="str">
        <f t="shared" si="83"/>
        <v/>
      </c>
    </row>
    <row r="840" spans="1:16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"&amp;L840,IF(AND(MAX(K$1:K839)&gt;0,N(K840)-MAX(K$1:K839)&gt;180),"⚠ Gap &gt; 3h",IF(_xlfn.LET(_xlpm.q,E840,_xlpm.tk,P840,_xlpm.ld,Log!$P$18,_xlpm.fx,IF(OR(_xlpm.ld="",_xlpm.ld="Full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"&amp;_xlpm.q,""))))&lt;&gt;"",IF(N840&lt;&gt;"","Load OK ✓ (checked)","⚠ "&amp;_xlfn.LET(_xlpm.q,E840,_xlpm.tk,P840,_xlpm.ld,Log!$P$18,_xlpm.fx,IF(OR(_xlpm.ld="",_xlpm.ld="Full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"&amp;_xlpm.q,""))))),IF(C840-I840&gt;=0.99,"next day",IF(C840-I840&gt;0.4,"12h → 24h","")))))))))))</f>
        <v/>
      </c>
      <c r="H840" s="4" t="str">
        <f t="shared" si="78"/>
        <v/>
      </c>
      <c r="I840" s="5" t="str">
        <f t="shared" si="79"/>
        <v/>
      </c>
      <c r="J840" s="6">
        <f t="shared" si="80"/>
        <v>0</v>
      </c>
      <c r="K840" s="4" t="str">
        <f t="shared" si="81"/>
        <v/>
      </c>
      <c r="L840" s="4" t="str">
        <f t="shared" si="82"/>
        <v/>
      </c>
      <c r="M840" s="4" t="b" cm="1">
        <f t="array" ref="M840">IF(H840="",FALSE,SUMPRODUCT(--(H$1:H839=H840))&gt;0)</f>
        <v>0</v>
      </c>
      <c r="N840" s="36"/>
      <c r="P840" s="1" t="str">
        <f t="shared" si="83"/>
        <v/>
      </c>
    </row>
    <row r="841" spans="1:16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"&amp;L841,IF(AND(MAX(K$1:K840)&gt;0,N(K841)-MAX(K$1:K840)&gt;180),"⚠ Gap &gt; 3h",IF(_xlfn.LET(_xlpm.q,E841,_xlpm.tk,P841,_xlpm.ld,Log!$P$18,_xlpm.fx,IF(OR(_xlpm.ld="",_xlpm.ld="Full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"&amp;_xlpm.q,""))))&lt;&gt;"",IF(N841&lt;&gt;"","Load OK ✓ (checked)","⚠ "&amp;_xlfn.LET(_xlpm.q,E841,_xlpm.tk,P841,_xlpm.ld,Log!$P$18,_xlpm.fx,IF(OR(_xlpm.ld="",_xlpm.ld="Full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"&amp;_xlpm.q,""))))),IF(C841-I841&gt;=0.99,"next day",IF(C841-I841&gt;0.4,"12h → 24h","")))))))))))</f>
        <v/>
      </c>
      <c r="H841" s="4" t="str">
        <f t="shared" si="78"/>
        <v/>
      </c>
      <c r="I841" s="5" t="str">
        <f t="shared" si="79"/>
        <v/>
      </c>
      <c r="J841" s="6">
        <f t="shared" si="80"/>
        <v>0</v>
      </c>
      <c r="K841" s="4" t="str">
        <f t="shared" si="81"/>
        <v/>
      </c>
      <c r="L841" s="4" t="str">
        <f t="shared" si="82"/>
        <v/>
      </c>
      <c r="M841" s="4" t="b" cm="1">
        <f t="array" ref="M841">IF(H841="",FALSE,SUMPRODUCT(--(H$1:H840=H841))&gt;0)</f>
        <v>0</v>
      </c>
      <c r="N841" s="36"/>
      <c r="P841" s="1" t="str">
        <f t="shared" si="83"/>
        <v/>
      </c>
    </row>
    <row r="842" spans="1:16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"&amp;L842,IF(AND(MAX(K$1:K841)&gt;0,N(K842)-MAX(K$1:K841)&gt;180),"⚠ Gap &gt; 3h",IF(_xlfn.LET(_xlpm.q,E842,_xlpm.tk,P842,_xlpm.ld,Log!$P$18,_xlpm.fx,IF(OR(_xlpm.ld="",_xlpm.ld="Full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"&amp;_xlpm.q,""))))&lt;&gt;"",IF(N842&lt;&gt;"","Load OK ✓ (checked)","⚠ "&amp;_xlfn.LET(_xlpm.q,E842,_xlpm.tk,P842,_xlpm.ld,Log!$P$18,_xlpm.fx,IF(OR(_xlpm.ld="",_xlpm.ld="Full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"&amp;_xlpm.q,""))))),IF(C842-I842&gt;=0.99,"next day",IF(C842-I842&gt;0.4,"12h → 24h","")))))))))))</f>
        <v/>
      </c>
      <c r="H842" s="4" t="str">
        <f t="shared" si="78"/>
        <v/>
      </c>
      <c r="I842" s="5" t="str">
        <f t="shared" si="79"/>
        <v/>
      </c>
      <c r="J842" s="6">
        <f t="shared" si="80"/>
        <v>0</v>
      </c>
      <c r="K842" s="4" t="str">
        <f t="shared" si="81"/>
        <v/>
      </c>
      <c r="L842" s="4" t="str">
        <f t="shared" si="82"/>
        <v/>
      </c>
      <c r="M842" s="4" t="b" cm="1">
        <f t="array" ref="M842">IF(H842="",FALSE,SUMPRODUCT(--(H$1:H841=H842))&gt;0)</f>
        <v>0</v>
      </c>
      <c r="N842" s="36"/>
      <c r="P842" s="1" t="str">
        <f t="shared" si="83"/>
        <v/>
      </c>
    </row>
    <row r="843" spans="1:16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"&amp;L843,IF(AND(MAX(K$1:K842)&gt;0,N(K843)-MAX(K$1:K842)&gt;180),"⚠ Gap &gt; 3h",IF(_xlfn.LET(_xlpm.q,E843,_xlpm.tk,P843,_xlpm.ld,Log!$P$18,_xlpm.fx,IF(OR(_xlpm.ld="",_xlpm.ld="Full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"&amp;_xlpm.q,""))))&lt;&gt;"",IF(N843&lt;&gt;"","Load OK ✓ (checked)","⚠ "&amp;_xlfn.LET(_xlpm.q,E843,_xlpm.tk,P843,_xlpm.ld,Log!$P$18,_xlpm.fx,IF(OR(_xlpm.ld="",_xlpm.ld="Full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"&amp;_xlpm.q,""))))),IF(C843-I843&gt;=0.99,"next day",IF(C843-I843&gt;0.4,"12h → 24h","")))))))))))</f>
        <v/>
      </c>
      <c r="H843" s="4" t="str">
        <f t="shared" si="78"/>
        <v/>
      </c>
      <c r="I843" s="5" t="str">
        <f t="shared" si="79"/>
        <v/>
      </c>
      <c r="J843" s="6">
        <f t="shared" si="80"/>
        <v>0</v>
      </c>
      <c r="K843" s="4" t="str">
        <f t="shared" si="81"/>
        <v/>
      </c>
      <c r="L843" s="4" t="str">
        <f t="shared" si="82"/>
        <v/>
      </c>
      <c r="M843" s="4" t="b" cm="1">
        <f t="array" ref="M843">IF(H843="",FALSE,SUMPRODUCT(--(H$1:H842=H843))&gt;0)</f>
        <v>0</v>
      </c>
      <c r="N843" s="36"/>
      <c r="P843" s="1" t="str">
        <f t="shared" si="83"/>
        <v/>
      </c>
    </row>
    <row r="844" spans="1:16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"&amp;L844,IF(AND(MAX(K$1:K843)&gt;0,N(K844)-MAX(K$1:K843)&gt;180),"⚠ Gap &gt; 3h",IF(_xlfn.LET(_xlpm.q,E844,_xlpm.tk,P844,_xlpm.ld,Log!$P$18,_xlpm.fx,IF(OR(_xlpm.ld="",_xlpm.ld="Full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"&amp;_xlpm.q,""))))&lt;&gt;"",IF(N844&lt;&gt;"","Load OK ✓ (checked)","⚠ "&amp;_xlfn.LET(_xlpm.q,E844,_xlpm.tk,P844,_xlpm.ld,Log!$P$18,_xlpm.fx,IF(OR(_xlpm.ld="",_xlpm.ld="Full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"&amp;_xlpm.q,""))))),IF(C844-I844&gt;=0.99,"next day",IF(C844-I844&gt;0.4,"12h → 24h","")))))))))))</f>
        <v/>
      </c>
      <c r="H844" s="4" t="str">
        <f t="shared" si="78"/>
        <v/>
      </c>
      <c r="I844" s="5" t="str">
        <f t="shared" si="79"/>
        <v/>
      </c>
      <c r="J844" s="6">
        <f t="shared" si="80"/>
        <v>0</v>
      </c>
      <c r="K844" s="4" t="str">
        <f t="shared" si="81"/>
        <v/>
      </c>
      <c r="L844" s="4" t="str">
        <f t="shared" si="82"/>
        <v/>
      </c>
      <c r="M844" s="4" t="b" cm="1">
        <f t="array" ref="M844">IF(H844="",FALSE,SUMPRODUCT(--(H$1:H843=H844))&gt;0)</f>
        <v>0</v>
      </c>
      <c r="N844" s="36"/>
      <c r="P844" s="1" t="str">
        <f t="shared" si="83"/>
        <v/>
      </c>
    </row>
    <row r="845" spans="1:16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"&amp;L845,IF(AND(MAX(K$1:K844)&gt;0,N(K845)-MAX(K$1:K844)&gt;180),"⚠ Gap &gt; 3h",IF(_xlfn.LET(_xlpm.q,E845,_xlpm.tk,P845,_xlpm.ld,Log!$P$18,_xlpm.fx,IF(OR(_xlpm.ld="",_xlpm.ld="Full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"&amp;_xlpm.q,""))))&lt;&gt;"",IF(N845&lt;&gt;"","Load OK ✓ (checked)","⚠ "&amp;_xlfn.LET(_xlpm.q,E845,_xlpm.tk,P845,_xlpm.ld,Log!$P$18,_xlpm.fx,IF(OR(_xlpm.ld="",_xlpm.ld="Full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"&amp;_xlpm.q,""))))),IF(C845-I845&gt;=0.99,"next day",IF(C845-I845&gt;0.4,"12h → 24h","")))))))))))</f>
        <v/>
      </c>
      <c r="H845" s="4" t="str">
        <f t="shared" si="78"/>
        <v/>
      </c>
      <c r="I845" s="5" t="str">
        <f t="shared" si="79"/>
        <v/>
      </c>
      <c r="J845" s="6">
        <f t="shared" si="80"/>
        <v>0</v>
      </c>
      <c r="K845" s="4" t="str">
        <f t="shared" si="81"/>
        <v/>
      </c>
      <c r="L845" s="4" t="str">
        <f t="shared" si="82"/>
        <v/>
      </c>
      <c r="M845" s="4" t="b" cm="1">
        <f t="array" ref="M845">IF(H845="",FALSE,SUMPRODUCT(--(H$1:H844=H845))&gt;0)</f>
        <v>0</v>
      </c>
      <c r="N845" s="36"/>
      <c r="P845" s="1" t="str">
        <f t="shared" si="83"/>
        <v/>
      </c>
    </row>
    <row r="846" spans="1:16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"&amp;L846,IF(AND(MAX(K$1:K845)&gt;0,N(K846)-MAX(K$1:K845)&gt;180),"⚠ Gap &gt; 3h",IF(_xlfn.LET(_xlpm.q,E846,_xlpm.tk,P846,_xlpm.ld,Log!$P$18,_xlpm.fx,IF(OR(_xlpm.ld="",_xlpm.ld="Full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"&amp;_xlpm.q,""))))&lt;&gt;"",IF(N846&lt;&gt;"","Load OK ✓ (checked)","⚠ "&amp;_xlfn.LET(_xlpm.q,E846,_xlpm.tk,P846,_xlpm.ld,Log!$P$18,_xlpm.fx,IF(OR(_xlpm.ld="",_xlpm.ld="Full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"&amp;_xlpm.q,""))))),IF(C846-I846&gt;=0.99,"next day",IF(C846-I846&gt;0.4,"12h → 24h","")))))))))))</f>
        <v/>
      </c>
      <c r="H846" s="4" t="str">
        <f t="shared" si="78"/>
        <v/>
      </c>
      <c r="I846" s="5" t="str">
        <f t="shared" si="79"/>
        <v/>
      </c>
      <c r="J846" s="6">
        <f t="shared" si="80"/>
        <v>0</v>
      </c>
      <c r="K846" s="4" t="str">
        <f t="shared" si="81"/>
        <v/>
      </c>
      <c r="L846" s="4" t="str">
        <f t="shared" si="82"/>
        <v/>
      </c>
      <c r="M846" s="4" t="b" cm="1">
        <f t="array" ref="M846">IF(H846="",FALSE,SUMPRODUCT(--(H$1:H845=H846))&gt;0)</f>
        <v>0</v>
      </c>
      <c r="N846" s="36"/>
      <c r="P846" s="1" t="str">
        <f t="shared" si="83"/>
        <v/>
      </c>
    </row>
    <row r="847" spans="1:16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"&amp;L847,IF(AND(MAX(K$1:K846)&gt;0,N(K847)-MAX(K$1:K846)&gt;180),"⚠ Gap &gt; 3h",IF(_xlfn.LET(_xlpm.q,E847,_xlpm.tk,P847,_xlpm.ld,Log!$P$18,_xlpm.fx,IF(OR(_xlpm.ld="",_xlpm.ld="Full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"&amp;_xlpm.q,""))))&lt;&gt;"",IF(N847&lt;&gt;"","Load OK ✓ (checked)","⚠ "&amp;_xlfn.LET(_xlpm.q,E847,_xlpm.tk,P847,_xlpm.ld,Log!$P$18,_xlpm.fx,IF(OR(_xlpm.ld="",_xlpm.ld="Full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"&amp;_xlpm.q,""))))),IF(C847-I847&gt;=0.99,"next day",IF(C847-I847&gt;0.4,"12h → 24h","")))))))))))</f>
        <v/>
      </c>
      <c r="H847" s="4" t="str">
        <f t="shared" si="78"/>
        <v/>
      </c>
      <c r="I847" s="5" t="str">
        <f t="shared" si="79"/>
        <v/>
      </c>
      <c r="J847" s="6">
        <f t="shared" si="80"/>
        <v>0</v>
      </c>
      <c r="K847" s="4" t="str">
        <f t="shared" si="81"/>
        <v/>
      </c>
      <c r="L847" s="4" t="str">
        <f t="shared" si="82"/>
        <v/>
      </c>
      <c r="M847" s="4" t="b" cm="1">
        <f t="array" ref="M847">IF(H847="",FALSE,SUMPRODUCT(--(H$1:H846=H847))&gt;0)</f>
        <v>0</v>
      </c>
      <c r="N847" s="36"/>
      <c r="P847" s="1" t="str">
        <f t="shared" si="83"/>
        <v/>
      </c>
    </row>
    <row r="848" spans="1:16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"&amp;L848,IF(AND(MAX(K$1:K847)&gt;0,N(K848)-MAX(K$1:K847)&gt;180),"⚠ Gap &gt; 3h",IF(_xlfn.LET(_xlpm.q,E848,_xlpm.tk,P848,_xlpm.ld,Log!$P$18,_xlpm.fx,IF(OR(_xlpm.ld="",_xlpm.ld="Full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"&amp;_xlpm.q,""))))&lt;&gt;"",IF(N848&lt;&gt;"","Load OK ✓ (checked)","⚠ "&amp;_xlfn.LET(_xlpm.q,E848,_xlpm.tk,P848,_xlpm.ld,Log!$P$18,_xlpm.fx,IF(OR(_xlpm.ld="",_xlpm.ld="Full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"&amp;_xlpm.q,""))))),IF(C848-I848&gt;=0.99,"next day",IF(C848-I848&gt;0.4,"12h → 24h","")))))))))))</f>
        <v/>
      </c>
      <c r="H848" s="4" t="str">
        <f t="shared" si="78"/>
        <v/>
      </c>
      <c r="I848" s="5" t="str">
        <f t="shared" si="79"/>
        <v/>
      </c>
      <c r="J848" s="6">
        <f t="shared" si="80"/>
        <v>0</v>
      </c>
      <c r="K848" s="4" t="str">
        <f t="shared" si="81"/>
        <v/>
      </c>
      <c r="L848" s="4" t="str">
        <f t="shared" si="82"/>
        <v/>
      </c>
      <c r="M848" s="4" t="b" cm="1">
        <f t="array" ref="M848">IF(H848="",FALSE,SUMPRODUCT(--(H$1:H847=H848))&gt;0)</f>
        <v>0</v>
      </c>
      <c r="N848" s="36"/>
      <c r="P848" s="1" t="str">
        <f t="shared" si="83"/>
        <v/>
      </c>
    </row>
    <row r="849" spans="1:16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"&amp;L849,IF(AND(MAX(K$1:K848)&gt;0,N(K849)-MAX(K$1:K848)&gt;180),"⚠ Gap &gt; 3h",IF(_xlfn.LET(_xlpm.q,E849,_xlpm.tk,P849,_xlpm.ld,Log!$P$18,_xlpm.fx,IF(OR(_xlpm.ld="",_xlpm.ld="Full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"&amp;_xlpm.q,""))))&lt;&gt;"",IF(N849&lt;&gt;"","Load OK ✓ (checked)","⚠ "&amp;_xlfn.LET(_xlpm.q,E849,_xlpm.tk,P849,_xlpm.ld,Log!$P$18,_xlpm.fx,IF(OR(_xlpm.ld="",_xlpm.ld="Full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"&amp;_xlpm.q,""))))),IF(C849-I849&gt;=0.99,"next day",IF(C849-I849&gt;0.4,"12h → 24h","")))))))))))</f>
        <v/>
      </c>
      <c r="H849" s="4" t="str">
        <f t="shared" si="78"/>
        <v/>
      </c>
      <c r="I849" s="5" t="str">
        <f t="shared" si="79"/>
        <v/>
      </c>
      <c r="J849" s="6">
        <f t="shared" si="80"/>
        <v>0</v>
      </c>
      <c r="K849" s="4" t="str">
        <f t="shared" si="81"/>
        <v/>
      </c>
      <c r="L849" s="4" t="str">
        <f t="shared" si="82"/>
        <v/>
      </c>
      <c r="M849" s="4" t="b" cm="1">
        <f t="array" ref="M849">IF(H849="",FALSE,SUMPRODUCT(--(H$1:H848=H849))&gt;0)</f>
        <v>0</v>
      </c>
      <c r="N849" s="36"/>
      <c r="P849" s="1" t="str">
        <f t="shared" si="83"/>
        <v/>
      </c>
    </row>
    <row r="850" spans="1:16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"&amp;L850,IF(AND(MAX(K$1:K849)&gt;0,N(K850)-MAX(K$1:K849)&gt;180),"⚠ Gap &gt; 3h",IF(_xlfn.LET(_xlpm.q,E850,_xlpm.tk,P850,_xlpm.ld,Log!$P$18,_xlpm.fx,IF(OR(_xlpm.ld="",_xlpm.ld="Full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"&amp;_xlpm.q,""))))&lt;&gt;"",IF(N850&lt;&gt;"","Load OK ✓ (checked)","⚠ "&amp;_xlfn.LET(_xlpm.q,E850,_xlpm.tk,P850,_xlpm.ld,Log!$P$18,_xlpm.fx,IF(OR(_xlpm.ld="",_xlpm.ld="Full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"&amp;_xlpm.q,""))))),IF(C850-I850&gt;=0.99,"next day",IF(C850-I850&gt;0.4,"12h → 24h","")))))))))))</f>
        <v/>
      </c>
      <c r="H850" s="4" t="str">
        <f t="shared" si="78"/>
        <v/>
      </c>
      <c r="I850" s="5" t="str">
        <f t="shared" si="79"/>
        <v/>
      </c>
      <c r="J850" s="6">
        <f t="shared" si="80"/>
        <v>0</v>
      </c>
      <c r="K850" s="4" t="str">
        <f t="shared" si="81"/>
        <v/>
      </c>
      <c r="L850" s="4" t="str">
        <f t="shared" si="82"/>
        <v/>
      </c>
      <c r="M850" s="4" t="b" cm="1">
        <f t="array" ref="M850">IF(H850="",FALSE,SUMPRODUCT(--(H$1:H849=H850))&gt;0)</f>
        <v>0</v>
      </c>
      <c r="N850" s="36"/>
      <c r="P850" s="1" t="str">
        <f t="shared" si="83"/>
        <v/>
      </c>
    </row>
    <row r="851" spans="1:16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"&amp;L851,IF(AND(MAX(K$1:K850)&gt;0,N(K851)-MAX(K$1:K850)&gt;180),"⚠ Gap &gt; 3h",IF(_xlfn.LET(_xlpm.q,E851,_xlpm.tk,P851,_xlpm.ld,Log!$P$18,_xlpm.fx,IF(OR(_xlpm.ld="",_xlpm.ld="Full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"&amp;_xlpm.q,""))))&lt;&gt;"",IF(N851&lt;&gt;"","Load OK ✓ (checked)","⚠ "&amp;_xlfn.LET(_xlpm.q,E851,_xlpm.tk,P851,_xlpm.ld,Log!$P$18,_xlpm.fx,IF(OR(_xlpm.ld="",_xlpm.ld="Full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"&amp;_xlpm.q,""))))),IF(C851-I851&gt;=0.99,"next day",IF(C851-I851&gt;0.4,"12h → 24h","")))))))))))</f>
        <v/>
      </c>
      <c r="H851" s="4" t="str">
        <f t="shared" si="78"/>
        <v/>
      </c>
      <c r="I851" s="5" t="str">
        <f t="shared" si="79"/>
        <v/>
      </c>
      <c r="J851" s="6">
        <f t="shared" si="80"/>
        <v>0</v>
      </c>
      <c r="K851" s="4" t="str">
        <f t="shared" si="81"/>
        <v/>
      </c>
      <c r="L851" s="4" t="str">
        <f t="shared" si="82"/>
        <v/>
      </c>
      <c r="M851" s="4" t="b" cm="1">
        <f t="array" ref="M851">IF(H851="",FALSE,SUMPRODUCT(--(H$1:H850=H851))&gt;0)</f>
        <v>0</v>
      </c>
      <c r="N851" s="36"/>
      <c r="P851" s="1" t="str">
        <f t="shared" si="83"/>
        <v/>
      </c>
    </row>
    <row r="852" spans="1:16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"&amp;L852,IF(AND(MAX(K$1:K851)&gt;0,N(K852)-MAX(K$1:K851)&gt;180),"⚠ Gap &gt; 3h",IF(_xlfn.LET(_xlpm.q,E852,_xlpm.tk,P852,_xlpm.ld,Log!$P$18,_xlpm.fx,IF(OR(_xlpm.ld="",_xlpm.ld="Full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"&amp;_xlpm.q,""))))&lt;&gt;"",IF(N852&lt;&gt;"","Load OK ✓ (checked)","⚠ "&amp;_xlfn.LET(_xlpm.q,E852,_xlpm.tk,P852,_xlpm.ld,Log!$P$18,_xlpm.fx,IF(OR(_xlpm.ld="",_xlpm.ld="Full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"&amp;_xlpm.q,""))))),IF(C852-I852&gt;=0.99,"next day",IF(C852-I852&gt;0.4,"12h → 24h","")))))))))))</f>
        <v/>
      </c>
      <c r="H852" s="4" t="str">
        <f t="shared" si="78"/>
        <v/>
      </c>
      <c r="I852" s="5" t="str">
        <f t="shared" si="79"/>
        <v/>
      </c>
      <c r="J852" s="6">
        <f t="shared" si="80"/>
        <v>0</v>
      </c>
      <c r="K852" s="4" t="str">
        <f t="shared" si="81"/>
        <v/>
      </c>
      <c r="L852" s="4" t="str">
        <f t="shared" si="82"/>
        <v/>
      </c>
      <c r="M852" s="4" t="b" cm="1">
        <f t="array" ref="M852">IF(H852="",FALSE,SUMPRODUCT(--(H$1:H851=H852))&gt;0)</f>
        <v>0</v>
      </c>
      <c r="N852" s="36"/>
      <c r="P852" s="1" t="str">
        <f t="shared" si="83"/>
        <v/>
      </c>
    </row>
    <row r="853" spans="1:16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"&amp;L853,IF(AND(MAX(K$1:K852)&gt;0,N(K853)-MAX(K$1:K852)&gt;180),"⚠ Gap &gt; 3h",IF(_xlfn.LET(_xlpm.q,E853,_xlpm.tk,P853,_xlpm.ld,Log!$P$18,_xlpm.fx,IF(OR(_xlpm.ld="",_xlpm.ld="Full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"&amp;_xlpm.q,""))))&lt;&gt;"",IF(N853&lt;&gt;"","Load OK ✓ (checked)","⚠ "&amp;_xlfn.LET(_xlpm.q,E853,_xlpm.tk,P853,_xlpm.ld,Log!$P$18,_xlpm.fx,IF(OR(_xlpm.ld="",_xlpm.ld="Full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"&amp;_xlpm.q,""))))),IF(C853-I853&gt;=0.99,"next day",IF(C853-I853&gt;0.4,"12h → 24h","")))))))))))</f>
        <v/>
      </c>
      <c r="H853" s="4" t="str">
        <f t="shared" si="78"/>
        <v/>
      </c>
      <c r="I853" s="5" t="str">
        <f t="shared" si="79"/>
        <v/>
      </c>
      <c r="J853" s="6">
        <f t="shared" si="80"/>
        <v>0</v>
      </c>
      <c r="K853" s="4" t="str">
        <f t="shared" si="81"/>
        <v/>
      </c>
      <c r="L853" s="4" t="str">
        <f t="shared" si="82"/>
        <v/>
      </c>
      <c r="M853" s="4" t="b" cm="1">
        <f t="array" ref="M853">IF(H853="",FALSE,SUMPRODUCT(--(H$1:H852=H853))&gt;0)</f>
        <v>0</v>
      </c>
      <c r="N853" s="36"/>
      <c r="P853" s="1" t="str">
        <f t="shared" si="83"/>
        <v/>
      </c>
    </row>
    <row r="854" spans="1:16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"&amp;L854,IF(AND(MAX(K$1:K853)&gt;0,N(K854)-MAX(K$1:K853)&gt;180),"⚠ Gap &gt; 3h",IF(_xlfn.LET(_xlpm.q,E854,_xlpm.tk,P854,_xlpm.ld,Log!$P$18,_xlpm.fx,IF(OR(_xlpm.ld="",_xlpm.ld="Full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"&amp;_xlpm.q,""))))&lt;&gt;"",IF(N854&lt;&gt;"","Load OK ✓ (checked)","⚠ "&amp;_xlfn.LET(_xlpm.q,E854,_xlpm.tk,P854,_xlpm.ld,Log!$P$18,_xlpm.fx,IF(OR(_xlpm.ld="",_xlpm.ld="Full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"&amp;_xlpm.q,""))))),IF(C854-I854&gt;=0.99,"next day",IF(C854-I854&gt;0.4,"12h → 24h","")))))))))))</f>
        <v/>
      </c>
      <c r="H854" s="4" t="str">
        <f t="shared" si="78"/>
        <v/>
      </c>
      <c r="I854" s="5" t="str">
        <f t="shared" si="79"/>
        <v/>
      </c>
      <c r="J854" s="6">
        <f t="shared" si="80"/>
        <v>0</v>
      </c>
      <c r="K854" s="4" t="str">
        <f t="shared" si="81"/>
        <v/>
      </c>
      <c r="L854" s="4" t="str">
        <f t="shared" si="82"/>
        <v/>
      </c>
      <c r="M854" s="4" t="b" cm="1">
        <f t="array" ref="M854">IF(H854="",FALSE,SUMPRODUCT(--(H$1:H853=H854))&gt;0)</f>
        <v>0</v>
      </c>
      <c r="N854" s="36"/>
      <c r="P854" s="1" t="str">
        <f t="shared" si="83"/>
        <v/>
      </c>
    </row>
    <row r="855" spans="1:16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"&amp;L855,IF(AND(MAX(K$1:K854)&gt;0,N(K855)-MAX(K$1:K854)&gt;180),"⚠ Gap &gt; 3h",IF(_xlfn.LET(_xlpm.q,E855,_xlpm.tk,P855,_xlpm.ld,Log!$P$18,_xlpm.fx,IF(OR(_xlpm.ld="",_xlpm.ld="Full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"&amp;_xlpm.q,""))))&lt;&gt;"",IF(N855&lt;&gt;"","Load OK ✓ (checked)","⚠ "&amp;_xlfn.LET(_xlpm.q,E855,_xlpm.tk,P855,_xlpm.ld,Log!$P$18,_xlpm.fx,IF(OR(_xlpm.ld="",_xlpm.ld="Full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"&amp;_xlpm.q,""))))),IF(C855-I855&gt;=0.99,"next day",IF(C855-I855&gt;0.4,"12h → 24h","")))))))))))</f>
        <v/>
      </c>
      <c r="H855" s="4" t="str">
        <f t="shared" si="78"/>
        <v/>
      </c>
      <c r="I855" s="5" t="str">
        <f t="shared" si="79"/>
        <v/>
      </c>
      <c r="J855" s="6">
        <f t="shared" si="80"/>
        <v>0</v>
      </c>
      <c r="K855" s="4" t="str">
        <f t="shared" si="81"/>
        <v/>
      </c>
      <c r="L855" s="4" t="str">
        <f t="shared" si="82"/>
        <v/>
      </c>
      <c r="M855" s="4" t="b" cm="1">
        <f t="array" ref="M855">IF(H855="",FALSE,SUMPRODUCT(--(H$1:H854=H855))&gt;0)</f>
        <v>0</v>
      </c>
      <c r="N855" s="36"/>
      <c r="P855" s="1" t="str">
        <f t="shared" si="83"/>
        <v/>
      </c>
    </row>
    <row r="856" spans="1:16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"&amp;L856,IF(AND(MAX(K$1:K855)&gt;0,N(K856)-MAX(K$1:K855)&gt;180),"⚠ Gap &gt; 3h",IF(_xlfn.LET(_xlpm.q,E856,_xlpm.tk,P856,_xlpm.ld,Log!$P$18,_xlpm.fx,IF(OR(_xlpm.ld="",_xlpm.ld="Full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"&amp;_xlpm.q,""))))&lt;&gt;"",IF(N856&lt;&gt;"","Load OK ✓ (checked)","⚠ "&amp;_xlfn.LET(_xlpm.q,E856,_xlpm.tk,P856,_xlpm.ld,Log!$P$18,_xlpm.fx,IF(OR(_xlpm.ld="",_xlpm.ld="Full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"&amp;_xlpm.q,""))))),IF(C856-I856&gt;=0.99,"next day",IF(C856-I856&gt;0.4,"12h → 24h","")))))))))))</f>
        <v/>
      </c>
      <c r="H856" s="4" t="str">
        <f t="shared" si="78"/>
        <v/>
      </c>
      <c r="I856" s="5" t="str">
        <f t="shared" si="79"/>
        <v/>
      </c>
      <c r="J856" s="6">
        <f t="shared" si="80"/>
        <v>0</v>
      </c>
      <c r="K856" s="4" t="str">
        <f t="shared" si="81"/>
        <v/>
      </c>
      <c r="L856" s="4" t="str">
        <f t="shared" si="82"/>
        <v/>
      </c>
      <c r="M856" s="4" t="b" cm="1">
        <f t="array" ref="M856">IF(H856="",FALSE,SUMPRODUCT(--(H$1:H855=H856))&gt;0)</f>
        <v>0</v>
      </c>
      <c r="N856" s="36"/>
      <c r="P856" s="1" t="str">
        <f t="shared" si="83"/>
        <v/>
      </c>
    </row>
    <row r="857" spans="1:16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"&amp;L857,IF(AND(MAX(K$1:K856)&gt;0,N(K857)-MAX(K$1:K856)&gt;180),"⚠ Gap &gt; 3h",IF(_xlfn.LET(_xlpm.q,E857,_xlpm.tk,P857,_xlpm.ld,Log!$P$18,_xlpm.fx,IF(OR(_xlpm.ld="",_xlpm.ld="Full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"&amp;_xlpm.q,""))))&lt;&gt;"",IF(N857&lt;&gt;"","Load OK ✓ (checked)","⚠ "&amp;_xlfn.LET(_xlpm.q,E857,_xlpm.tk,P857,_xlpm.ld,Log!$P$18,_xlpm.fx,IF(OR(_xlpm.ld="",_xlpm.ld="Full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"&amp;_xlpm.q,""))))),IF(C857-I857&gt;=0.99,"next day",IF(C857-I857&gt;0.4,"12h → 24h","")))))))))))</f>
        <v/>
      </c>
      <c r="H857" s="4" t="str">
        <f t="shared" si="78"/>
        <v/>
      </c>
      <c r="I857" s="5" t="str">
        <f t="shared" si="79"/>
        <v/>
      </c>
      <c r="J857" s="6">
        <f t="shared" si="80"/>
        <v>0</v>
      </c>
      <c r="K857" s="4" t="str">
        <f t="shared" si="81"/>
        <v/>
      </c>
      <c r="L857" s="4" t="str">
        <f t="shared" si="82"/>
        <v/>
      </c>
      <c r="M857" s="4" t="b" cm="1">
        <f t="array" ref="M857">IF(H857="",FALSE,SUMPRODUCT(--(H$1:H856=H857))&gt;0)</f>
        <v>0</v>
      </c>
      <c r="N857" s="36"/>
      <c r="P857" s="1" t="str">
        <f t="shared" si="83"/>
        <v/>
      </c>
    </row>
    <row r="858" spans="1:16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"&amp;L858,IF(AND(MAX(K$1:K857)&gt;0,N(K858)-MAX(K$1:K857)&gt;180),"⚠ Gap &gt; 3h",IF(_xlfn.LET(_xlpm.q,E858,_xlpm.tk,P858,_xlpm.ld,Log!$P$18,_xlpm.fx,IF(OR(_xlpm.ld="",_xlpm.ld="Full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"&amp;_xlpm.q,""))))&lt;&gt;"",IF(N858&lt;&gt;"","Load OK ✓ (checked)","⚠ "&amp;_xlfn.LET(_xlpm.q,E858,_xlpm.tk,P858,_xlpm.ld,Log!$P$18,_xlpm.fx,IF(OR(_xlpm.ld="",_xlpm.ld="Full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"&amp;_xlpm.q,""))))),IF(C858-I858&gt;=0.99,"next day",IF(C858-I858&gt;0.4,"12h → 24h","")))))))))))</f>
        <v/>
      </c>
      <c r="H858" s="4" t="str">
        <f t="shared" si="78"/>
        <v/>
      </c>
      <c r="I858" s="5" t="str">
        <f t="shared" si="79"/>
        <v/>
      </c>
      <c r="J858" s="6">
        <f t="shared" si="80"/>
        <v>0</v>
      </c>
      <c r="K858" s="4" t="str">
        <f t="shared" si="81"/>
        <v/>
      </c>
      <c r="L858" s="4" t="str">
        <f t="shared" si="82"/>
        <v/>
      </c>
      <c r="M858" s="4" t="b" cm="1">
        <f t="array" ref="M858">IF(H858="",FALSE,SUMPRODUCT(--(H$1:H857=H858))&gt;0)</f>
        <v>0</v>
      </c>
      <c r="N858" s="36"/>
      <c r="P858" s="1" t="str">
        <f t="shared" si="83"/>
        <v/>
      </c>
    </row>
    <row r="859" spans="1:16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"&amp;L859,IF(AND(MAX(K$1:K858)&gt;0,N(K859)-MAX(K$1:K858)&gt;180),"⚠ Gap &gt; 3h",IF(_xlfn.LET(_xlpm.q,E859,_xlpm.tk,P859,_xlpm.ld,Log!$P$18,_xlpm.fx,IF(OR(_xlpm.ld="",_xlpm.ld="Full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"&amp;_xlpm.q,""))))&lt;&gt;"",IF(N859&lt;&gt;"","Load OK ✓ (checked)","⚠ "&amp;_xlfn.LET(_xlpm.q,E859,_xlpm.tk,P859,_xlpm.ld,Log!$P$18,_xlpm.fx,IF(OR(_xlpm.ld="",_xlpm.ld="Full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"&amp;_xlpm.q,""))))),IF(C859-I859&gt;=0.99,"next day",IF(C859-I859&gt;0.4,"12h → 24h","")))))))))))</f>
        <v/>
      </c>
      <c r="H859" s="4" t="str">
        <f t="shared" si="78"/>
        <v/>
      </c>
      <c r="I859" s="5" t="str">
        <f t="shared" si="79"/>
        <v/>
      </c>
      <c r="J859" s="6">
        <f t="shared" si="80"/>
        <v>0</v>
      </c>
      <c r="K859" s="4" t="str">
        <f t="shared" si="81"/>
        <v/>
      </c>
      <c r="L859" s="4" t="str">
        <f t="shared" si="82"/>
        <v/>
      </c>
      <c r="M859" s="4" t="b" cm="1">
        <f t="array" ref="M859">IF(H859="",FALSE,SUMPRODUCT(--(H$1:H858=H859))&gt;0)</f>
        <v>0</v>
      </c>
      <c r="N859" s="36"/>
      <c r="P859" s="1" t="str">
        <f t="shared" si="83"/>
        <v/>
      </c>
    </row>
    <row r="860" spans="1:16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"&amp;L860,IF(AND(MAX(K$1:K859)&gt;0,N(K860)-MAX(K$1:K859)&gt;180),"⚠ Gap &gt; 3h",IF(_xlfn.LET(_xlpm.q,E860,_xlpm.tk,P860,_xlpm.ld,Log!$P$18,_xlpm.fx,IF(OR(_xlpm.ld="",_xlpm.ld="Full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"&amp;_xlpm.q,""))))&lt;&gt;"",IF(N860&lt;&gt;"","Load OK ✓ (checked)","⚠ "&amp;_xlfn.LET(_xlpm.q,E860,_xlpm.tk,P860,_xlpm.ld,Log!$P$18,_xlpm.fx,IF(OR(_xlpm.ld="",_xlpm.ld="Full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"&amp;_xlpm.q,""))))),IF(C860-I860&gt;=0.99,"next day",IF(C860-I860&gt;0.4,"12h → 24h","")))))))))))</f>
        <v/>
      </c>
      <c r="H860" s="4" t="str">
        <f t="shared" si="78"/>
        <v/>
      </c>
      <c r="I860" s="5" t="str">
        <f t="shared" si="79"/>
        <v/>
      </c>
      <c r="J860" s="6">
        <f t="shared" si="80"/>
        <v>0</v>
      </c>
      <c r="K860" s="4" t="str">
        <f t="shared" si="81"/>
        <v/>
      </c>
      <c r="L860" s="4" t="str">
        <f t="shared" si="82"/>
        <v/>
      </c>
      <c r="M860" s="4" t="b" cm="1">
        <f t="array" ref="M860">IF(H860="",FALSE,SUMPRODUCT(--(H$1:H859=H860))&gt;0)</f>
        <v>0</v>
      </c>
      <c r="N860" s="36"/>
      <c r="P860" s="1" t="str">
        <f t="shared" si="83"/>
        <v/>
      </c>
    </row>
    <row r="861" spans="1:16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"&amp;L861,IF(AND(MAX(K$1:K860)&gt;0,N(K861)-MAX(K$1:K860)&gt;180),"⚠ Gap &gt; 3h",IF(_xlfn.LET(_xlpm.q,E861,_xlpm.tk,P861,_xlpm.ld,Log!$P$18,_xlpm.fx,IF(OR(_xlpm.ld="",_xlpm.ld="Full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"&amp;_xlpm.q,""))))&lt;&gt;"",IF(N861&lt;&gt;"","Load OK ✓ (checked)","⚠ "&amp;_xlfn.LET(_xlpm.q,E861,_xlpm.tk,P861,_xlpm.ld,Log!$P$18,_xlpm.fx,IF(OR(_xlpm.ld="",_xlpm.ld="Full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"&amp;_xlpm.q,""))))),IF(C861-I861&gt;=0.99,"next day",IF(C861-I861&gt;0.4,"12h → 24h","")))))))))))</f>
        <v/>
      </c>
      <c r="H861" s="4" t="str">
        <f t="shared" si="78"/>
        <v/>
      </c>
      <c r="I861" s="5" t="str">
        <f t="shared" si="79"/>
        <v/>
      </c>
      <c r="J861" s="6">
        <f t="shared" si="80"/>
        <v>0</v>
      </c>
      <c r="K861" s="4" t="str">
        <f t="shared" si="81"/>
        <v/>
      </c>
      <c r="L861" s="4" t="str">
        <f t="shared" si="82"/>
        <v/>
      </c>
      <c r="M861" s="4" t="b" cm="1">
        <f t="array" ref="M861">IF(H861="",FALSE,SUMPRODUCT(--(H$1:H860=H861))&gt;0)</f>
        <v>0</v>
      </c>
      <c r="N861" s="36"/>
      <c r="P861" s="1" t="str">
        <f t="shared" si="83"/>
        <v/>
      </c>
    </row>
    <row r="862" spans="1:16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"&amp;L862,IF(AND(MAX(K$1:K861)&gt;0,N(K862)-MAX(K$1:K861)&gt;180),"⚠ Gap &gt; 3h",IF(_xlfn.LET(_xlpm.q,E862,_xlpm.tk,P862,_xlpm.ld,Log!$P$18,_xlpm.fx,IF(OR(_xlpm.ld="",_xlpm.ld="Full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"&amp;_xlpm.q,""))))&lt;&gt;"",IF(N862&lt;&gt;"","Load OK ✓ (checked)","⚠ "&amp;_xlfn.LET(_xlpm.q,E862,_xlpm.tk,P862,_xlpm.ld,Log!$P$18,_xlpm.fx,IF(OR(_xlpm.ld="",_xlpm.ld="Full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"&amp;_xlpm.q,""))))),IF(C862-I862&gt;=0.99,"next day",IF(C862-I862&gt;0.4,"12h → 24h","")))))))))))</f>
        <v/>
      </c>
      <c r="H862" s="4" t="str">
        <f t="shared" si="78"/>
        <v/>
      </c>
      <c r="I862" s="5" t="str">
        <f t="shared" si="79"/>
        <v/>
      </c>
      <c r="J862" s="6">
        <f t="shared" si="80"/>
        <v>0</v>
      </c>
      <c r="K862" s="4" t="str">
        <f t="shared" si="81"/>
        <v/>
      </c>
      <c r="L862" s="4" t="str">
        <f t="shared" si="82"/>
        <v/>
      </c>
      <c r="M862" s="4" t="b" cm="1">
        <f t="array" ref="M862">IF(H862="",FALSE,SUMPRODUCT(--(H$1:H861=H862))&gt;0)</f>
        <v>0</v>
      </c>
      <c r="N862" s="36"/>
      <c r="P862" s="1" t="str">
        <f t="shared" si="83"/>
        <v/>
      </c>
    </row>
    <row r="863" spans="1:16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"&amp;L863,IF(AND(MAX(K$1:K862)&gt;0,N(K863)-MAX(K$1:K862)&gt;180),"⚠ Gap &gt; 3h",IF(_xlfn.LET(_xlpm.q,E863,_xlpm.tk,P863,_xlpm.ld,Log!$P$18,_xlpm.fx,IF(OR(_xlpm.ld="",_xlpm.ld="Full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"&amp;_xlpm.q,""))))&lt;&gt;"",IF(N863&lt;&gt;"","Load OK ✓ (checked)","⚠ "&amp;_xlfn.LET(_xlpm.q,E863,_xlpm.tk,P863,_xlpm.ld,Log!$P$18,_xlpm.fx,IF(OR(_xlpm.ld="",_xlpm.ld="Full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"&amp;_xlpm.q,""))))),IF(C863-I863&gt;=0.99,"next day",IF(C863-I863&gt;0.4,"12h → 24h","")))))))))))</f>
        <v/>
      </c>
      <c r="H863" s="4" t="str">
        <f t="shared" si="78"/>
        <v/>
      </c>
      <c r="I863" s="5" t="str">
        <f t="shared" si="79"/>
        <v/>
      </c>
      <c r="J863" s="6">
        <f t="shared" si="80"/>
        <v>0</v>
      </c>
      <c r="K863" s="4" t="str">
        <f t="shared" si="81"/>
        <v/>
      </c>
      <c r="L863" s="4" t="str">
        <f t="shared" si="82"/>
        <v/>
      </c>
      <c r="M863" s="4" t="b" cm="1">
        <f t="array" ref="M863">IF(H863="",FALSE,SUMPRODUCT(--(H$1:H862=H863))&gt;0)</f>
        <v>0</v>
      </c>
      <c r="N863" s="36"/>
      <c r="P863" s="1" t="str">
        <f t="shared" si="83"/>
        <v/>
      </c>
    </row>
    <row r="864" spans="1:16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"&amp;L864,IF(AND(MAX(K$1:K863)&gt;0,N(K864)-MAX(K$1:K863)&gt;180),"⚠ Gap &gt; 3h",IF(_xlfn.LET(_xlpm.q,E864,_xlpm.tk,P864,_xlpm.ld,Log!$P$18,_xlpm.fx,IF(OR(_xlpm.ld="",_xlpm.ld="Full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"&amp;_xlpm.q,""))))&lt;&gt;"",IF(N864&lt;&gt;"","Load OK ✓ (checked)","⚠ "&amp;_xlfn.LET(_xlpm.q,E864,_xlpm.tk,P864,_xlpm.ld,Log!$P$18,_xlpm.fx,IF(OR(_xlpm.ld="",_xlpm.ld="Full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"&amp;_xlpm.q,""))))),IF(C864-I864&gt;=0.99,"next day",IF(C864-I864&gt;0.4,"12h → 24h","")))))))))))</f>
        <v/>
      </c>
      <c r="H864" s="4" t="str">
        <f t="shared" si="78"/>
        <v/>
      </c>
      <c r="I864" s="5" t="str">
        <f t="shared" si="79"/>
        <v/>
      </c>
      <c r="J864" s="6">
        <f t="shared" si="80"/>
        <v>0</v>
      </c>
      <c r="K864" s="4" t="str">
        <f t="shared" si="81"/>
        <v/>
      </c>
      <c r="L864" s="4" t="str">
        <f t="shared" si="82"/>
        <v/>
      </c>
      <c r="M864" s="4" t="b" cm="1">
        <f t="array" ref="M864">IF(H864="",FALSE,SUMPRODUCT(--(H$1:H863=H864))&gt;0)</f>
        <v>0</v>
      </c>
      <c r="N864" s="36"/>
      <c r="P864" s="1" t="str">
        <f t="shared" si="83"/>
        <v/>
      </c>
    </row>
    <row r="865" spans="1:16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"&amp;L865,IF(AND(MAX(K$1:K864)&gt;0,N(K865)-MAX(K$1:K864)&gt;180),"⚠ Gap &gt; 3h",IF(_xlfn.LET(_xlpm.q,E865,_xlpm.tk,P865,_xlpm.ld,Log!$P$18,_xlpm.fx,IF(OR(_xlpm.ld="",_xlpm.ld="Full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"&amp;_xlpm.q,""))))&lt;&gt;"",IF(N865&lt;&gt;"","Load OK ✓ (checked)","⚠ "&amp;_xlfn.LET(_xlpm.q,E865,_xlpm.tk,P865,_xlpm.ld,Log!$P$18,_xlpm.fx,IF(OR(_xlpm.ld="",_xlpm.ld="Full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"&amp;_xlpm.q,""))))),IF(C865-I865&gt;=0.99,"next day",IF(C865-I865&gt;0.4,"12h → 24h","")))))))))))</f>
        <v/>
      </c>
      <c r="H865" s="4" t="str">
        <f t="shared" si="78"/>
        <v/>
      </c>
      <c r="I865" s="5" t="str">
        <f t="shared" si="79"/>
        <v/>
      </c>
      <c r="J865" s="6">
        <f t="shared" si="80"/>
        <v>0</v>
      </c>
      <c r="K865" s="4" t="str">
        <f t="shared" si="81"/>
        <v/>
      </c>
      <c r="L865" s="4" t="str">
        <f t="shared" si="82"/>
        <v/>
      </c>
      <c r="M865" s="4" t="b" cm="1">
        <f t="array" ref="M865">IF(H865="",FALSE,SUMPRODUCT(--(H$1:H864=H865))&gt;0)</f>
        <v>0</v>
      </c>
      <c r="N865" s="36"/>
      <c r="P865" s="1" t="str">
        <f t="shared" si="83"/>
        <v/>
      </c>
    </row>
    <row r="866" spans="1:16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"&amp;L866,IF(AND(MAX(K$1:K865)&gt;0,N(K866)-MAX(K$1:K865)&gt;180),"⚠ Gap &gt; 3h",IF(_xlfn.LET(_xlpm.q,E866,_xlpm.tk,P866,_xlpm.ld,Log!$P$18,_xlpm.fx,IF(OR(_xlpm.ld="",_xlpm.ld="Full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"&amp;_xlpm.q,""))))&lt;&gt;"",IF(N866&lt;&gt;"","Load OK ✓ (checked)","⚠ "&amp;_xlfn.LET(_xlpm.q,E866,_xlpm.tk,P866,_xlpm.ld,Log!$P$18,_xlpm.fx,IF(OR(_xlpm.ld="",_xlpm.ld="Full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"&amp;_xlpm.q,""))))),IF(C866-I866&gt;=0.99,"next day",IF(C866-I866&gt;0.4,"12h → 24h","")))))))))))</f>
        <v/>
      </c>
      <c r="H866" s="4" t="str">
        <f t="shared" si="78"/>
        <v/>
      </c>
      <c r="I866" s="5" t="str">
        <f t="shared" si="79"/>
        <v/>
      </c>
      <c r="J866" s="6">
        <f t="shared" si="80"/>
        <v>0</v>
      </c>
      <c r="K866" s="4" t="str">
        <f t="shared" si="81"/>
        <v/>
      </c>
      <c r="L866" s="4" t="str">
        <f t="shared" si="82"/>
        <v/>
      </c>
      <c r="M866" s="4" t="b" cm="1">
        <f t="array" ref="M866">IF(H866="",FALSE,SUMPRODUCT(--(H$1:H865=H866))&gt;0)</f>
        <v>0</v>
      </c>
      <c r="N866" s="36"/>
      <c r="P866" s="1" t="str">
        <f t="shared" si="83"/>
        <v/>
      </c>
    </row>
    <row r="867" spans="1:16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"&amp;L867,IF(AND(MAX(K$1:K866)&gt;0,N(K867)-MAX(K$1:K866)&gt;180),"⚠ Gap &gt; 3h",IF(_xlfn.LET(_xlpm.q,E867,_xlpm.tk,P867,_xlpm.ld,Log!$P$18,_xlpm.fx,IF(OR(_xlpm.ld="",_xlpm.ld="Full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"&amp;_xlpm.q,""))))&lt;&gt;"",IF(N867&lt;&gt;"","Load OK ✓ (checked)","⚠ "&amp;_xlfn.LET(_xlpm.q,E867,_xlpm.tk,P867,_xlpm.ld,Log!$P$18,_xlpm.fx,IF(OR(_xlpm.ld="",_xlpm.ld="Full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"&amp;_xlpm.q,""))))),IF(C867-I867&gt;=0.99,"next day",IF(C867-I867&gt;0.4,"12h → 24h","")))))))))))</f>
        <v/>
      </c>
      <c r="H867" s="4" t="str">
        <f t="shared" si="78"/>
        <v/>
      </c>
      <c r="I867" s="5" t="str">
        <f t="shared" si="79"/>
        <v/>
      </c>
      <c r="J867" s="6">
        <f t="shared" si="80"/>
        <v>0</v>
      </c>
      <c r="K867" s="4" t="str">
        <f t="shared" si="81"/>
        <v/>
      </c>
      <c r="L867" s="4" t="str">
        <f t="shared" si="82"/>
        <v/>
      </c>
      <c r="M867" s="4" t="b" cm="1">
        <f t="array" ref="M867">IF(H867="",FALSE,SUMPRODUCT(--(H$1:H866=H867))&gt;0)</f>
        <v>0</v>
      </c>
      <c r="N867" s="36"/>
      <c r="P867" s="1" t="str">
        <f t="shared" si="83"/>
        <v/>
      </c>
    </row>
    <row r="868" spans="1:16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"&amp;L868,IF(AND(MAX(K$1:K867)&gt;0,N(K868)-MAX(K$1:K867)&gt;180),"⚠ Gap &gt; 3h",IF(_xlfn.LET(_xlpm.q,E868,_xlpm.tk,P868,_xlpm.ld,Log!$P$18,_xlpm.fx,IF(OR(_xlpm.ld="",_xlpm.ld="Full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"&amp;_xlpm.q,""))))&lt;&gt;"",IF(N868&lt;&gt;"","Load OK ✓ (checked)","⚠ "&amp;_xlfn.LET(_xlpm.q,E868,_xlpm.tk,P868,_xlpm.ld,Log!$P$18,_xlpm.fx,IF(OR(_xlpm.ld="",_xlpm.ld="Full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"&amp;_xlpm.q,""))))),IF(C868-I868&gt;=0.99,"next day",IF(C868-I868&gt;0.4,"12h → 24h","")))))))))))</f>
        <v/>
      </c>
      <c r="H868" s="4" t="str">
        <f t="shared" si="78"/>
        <v/>
      </c>
      <c r="I868" s="5" t="str">
        <f t="shared" si="79"/>
        <v/>
      </c>
      <c r="J868" s="6">
        <f t="shared" si="80"/>
        <v>0</v>
      </c>
      <c r="K868" s="4" t="str">
        <f t="shared" si="81"/>
        <v/>
      </c>
      <c r="L868" s="4" t="str">
        <f t="shared" si="82"/>
        <v/>
      </c>
      <c r="M868" s="4" t="b" cm="1">
        <f t="array" ref="M868">IF(H868="",FALSE,SUMPRODUCT(--(H$1:H867=H868))&gt;0)</f>
        <v>0</v>
      </c>
      <c r="N868" s="36"/>
      <c r="P868" s="1" t="str">
        <f t="shared" si="83"/>
        <v/>
      </c>
    </row>
    <row r="869" spans="1:16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"&amp;L869,IF(AND(MAX(K$1:K868)&gt;0,N(K869)-MAX(K$1:K868)&gt;180),"⚠ Gap &gt; 3h",IF(_xlfn.LET(_xlpm.q,E869,_xlpm.tk,P869,_xlpm.ld,Log!$P$18,_xlpm.fx,IF(OR(_xlpm.ld="",_xlpm.ld="Full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"&amp;_xlpm.q,""))))&lt;&gt;"",IF(N869&lt;&gt;"","Load OK ✓ (checked)","⚠ "&amp;_xlfn.LET(_xlpm.q,E869,_xlpm.tk,P869,_xlpm.ld,Log!$P$18,_xlpm.fx,IF(OR(_xlpm.ld="",_xlpm.ld="Full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"&amp;_xlpm.q,""))))),IF(C869-I869&gt;=0.99,"next day",IF(C869-I869&gt;0.4,"12h → 24h","")))))))))))</f>
        <v/>
      </c>
      <c r="H869" s="4" t="str">
        <f t="shared" si="78"/>
        <v/>
      </c>
      <c r="I869" s="5" t="str">
        <f t="shared" si="79"/>
        <v/>
      </c>
      <c r="J869" s="6">
        <f t="shared" si="80"/>
        <v>0</v>
      </c>
      <c r="K869" s="4" t="str">
        <f t="shared" si="81"/>
        <v/>
      </c>
      <c r="L869" s="4" t="str">
        <f t="shared" si="82"/>
        <v/>
      </c>
      <c r="M869" s="4" t="b" cm="1">
        <f t="array" ref="M869">IF(H869="",FALSE,SUMPRODUCT(--(H$1:H868=H869))&gt;0)</f>
        <v>0</v>
      </c>
      <c r="N869" s="36"/>
      <c r="P869" s="1" t="str">
        <f t="shared" si="83"/>
        <v/>
      </c>
    </row>
    <row r="870" spans="1:16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"&amp;L870,IF(AND(MAX(K$1:K869)&gt;0,N(K870)-MAX(K$1:K869)&gt;180),"⚠ Gap &gt; 3h",IF(_xlfn.LET(_xlpm.q,E870,_xlpm.tk,P870,_xlpm.ld,Log!$P$18,_xlpm.fx,IF(OR(_xlpm.ld="",_xlpm.ld="Full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"&amp;_xlpm.q,""))))&lt;&gt;"",IF(N870&lt;&gt;"","Load OK ✓ (checked)","⚠ "&amp;_xlfn.LET(_xlpm.q,E870,_xlpm.tk,P870,_xlpm.ld,Log!$P$18,_xlpm.fx,IF(OR(_xlpm.ld="",_xlpm.ld="Full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"&amp;_xlpm.q,""))))),IF(C870-I870&gt;=0.99,"next day",IF(C870-I870&gt;0.4,"12h → 24h","")))))))))))</f>
        <v/>
      </c>
      <c r="H870" s="4" t="str">
        <f t="shared" si="78"/>
        <v/>
      </c>
      <c r="I870" s="5" t="str">
        <f t="shared" si="79"/>
        <v/>
      </c>
      <c r="J870" s="6">
        <f t="shared" si="80"/>
        <v>0</v>
      </c>
      <c r="K870" s="4" t="str">
        <f t="shared" si="81"/>
        <v/>
      </c>
      <c r="L870" s="4" t="str">
        <f t="shared" si="82"/>
        <v/>
      </c>
      <c r="M870" s="4" t="b" cm="1">
        <f t="array" ref="M870">IF(H870="",FALSE,SUMPRODUCT(--(H$1:H869=H870))&gt;0)</f>
        <v>0</v>
      </c>
      <c r="N870" s="36"/>
      <c r="P870" s="1" t="str">
        <f t="shared" si="83"/>
        <v/>
      </c>
    </row>
    <row r="871" spans="1:16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"&amp;L871,IF(AND(MAX(K$1:K870)&gt;0,N(K871)-MAX(K$1:K870)&gt;180),"⚠ Gap &gt; 3h",IF(_xlfn.LET(_xlpm.q,E871,_xlpm.tk,P871,_xlpm.ld,Log!$P$18,_xlpm.fx,IF(OR(_xlpm.ld="",_xlpm.ld="Full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"&amp;_xlpm.q,""))))&lt;&gt;"",IF(N871&lt;&gt;"","Load OK ✓ (checked)","⚠ "&amp;_xlfn.LET(_xlpm.q,E871,_xlpm.tk,P871,_xlpm.ld,Log!$P$18,_xlpm.fx,IF(OR(_xlpm.ld="",_xlpm.ld="Full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"&amp;_xlpm.q,""))))),IF(C871-I871&gt;=0.99,"next day",IF(C871-I871&gt;0.4,"12h → 24h","")))))))))))</f>
        <v/>
      </c>
      <c r="H871" s="4" t="str">
        <f t="shared" si="78"/>
        <v/>
      </c>
      <c r="I871" s="5" t="str">
        <f t="shared" si="79"/>
        <v/>
      </c>
      <c r="J871" s="6">
        <f t="shared" si="80"/>
        <v>0</v>
      </c>
      <c r="K871" s="4" t="str">
        <f t="shared" si="81"/>
        <v/>
      </c>
      <c r="L871" s="4" t="str">
        <f t="shared" si="82"/>
        <v/>
      </c>
      <c r="M871" s="4" t="b" cm="1">
        <f t="array" ref="M871">IF(H871="",FALSE,SUMPRODUCT(--(H$1:H870=H871))&gt;0)</f>
        <v>0</v>
      </c>
      <c r="N871" s="36"/>
      <c r="P871" s="1" t="str">
        <f t="shared" si="83"/>
        <v/>
      </c>
    </row>
    <row r="872" spans="1:16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"&amp;L872,IF(AND(MAX(K$1:K871)&gt;0,N(K872)-MAX(K$1:K871)&gt;180),"⚠ Gap &gt; 3h",IF(_xlfn.LET(_xlpm.q,E872,_xlpm.tk,P872,_xlpm.ld,Log!$P$18,_xlpm.fx,IF(OR(_xlpm.ld="",_xlpm.ld="Full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"&amp;_xlpm.q,""))))&lt;&gt;"",IF(N872&lt;&gt;"","Load OK ✓ (checked)","⚠ "&amp;_xlfn.LET(_xlpm.q,E872,_xlpm.tk,P872,_xlpm.ld,Log!$P$18,_xlpm.fx,IF(OR(_xlpm.ld="",_xlpm.ld="Full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"&amp;_xlpm.q,""))))),IF(C872-I872&gt;=0.99,"next day",IF(C872-I872&gt;0.4,"12h → 24h","")))))))))))</f>
        <v/>
      </c>
      <c r="H872" s="4" t="str">
        <f t="shared" si="78"/>
        <v/>
      </c>
      <c r="I872" s="5" t="str">
        <f t="shared" si="79"/>
        <v/>
      </c>
      <c r="J872" s="6">
        <f t="shared" si="80"/>
        <v>0</v>
      </c>
      <c r="K872" s="4" t="str">
        <f t="shared" si="81"/>
        <v/>
      </c>
      <c r="L872" s="4" t="str">
        <f t="shared" si="82"/>
        <v/>
      </c>
      <c r="M872" s="4" t="b" cm="1">
        <f t="array" ref="M872">IF(H872="",FALSE,SUMPRODUCT(--(H$1:H871=H872))&gt;0)</f>
        <v>0</v>
      </c>
      <c r="N872" s="36"/>
      <c r="P872" s="1" t="str">
        <f t="shared" si="83"/>
        <v/>
      </c>
    </row>
    <row r="873" spans="1:16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"&amp;L873,IF(AND(MAX(K$1:K872)&gt;0,N(K873)-MAX(K$1:K872)&gt;180),"⚠ Gap &gt; 3h",IF(_xlfn.LET(_xlpm.q,E873,_xlpm.tk,P873,_xlpm.ld,Log!$P$18,_xlpm.fx,IF(OR(_xlpm.ld="",_xlpm.ld="Full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"&amp;_xlpm.q,""))))&lt;&gt;"",IF(N873&lt;&gt;"","Load OK ✓ (checked)","⚠ "&amp;_xlfn.LET(_xlpm.q,E873,_xlpm.tk,P873,_xlpm.ld,Log!$P$18,_xlpm.fx,IF(OR(_xlpm.ld="",_xlpm.ld="Full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"&amp;_xlpm.q,""))))),IF(C873-I873&gt;=0.99,"next day",IF(C873-I873&gt;0.4,"12h → 24h","")))))))))))</f>
        <v/>
      </c>
      <c r="H873" s="4" t="str">
        <f t="shared" si="78"/>
        <v/>
      </c>
      <c r="I873" s="5" t="str">
        <f t="shared" si="79"/>
        <v/>
      </c>
      <c r="J873" s="6">
        <f t="shared" si="80"/>
        <v>0</v>
      </c>
      <c r="K873" s="4" t="str">
        <f t="shared" si="81"/>
        <v/>
      </c>
      <c r="L873" s="4" t="str">
        <f t="shared" si="82"/>
        <v/>
      </c>
      <c r="M873" s="4" t="b" cm="1">
        <f t="array" ref="M873">IF(H873="",FALSE,SUMPRODUCT(--(H$1:H872=H873))&gt;0)</f>
        <v>0</v>
      </c>
      <c r="N873" s="36"/>
      <c r="P873" s="1" t="str">
        <f t="shared" si="83"/>
        <v/>
      </c>
    </row>
    <row r="874" spans="1:16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"&amp;L874,IF(AND(MAX(K$1:K873)&gt;0,N(K874)-MAX(K$1:K873)&gt;180),"⚠ Gap &gt; 3h",IF(_xlfn.LET(_xlpm.q,E874,_xlpm.tk,P874,_xlpm.ld,Log!$P$18,_xlpm.fx,IF(OR(_xlpm.ld="",_xlpm.ld="Full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"&amp;_xlpm.q,""))))&lt;&gt;"",IF(N874&lt;&gt;"","Load OK ✓ (checked)","⚠ "&amp;_xlfn.LET(_xlpm.q,E874,_xlpm.tk,P874,_xlpm.ld,Log!$P$18,_xlpm.fx,IF(OR(_xlpm.ld="",_xlpm.ld="Full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"&amp;_xlpm.q,""))))),IF(C874-I874&gt;=0.99,"next day",IF(C874-I874&gt;0.4,"12h → 24h","")))))))))))</f>
        <v/>
      </c>
      <c r="H874" s="4" t="str">
        <f t="shared" si="78"/>
        <v/>
      </c>
      <c r="I874" s="5" t="str">
        <f t="shared" si="79"/>
        <v/>
      </c>
      <c r="J874" s="6">
        <f t="shared" si="80"/>
        <v>0</v>
      </c>
      <c r="K874" s="4" t="str">
        <f t="shared" si="81"/>
        <v/>
      </c>
      <c r="L874" s="4" t="str">
        <f t="shared" si="82"/>
        <v/>
      </c>
      <c r="M874" s="4" t="b" cm="1">
        <f t="array" ref="M874">IF(H874="",FALSE,SUMPRODUCT(--(H$1:H873=H874))&gt;0)</f>
        <v>0</v>
      </c>
      <c r="N874" s="36"/>
      <c r="P874" s="1" t="str">
        <f t="shared" si="83"/>
        <v/>
      </c>
    </row>
    <row r="875" spans="1:16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"&amp;L875,IF(AND(MAX(K$1:K874)&gt;0,N(K875)-MAX(K$1:K874)&gt;180),"⚠ Gap &gt; 3h",IF(_xlfn.LET(_xlpm.q,E875,_xlpm.tk,P875,_xlpm.ld,Log!$P$18,_xlpm.fx,IF(OR(_xlpm.ld="",_xlpm.ld="Full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"&amp;_xlpm.q,""))))&lt;&gt;"",IF(N875&lt;&gt;"","Load OK ✓ (checked)","⚠ "&amp;_xlfn.LET(_xlpm.q,E875,_xlpm.tk,P875,_xlpm.ld,Log!$P$18,_xlpm.fx,IF(OR(_xlpm.ld="",_xlpm.ld="Full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"&amp;_xlpm.q,""))))),IF(C875-I875&gt;=0.99,"next day",IF(C875-I875&gt;0.4,"12h → 24h","")))))))))))</f>
        <v/>
      </c>
      <c r="H875" s="4" t="str">
        <f t="shared" si="78"/>
        <v/>
      </c>
      <c r="I875" s="5" t="str">
        <f t="shared" si="79"/>
        <v/>
      </c>
      <c r="J875" s="6">
        <f t="shared" si="80"/>
        <v>0</v>
      </c>
      <c r="K875" s="4" t="str">
        <f t="shared" si="81"/>
        <v/>
      </c>
      <c r="L875" s="4" t="str">
        <f t="shared" si="82"/>
        <v/>
      </c>
      <c r="M875" s="4" t="b" cm="1">
        <f t="array" ref="M875">IF(H875="",FALSE,SUMPRODUCT(--(H$1:H874=H875))&gt;0)</f>
        <v>0</v>
      </c>
      <c r="N875" s="36"/>
      <c r="P875" s="1" t="str">
        <f t="shared" si="83"/>
        <v/>
      </c>
    </row>
    <row r="876" spans="1:16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"&amp;L876,IF(AND(MAX(K$1:K875)&gt;0,N(K876)-MAX(K$1:K875)&gt;180),"⚠ Gap &gt; 3h",IF(_xlfn.LET(_xlpm.q,E876,_xlpm.tk,P876,_xlpm.ld,Log!$P$18,_xlpm.fx,IF(OR(_xlpm.ld="",_xlpm.ld="Full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"&amp;_xlpm.q,""))))&lt;&gt;"",IF(N876&lt;&gt;"","Load OK ✓ (checked)","⚠ "&amp;_xlfn.LET(_xlpm.q,E876,_xlpm.tk,P876,_xlpm.ld,Log!$P$18,_xlpm.fx,IF(OR(_xlpm.ld="",_xlpm.ld="Full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"&amp;_xlpm.q,""))))),IF(C876-I876&gt;=0.99,"next day",IF(C876-I876&gt;0.4,"12h → 24h","")))))))))))</f>
        <v/>
      </c>
      <c r="H876" s="4" t="str">
        <f t="shared" si="78"/>
        <v/>
      </c>
      <c r="I876" s="5" t="str">
        <f t="shared" si="79"/>
        <v/>
      </c>
      <c r="J876" s="6">
        <f t="shared" si="80"/>
        <v>0</v>
      </c>
      <c r="K876" s="4" t="str">
        <f t="shared" si="81"/>
        <v/>
      </c>
      <c r="L876" s="4" t="str">
        <f t="shared" si="82"/>
        <v/>
      </c>
      <c r="M876" s="4" t="b" cm="1">
        <f t="array" ref="M876">IF(H876="",FALSE,SUMPRODUCT(--(H$1:H875=H876))&gt;0)</f>
        <v>0</v>
      </c>
      <c r="N876" s="36"/>
      <c r="P876" s="1" t="str">
        <f t="shared" si="83"/>
        <v/>
      </c>
    </row>
    <row r="877" spans="1:16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"&amp;L877,IF(AND(MAX(K$1:K876)&gt;0,N(K877)-MAX(K$1:K876)&gt;180),"⚠ Gap &gt; 3h",IF(_xlfn.LET(_xlpm.q,E877,_xlpm.tk,P877,_xlpm.ld,Log!$P$18,_xlpm.fx,IF(OR(_xlpm.ld="",_xlpm.ld="Full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"&amp;_xlpm.q,""))))&lt;&gt;"",IF(N877&lt;&gt;"","Load OK ✓ (checked)","⚠ "&amp;_xlfn.LET(_xlpm.q,E877,_xlpm.tk,P877,_xlpm.ld,Log!$P$18,_xlpm.fx,IF(OR(_xlpm.ld="",_xlpm.ld="Full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"&amp;_xlpm.q,""))))),IF(C877-I877&gt;=0.99,"next day",IF(C877-I877&gt;0.4,"12h → 24h","")))))))))))</f>
        <v/>
      </c>
      <c r="H877" s="4" t="str">
        <f t="shared" si="78"/>
        <v/>
      </c>
      <c r="I877" s="5" t="str">
        <f t="shared" si="79"/>
        <v/>
      </c>
      <c r="J877" s="6">
        <f t="shared" si="80"/>
        <v>0</v>
      </c>
      <c r="K877" s="4" t="str">
        <f t="shared" si="81"/>
        <v/>
      </c>
      <c r="L877" s="4" t="str">
        <f t="shared" si="82"/>
        <v/>
      </c>
      <c r="M877" s="4" t="b" cm="1">
        <f t="array" ref="M877">IF(H877="",FALSE,SUMPRODUCT(--(H$1:H876=H877))&gt;0)</f>
        <v>0</v>
      </c>
      <c r="N877" s="36"/>
      <c r="P877" s="1" t="str">
        <f t="shared" si="83"/>
        <v/>
      </c>
    </row>
    <row r="878" spans="1:16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"&amp;L878,IF(AND(MAX(K$1:K877)&gt;0,N(K878)-MAX(K$1:K877)&gt;180),"⚠ Gap &gt; 3h",IF(_xlfn.LET(_xlpm.q,E878,_xlpm.tk,P878,_xlpm.ld,Log!$P$18,_xlpm.fx,IF(OR(_xlpm.ld="",_xlpm.ld="Full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"&amp;_xlpm.q,""))))&lt;&gt;"",IF(N878&lt;&gt;"","Load OK ✓ (checked)","⚠ "&amp;_xlfn.LET(_xlpm.q,E878,_xlpm.tk,P878,_xlpm.ld,Log!$P$18,_xlpm.fx,IF(OR(_xlpm.ld="",_xlpm.ld="Full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"&amp;_xlpm.q,""))))),IF(C878-I878&gt;=0.99,"next day",IF(C878-I878&gt;0.4,"12h → 24h","")))))))))))</f>
        <v/>
      </c>
      <c r="H878" s="4" t="str">
        <f t="shared" si="78"/>
        <v/>
      </c>
      <c r="I878" s="5" t="str">
        <f t="shared" si="79"/>
        <v/>
      </c>
      <c r="J878" s="6">
        <f t="shared" si="80"/>
        <v>0</v>
      </c>
      <c r="K878" s="4" t="str">
        <f t="shared" si="81"/>
        <v/>
      </c>
      <c r="L878" s="4" t="str">
        <f t="shared" si="82"/>
        <v/>
      </c>
      <c r="M878" s="4" t="b" cm="1">
        <f t="array" ref="M878">IF(H878="",FALSE,SUMPRODUCT(--(H$1:H877=H878))&gt;0)</f>
        <v>0</v>
      </c>
      <c r="N878" s="36"/>
      <c r="P878" s="1" t="str">
        <f t="shared" si="83"/>
        <v/>
      </c>
    </row>
    <row r="879" spans="1:16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"&amp;L879,IF(AND(MAX(K$1:K878)&gt;0,N(K879)-MAX(K$1:K878)&gt;180),"⚠ Gap &gt; 3h",IF(_xlfn.LET(_xlpm.q,E879,_xlpm.tk,P879,_xlpm.ld,Log!$P$18,_xlpm.fx,IF(OR(_xlpm.ld="",_xlpm.ld="Full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"&amp;_xlpm.q,""))))&lt;&gt;"",IF(N879&lt;&gt;"","Load OK ✓ (checked)","⚠ "&amp;_xlfn.LET(_xlpm.q,E879,_xlpm.tk,P879,_xlpm.ld,Log!$P$18,_xlpm.fx,IF(OR(_xlpm.ld="",_xlpm.ld="Full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"&amp;_xlpm.q,""))))),IF(C879-I879&gt;=0.99,"next day",IF(C879-I879&gt;0.4,"12h → 24h","")))))))))))</f>
        <v/>
      </c>
      <c r="H879" s="4" t="str">
        <f t="shared" si="78"/>
        <v/>
      </c>
      <c r="I879" s="5" t="str">
        <f t="shared" si="79"/>
        <v/>
      </c>
      <c r="J879" s="6">
        <f t="shared" si="80"/>
        <v>0</v>
      </c>
      <c r="K879" s="4" t="str">
        <f t="shared" si="81"/>
        <v/>
      </c>
      <c r="L879" s="4" t="str">
        <f t="shared" si="82"/>
        <v/>
      </c>
      <c r="M879" s="4" t="b" cm="1">
        <f t="array" ref="M879">IF(H879="",FALSE,SUMPRODUCT(--(H$1:H878=H879))&gt;0)</f>
        <v>0</v>
      </c>
      <c r="N879" s="36"/>
      <c r="P879" s="1" t="str">
        <f t="shared" si="83"/>
        <v/>
      </c>
    </row>
    <row r="880" spans="1:16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"&amp;L880,IF(AND(MAX(K$1:K879)&gt;0,N(K880)-MAX(K$1:K879)&gt;180),"⚠ Gap &gt; 3h",IF(_xlfn.LET(_xlpm.q,E880,_xlpm.tk,P880,_xlpm.ld,Log!$P$18,_xlpm.fx,IF(OR(_xlpm.ld="",_xlpm.ld="Full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"&amp;_xlpm.q,""))))&lt;&gt;"",IF(N880&lt;&gt;"","Load OK ✓ (checked)","⚠ "&amp;_xlfn.LET(_xlpm.q,E880,_xlpm.tk,P880,_xlpm.ld,Log!$P$18,_xlpm.fx,IF(OR(_xlpm.ld="",_xlpm.ld="Full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"&amp;_xlpm.q,""))))),IF(C880-I880&gt;=0.99,"next day",IF(C880-I880&gt;0.4,"12h → 24h","")))))))))))</f>
        <v/>
      </c>
      <c r="H880" s="4" t="str">
        <f t="shared" si="78"/>
        <v/>
      </c>
      <c r="I880" s="5" t="str">
        <f t="shared" si="79"/>
        <v/>
      </c>
      <c r="J880" s="6">
        <f t="shared" si="80"/>
        <v>0</v>
      </c>
      <c r="K880" s="4" t="str">
        <f t="shared" si="81"/>
        <v/>
      </c>
      <c r="L880" s="4" t="str">
        <f t="shared" si="82"/>
        <v/>
      </c>
      <c r="M880" s="4" t="b" cm="1">
        <f t="array" ref="M880">IF(H880="",FALSE,SUMPRODUCT(--(H$1:H879=H880))&gt;0)</f>
        <v>0</v>
      </c>
      <c r="N880" s="36"/>
      <c r="P880" s="1" t="str">
        <f t="shared" si="83"/>
        <v/>
      </c>
    </row>
    <row r="881" spans="1:16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"&amp;L881,IF(AND(MAX(K$1:K880)&gt;0,N(K881)-MAX(K$1:K880)&gt;180),"⚠ Gap &gt; 3h",IF(_xlfn.LET(_xlpm.q,E881,_xlpm.tk,P881,_xlpm.ld,Log!$P$18,_xlpm.fx,IF(OR(_xlpm.ld="",_xlpm.ld="Full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"&amp;_xlpm.q,""))))&lt;&gt;"",IF(N881&lt;&gt;"","Load OK ✓ (checked)","⚠ "&amp;_xlfn.LET(_xlpm.q,E881,_xlpm.tk,P881,_xlpm.ld,Log!$P$18,_xlpm.fx,IF(OR(_xlpm.ld="",_xlpm.ld="Full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"&amp;_xlpm.q,""))))),IF(C881-I881&gt;=0.99,"next day",IF(C881-I881&gt;0.4,"12h → 24h","")))))))))))</f>
        <v/>
      </c>
      <c r="H881" s="4" t="str">
        <f t="shared" si="78"/>
        <v/>
      </c>
      <c r="I881" s="5" t="str">
        <f t="shared" si="79"/>
        <v/>
      </c>
      <c r="J881" s="6">
        <f t="shared" si="80"/>
        <v>0</v>
      </c>
      <c r="K881" s="4" t="str">
        <f t="shared" si="81"/>
        <v/>
      </c>
      <c r="L881" s="4" t="str">
        <f t="shared" si="82"/>
        <v/>
      </c>
      <c r="M881" s="4" t="b" cm="1">
        <f t="array" ref="M881">IF(H881="",FALSE,SUMPRODUCT(--(H$1:H880=H881))&gt;0)</f>
        <v>0</v>
      </c>
      <c r="N881" s="36"/>
      <c r="P881" s="1" t="str">
        <f t="shared" si="83"/>
        <v/>
      </c>
    </row>
    <row r="882" spans="1:16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"&amp;L882,IF(AND(MAX(K$1:K881)&gt;0,N(K882)-MAX(K$1:K881)&gt;180),"⚠ Gap &gt; 3h",IF(_xlfn.LET(_xlpm.q,E882,_xlpm.tk,P882,_xlpm.ld,Log!$P$18,_xlpm.fx,IF(OR(_xlpm.ld="",_xlpm.ld="Full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"&amp;_xlpm.q,""))))&lt;&gt;"",IF(N882&lt;&gt;"","Load OK ✓ (checked)","⚠ "&amp;_xlfn.LET(_xlpm.q,E882,_xlpm.tk,P882,_xlpm.ld,Log!$P$18,_xlpm.fx,IF(OR(_xlpm.ld="",_xlpm.ld="Full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"&amp;_xlpm.q,""))))),IF(C882-I882&gt;=0.99,"next day",IF(C882-I882&gt;0.4,"12h → 24h","")))))))))))</f>
        <v/>
      </c>
      <c r="H882" s="4" t="str">
        <f t="shared" si="78"/>
        <v/>
      </c>
      <c r="I882" s="5" t="str">
        <f t="shared" si="79"/>
        <v/>
      </c>
      <c r="J882" s="6">
        <f t="shared" si="80"/>
        <v>0</v>
      </c>
      <c r="K882" s="4" t="str">
        <f t="shared" si="81"/>
        <v/>
      </c>
      <c r="L882" s="4" t="str">
        <f t="shared" si="82"/>
        <v/>
      </c>
      <c r="M882" s="4" t="b" cm="1">
        <f t="array" ref="M882">IF(H882="",FALSE,SUMPRODUCT(--(H$1:H881=H882))&gt;0)</f>
        <v>0</v>
      </c>
      <c r="N882" s="36"/>
      <c r="P882" s="1" t="str">
        <f t="shared" si="83"/>
        <v/>
      </c>
    </row>
    <row r="883" spans="1:16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"&amp;L883,IF(AND(MAX(K$1:K882)&gt;0,N(K883)-MAX(K$1:K882)&gt;180),"⚠ Gap &gt; 3h",IF(_xlfn.LET(_xlpm.q,E883,_xlpm.tk,P883,_xlpm.ld,Log!$P$18,_xlpm.fx,IF(OR(_xlpm.ld="",_xlpm.ld="Full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"&amp;_xlpm.q,""))))&lt;&gt;"",IF(N883&lt;&gt;"","Load OK ✓ (checked)","⚠ "&amp;_xlfn.LET(_xlpm.q,E883,_xlpm.tk,P883,_xlpm.ld,Log!$P$18,_xlpm.fx,IF(OR(_xlpm.ld="",_xlpm.ld="Full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"&amp;_xlpm.q,""))))),IF(C883-I883&gt;=0.99,"next day",IF(C883-I883&gt;0.4,"12h → 24h","")))))))))))</f>
        <v/>
      </c>
      <c r="H883" s="4" t="str">
        <f t="shared" si="78"/>
        <v/>
      </c>
      <c r="I883" s="5" t="str">
        <f t="shared" si="79"/>
        <v/>
      </c>
      <c r="J883" s="6">
        <f t="shared" si="80"/>
        <v>0</v>
      </c>
      <c r="K883" s="4" t="str">
        <f t="shared" si="81"/>
        <v/>
      </c>
      <c r="L883" s="4" t="str">
        <f t="shared" si="82"/>
        <v/>
      </c>
      <c r="M883" s="4" t="b" cm="1">
        <f t="array" ref="M883">IF(H883="",FALSE,SUMPRODUCT(--(H$1:H882=H883))&gt;0)</f>
        <v>0</v>
      </c>
      <c r="N883" s="36"/>
      <c r="P883" s="1" t="str">
        <f t="shared" si="83"/>
        <v/>
      </c>
    </row>
    <row r="884" spans="1:16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"&amp;L884,IF(AND(MAX(K$1:K883)&gt;0,N(K884)-MAX(K$1:K883)&gt;180),"⚠ Gap &gt; 3h",IF(_xlfn.LET(_xlpm.q,E884,_xlpm.tk,P884,_xlpm.ld,Log!$P$18,_xlpm.fx,IF(OR(_xlpm.ld="",_xlpm.ld="Full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"&amp;_xlpm.q,""))))&lt;&gt;"",IF(N884&lt;&gt;"","Load OK ✓ (checked)","⚠ "&amp;_xlfn.LET(_xlpm.q,E884,_xlpm.tk,P884,_xlpm.ld,Log!$P$18,_xlpm.fx,IF(OR(_xlpm.ld="",_xlpm.ld="Full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"&amp;_xlpm.q,""))))),IF(C884-I884&gt;=0.99,"next day",IF(C884-I884&gt;0.4,"12h → 24h","")))))))))))</f>
        <v/>
      </c>
      <c r="H884" s="4" t="str">
        <f t="shared" si="78"/>
        <v/>
      </c>
      <c r="I884" s="5" t="str">
        <f t="shared" si="79"/>
        <v/>
      </c>
      <c r="J884" s="6">
        <f t="shared" si="80"/>
        <v>0</v>
      </c>
      <c r="K884" s="4" t="str">
        <f t="shared" si="81"/>
        <v/>
      </c>
      <c r="L884" s="4" t="str">
        <f t="shared" si="82"/>
        <v/>
      </c>
      <c r="M884" s="4" t="b" cm="1">
        <f t="array" ref="M884">IF(H884="",FALSE,SUMPRODUCT(--(H$1:H883=H884))&gt;0)</f>
        <v>0</v>
      </c>
      <c r="N884" s="36"/>
      <c r="P884" s="1" t="str">
        <f t="shared" si="83"/>
        <v/>
      </c>
    </row>
    <row r="885" spans="1:16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"&amp;L885,IF(AND(MAX(K$1:K884)&gt;0,N(K885)-MAX(K$1:K884)&gt;180),"⚠ Gap &gt; 3h",IF(_xlfn.LET(_xlpm.q,E885,_xlpm.tk,P885,_xlpm.ld,Log!$P$18,_xlpm.fx,IF(OR(_xlpm.ld="",_xlpm.ld="Full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"&amp;_xlpm.q,""))))&lt;&gt;"",IF(N885&lt;&gt;"","Load OK ✓ (checked)","⚠ "&amp;_xlfn.LET(_xlpm.q,E885,_xlpm.tk,P885,_xlpm.ld,Log!$P$18,_xlpm.fx,IF(OR(_xlpm.ld="",_xlpm.ld="Full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"&amp;_xlpm.q,""))))),IF(C885-I885&gt;=0.99,"next day",IF(C885-I885&gt;0.4,"12h → 24h","")))))))))))</f>
        <v/>
      </c>
      <c r="H885" s="4" t="str">
        <f t="shared" si="78"/>
        <v/>
      </c>
      <c r="I885" s="5" t="str">
        <f t="shared" si="79"/>
        <v/>
      </c>
      <c r="J885" s="6">
        <f t="shared" si="80"/>
        <v>0</v>
      </c>
      <c r="K885" s="4" t="str">
        <f t="shared" si="81"/>
        <v/>
      </c>
      <c r="L885" s="4" t="str">
        <f t="shared" si="82"/>
        <v/>
      </c>
      <c r="M885" s="4" t="b" cm="1">
        <f t="array" ref="M885">IF(H885="",FALSE,SUMPRODUCT(--(H$1:H884=H885))&gt;0)</f>
        <v>0</v>
      </c>
      <c r="N885" s="36"/>
      <c r="P885" s="1" t="str">
        <f t="shared" si="83"/>
        <v/>
      </c>
    </row>
    <row r="886" spans="1:16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"&amp;L886,IF(AND(MAX(K$1:K885)&gt;0,N(K886)-MAX(K$1:K885)&gt;180),"⚠ Gap &gt; 3h",IF(_xlfn.LET(_xlpm.q,E886,_xlpm.tk,P886,_xlpm.ld,Log!$P$18,_xlpm.fx,IF(OR(_xlpm.ld="",_xlpm.ld="Full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"&amp;_xlpm.q,""))))&lt;&gt;"",IF(N886&lt;&gt;"","Load OK ✓ (checked)","⚠ "&amp;_xlfn.LET(_xlpm.q,E886,_xlpm.tk,P886,_xlpm.ld,Log!$P$18,_xlpm.fx,IF(OR(_xlpm.ld="",_xlpm.ld="Full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"&amp;_xlpm.q,""))))),IF(C886-I886&gt;=0.99,"next day",IF(C886-I886&gt;0.4,"12h → 24h","")))))))))))</f>
        <v/>
      </c>
      <c r="H886" s="4" t="str">
        <f t="shared" si="78"/>
        <v/>
      </c>
      <c r="I886" s="5" t="str">
        <f t="shared" si="79"/>
        <v/>
      </c>
      <c r="J886" s="6">
        <f t="shared" si="80"/>
        <v>0</v>
      </c>
      <c r="K886" s="4" t="str">
        <f t="shared" si="81"/>
        <v/>
      </c>
      <c r="L886" s="4" t="str">
        <f t="shared" si="82"/>
        <v/>
      </c>
      <c r="M886" s="4" t="b" cm="1">
        <f t="array" ref="M886">IF(H886="",FALSE,SUMPRODUCT(--(H$1:H885=H886))&gt;0)</f>
        <v>0</v>
      </c>
      <c r="N886" s="36"/>
      <c r="P886" s="1" t="str">
        <f t="shared" si="83"/>
        <v/>
      </c>
    </row>
    <row r="887" spans="1:16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"&amp;L887,IF(AND(MAX(K$1:K886)&gt;0,N(K887)-MAX(K$1:K886)&gt;180),"⚠ Gap &gt; 3h",IF(_xlfn.LET(_xlpm.q,E887,_xlpm.tk,P887,_xlpm.ld,Log!$P$18,_xlpm.fx,IF(OR(_xlpm.ld="",_xlpm.ld="Full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"&amp;_xlpm.q,""))))&lt;&gt;"",IF(N887&lt;&gt;"","Load OK ✓ (checked)","⚠ "&amp;_xlfn.LET(_xlpm.q,E887,_xlpm.tk,P887,_xlpm.ld,Log!$P$18,_xlpm.fx,IF(OR(_xlpm.ld="",_xlpm.ld="Full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"&amp;_xlpm.q,""))))),IF(C887-I887&gt;=0.99,"next day",IF(C887-I887&gt;0.4,"12h → 24h","")))))))))))</f>
        <v/>
      </c>
      <c r="H887" s="4" t="str">
        <f t="shared" si="78"/>
        <v/>
      </c>
      <c r="I887" s="5" t="str">
        <f t="shared" si="79"/>
        <v/>
      </c>
      <c r="J887" s="6">
        <f t="shared" si="80"/>
        <v>0</v>
      </c>
      <c r="K887" s="4" t="str">
        <f t="shared" si="81"/>
        <v/>
      </c>
      <c r="L887" s="4" t="str">
        <f t="shared" si="82"/>
        <v/>
      </c>
      <c r="M887" s="4" t="b" cm="1">
        <f t="array" ref="M887">IF(H887="",FALSE,SUMPRODUCT(--(H$1:H886=H887))&gt;0)</f>
        <v>0</v>
      </c>
      <c r="N887" s="36"/>
      <c r="P887" s="1" t="str">
        <f t="shared" si="83"/>
        <v/>
      </c>
    </row>
    <row r="888" spans="1:16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"&amp;L888,IF(AND(MAX(K$1:K887)&gt;0,N(K888)-MAX(K$1:K887)&gt;180),"⚠ Gap &gt; 3h",IF(_xlfn.LET(_xlpm.q,E888,_xlpm.tk,P888,_xlpm.ld,Log!$P$18,_xlpm.fx,IF(OR(_xlpm.ld="",_xlpm.ld="Full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"&amp;_xlpm.q,""))))&lt;&gt;"",IF(N888&lt;&gt;"","Load OK ✓ (checked)","⚠ "&amp;_xlfn.LET(_xlpm.q,E888,_xlpm.tk,P888,_xlpm.ld,Log!$P$18,_xlpm.fx,IF(OR(_xlpm.ld="",_xlpm.ld="Full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"&amp;_xlpm.q,""))))),IF(C888-I888&gt;=0.99,"next day",IF(C888-I888&gt;0.4,"12h → 24h","")))))))))))</f>
        <v/>
      </c>
      <c r="H888" s="4" t="str">
        <f t="shared" si="78"/>
        <v/>
      </c>
      <c r="I888" s="5" t="str">
        <f t="shared" si="79"/>
        <v/>
      </c>
      <c r="J888" s="6">
        <f t="shared" si="80"/>
        <v>0</v>
      </c>
      <c r="K888" s="4" t="str">
        <f t="shared" si="81"/>
        <v/>
      </c>
      <c r="L888" s="4" t="str">
        <f t="shared" si="82"/>
        <v/>
      </c>
      <c r="M888" s="4" t="b" cm="1">
        <f t="array" ref="M888">IF(H888="",FALSE,SUMPRODUCT(--(H$1:H887=H888))&gt;0)</f>
        <v>0</v>
      </c>
      <c r="N888" s="36"/>
      <c r="P888" s="1" t="str">
        <f t="shared" si="83"/>
        <v/>
      </c>
    </row>
    <row r="889" spans="1:16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"&amp;L889,IF(AND(MAX(K$1:K888)&gt;0,N(K889)-MAX(K$1:K888)&gt;180),"⚠ Gap &gt; 3h",IF(_xlfn.LET(_xlpm.q,E889,_xlpm.tk,P889,_xlpm.ld,Log!$P$18,_xlpm.fx,IF(OR(_xlpm.ld="",_xlpm.ld="Full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"&amp;_xlpm.q,""))))&lt;&gt;"",IF(N889&lt;&gt;"","Load OK ✓ (checked)","⚠ "&amp;_xlfn.LET(_xlpm.q,E889,_xlpm.tk,P889,_xlpm.ld,Log!$P$18,_xlpm.fx,IF(OR(_xlpm.ld="",_xlpm.ld="Full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"&amp;_xlpm.q,""))))),IF(C889-I889&gt;=0.99,"next day",IF(C889-I889&gt;0.4,"12h → 24h","")))))))))))</f>
        <v/>
      </c>
      <c r="H889" s="4" t="str">
        <f t="shared" si="78"/>
        <v/>
      </c>
      <c r="I889" s="5" t="str">
        <f t="shared" si="79"/>
        <v/>
      </c>
      <c r="J889" s="6">
        <f t="shared" si="80"/>
        <v>0</v>
      </c>
      <c r="K889" s="4" t="str">
        <f t="shared" si="81"/>
        <v/>
      </c>
      <c r="L889" s="4" t="str">
        <f t="shared" si="82"/>
        <v/>
      </c>
      <c r="M889" s="4" t="b" cm="1">
        <f t="array" ref="M889">IF(H889="",FALSE,SUMPRODUCT(--(H$1:H888=H889))&gt;0)</f>
        <v>0</v>
      </c>
      <c r="N889" s="36"/>
      <c r="P889" s="1" t="str">
        <f t="shared" si="83"/>
        <v/>
      </c>
    </row>
    <row r="890" spans="1:16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"&amp;L890,IF(AND(MAX(K$1:K889)&gt;0,N(K890)-MAX(K$1:K889)&gt;180),"⚠ Gap &gt; 3h",IF(_xlfn.LET(_xlpm.q,E890,_xlpm.tk,P890,_xlpm.ld,Log!$P$18,_xlpm.fx,IF(OR(_xlpm.ld="",_xlpm.ld="Full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"&amp;_xlpm.q,""))))&lt;&gt;"",IF(N890&lt;&gt;"","Load OK ✓ (checked)","⚠ "&amp;_xlfn.LET(_xlpm.q,E890,_xlpm.tk,P890,_xlpm.ld,Log!$P$18,_xlpm.fx,IF(OR(_xlpm.ld="",_xlpm.ld="Full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"&amp;_xlpm.q,""))))),IF(C890-I890&gt;=0.99,"next day",IF(C890-I890&gt;0.4,"12h → 24h","")))))))))))</f>
        <v/>
      </c>
      <c r="H890" s="4" t="str">
        <f t="shared" si="78"/>
        <v/>
      </c>
      <c r="I890" s="5" t="str">
        <f t="shared" si="79"/>
        <v/>
      </c>
      <c r="J890" s="6">
        <f t="shared" si="80"/>
        <v>0</v>
      </c>
      <c r="K890" s="4" t="str">
        <f t="shared" si="81"/>
        <v/>
      </c>
      <c r="L890" s="4" t="str">
        <f t="shared" si="82"/>
        <v/>
      </c>
      <c r="M890" s="4" t="b" cm="1">
        <f t="array" ref="M890">IF(H890="",FALSE,SUMPRODUCT(--(H$1:H889=H890))&gt;0)</f>
        <v>0</v>
      </c>
      <c r="N890" s="36"/>
      <c r="P890" s="1" t="str">
        <f t="shared" si="83"/>
        <v/>
      </c>
    </row>
    <row r="891" spans="1:16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"&amp;L891,IF(AND(MAX(K$1:K890)&gt;0,N(K891)-MAX(K$1:K890)&gt;180),"⚠ Gap &gt; 3h",IF(_xlfn.LET(_xlpm.q,E891,_xlpm.tk,P891,_xlpm.ld,Log!$P$18,_xlpm.fx,IF(OR(_xlpm.ld="",_xlpm.ld="Full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"&amp;_xlpm.q,""))))&lt;&gt;"",IF(N891&lt;&gt;"","Load OK ✓ (checked)","⚠ "&amp;_xlfn.LET(_xlpm.q,E891,_xlpm.tk,P891,_xlpm.ld,Log!$P$18,_xlpm.fx,IF(OR(_xlpm.ld="",_xlpm.ld="Full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"&amp;_xlpm.q,""))))),IF(C891-I891&gt;=0.99,"next day",IF(C891-I891&gt;0.4,"12h → 24h","")))))))))))</f>
        <v/>
      </c>
      <c r="H891" s="4" t="str">
        <f t="shared" si="78"/>
        <v/>
      </c>
      <c r="I891" s="5" t="str">
        <f t="shared" si="79"/>
        <v/>
      </c>
      <c r="J891" s="6">
        <f t="shared" si="80"/>
        <v>0</v>
      </c>
      <c r="K891" s="4" t="str">
        <f t="shared" si="81"/>
        <v/>
      </c>
      <c r="L891" s="4" t="str">
        <f t="shared" si="82"/>
        <v/>
      </c>
      <c r="M891" s="4" t="b" cm="1">
        <f t="array" ref="M891">IF(H891="",FALSE,SUMPRODUCT(--(H$1:H890=H891))&gt;0)</f>
        <v>0</v>
      </c>
      <c r="N891" s="36"/>
      <c r="P891" s="1" t="str">
        <f t="shared" si="83"/>
        <v/>
      </c>
    </row>
    <row r="892" spans="1:16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"&amp;L892,IF(AND(MAX(K$1:K891)&gt;0,N(K892)-MAX(K$1:K891)&gt;180),"⚠ Gap &gt; 3h",IF(_xlfn.LET(_xlpm.q,E892,_xlpm.tk,P892,_xlpm.ld,Log!$P$18,_xlpm.fx,IF(OR(_xlpm.ld="",_xlpm.ld="Full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"&amp;_xlpm.q,""))))&lt;&gt;"",IF(N892&lt;&gt;"","Load OK ✓ (checked)","⚠ "&amp;_xlfn.LET(_xlpm.q,E892,_xlpm.tk,P892,_xlpm.ld,Log!$P$18,_xlpm.fx,IF(OR(_xlpm.ld="",_xlpm.ld="Full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"&amp;_xlpm.q,""))))),IF(C892-I892&gt;=0.99,"next day",IF(C892-I892&gt;0.4,"12h → 24h","")))))))))))</f>
        <v/>
      </c>
      <c r="H892" s="4" t="str">
        <f t="shared" si="78"/>
        <v/>
      </c>
      <c r="I892" s="5" t="str">
        <f t="shared" si="79"/>
        <v/>
      </c>
      <c r="J892" s="6">
        <f t="shared" si="80"/>
        <v>0</v>
      </c>
      <c r="K892" s="4" t="str">
        <f t="shared" si="81"/>
        <v/>
      </c>
      <c r="L892" s="4" t="str">
        <f t="shared" si="82"/>
        <v/>
      </c>
      <c r="M892" s="4" t="b" cm="1">
        <f t="array" ref="M892">IF(H892="",FALSE,SUMPRODUCT(--(H$1:H891=H892))&gt;0)</f>
        <v>0</v>
      </c>
      <c r="N892" s="36"/>
      <c r="P892" s="1" t="str">
        <f t="shared" si="83"/>
        <v/>
      </c>
    </row>
    <row r="893" spans="1:16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"&amp;L893,IF(AND(MAX(K$1:K892)&gt;0,N(K893)-MAX(K$1:K892)&gt;180),"⚠ Gap &gt; 3h",IF(_xlfn.LET(_xlpm.q,E893,_xlpm.tk,P893,_xlpm.ld,Log!$P$18,_xlpm.fx,IF(OR(_xlpm.ld="",_xlpm.ld="Full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"&amp;_xlpm.q,""))))&lt;&gt;"",IF(N893&lt;&gt;"","Load OK ✓ (checked)","⚠ "&amp;_xlfn.LET(_xlpm.q,E893,_xlpm.tk,P893,_xlpm.ld,Log!$P$18,_xlpm.fx,IF(OR(_xlpm.ld="",_xlpm.ld="Full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"&amp;_xlpm.q,""))))),IF(C893-I893&gt;=0.99,"next day",IF(C893-I893&gt;0.4,"12h → 24h","")))))))))))</f>
        <v/>
      </c>
      <c r="H893" s="4" t="str">
        <f t="shared" si="78"/>
        <v/>
      </c>
      <c r="I893" s="5" t="str">
        <f t="shared" si="79"/>
        <v/>
      </c>
      <c r="J893" s="6">
        <f t="shared" si="80"/>
        <v>0</v>
      </c>
      <c r="K893" s="4" t="str">
        <f t="shared" si="81"/>
        <v/>
      </c>
      <c r="L893" s="4" t="str">
        <f t="shared" si="82"/>
        <v/>
      </c>
      <c r="M893" s="4" t="b" cm="1">
        <f t="array" ref="M893">IF(H893="",FALSE,SUMPRODUCT(--(H$1:H892=H893))&gt;0)</f>
        <v>0</v>
      </c>
      <c r="N893" s="36"/>
      <c r="P893" s="1" t="str">
        <f t="shared" si="83"/>
        <v/>
      </c>
    </row>
    <row r="894" spans="1:16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"&amp;L894,IF(AND(MAX(K$1:K893)&gt;0,N(K894)-MAX(K$1:K893)&gt;180),"⚠ Gap &gt; 3h",IF(_xlfn.LET(_xlpm.q,E894,_xlpm.tk,P894,_xlpm.ld,Log!$P$18,_xlpm.fx,IF(OR(_xlpm.ld="",_xlpm.ld="Full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"&amp;_xlpm.q,""))))&lt;&gt;"",IF(N894&lt;&gt;"","Load OK ✓ (checked)","⚠ "&amp;_xlfn.LET(_xlpm.q,E894,_xlpm.tk,P894,_xlpm.ld,Log!$P$18,_xlpm.fx,IF(OR(_xlpm.ld="",_xlpm.ld="Full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"&amp;_xlpm.q,""))))),IF(C894-I894&gt;=0.99,"next day",IF(C894-I894&gt;0.4,"12h → 24h","")))))))))))</f>
        <v/>
      </c>
      <c r="H894" s="4" t="str">
        <f t="shared" si="78"/>
        <v/>
      </c>
      <c r="I894" s="5" t="str">
        <f t="shared" si="79"/>
        <v/>
      </c>
      <c r="J894" s="6">
        <f t="shared" si="80"/>
        <v>0</v>
      </c>
      <c r="K894" s="4" t="str">
        <f t="shared" si="81"/>
        <v/>
      </c>
      <c r="L894" s="4" t="str">
        <f t="shared" si="82"/>
        <v/>
      </c>
      <c r="M894" s="4" t="b" cm="1">
        <f t="array" ref="M894">IF(H894="",FALSE,SUMPRODUCT(--(H$1:H893=H894))&gt;0)</f>
        <v>0</v>
      </c>
      <c r="N894" s="36"/>
      <c r="P894" s="1" t="str">
        <f t="shared" si="83"/>
        <v/>
      </c>
    </row>
    <row r="895" spans="1:16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"&amp;L895,IF(AND(MAX(K$1:K894)&gt;0,N(K895)-MAX(K$1:K894)&gt;180),"⚠ Gap &gt; 3h",IF(_xlfn.LET(_xlpm.q,E895,_xlpm.tk,P895,_xlpm.ld,Log!$P$18,_xlpm.fx,IF(OR(_xlpm.ld="",_xlpm.ld="Full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"&amp;_xlpm.q,""))))&lt;&gt;"",IF(N895&lt;&gt;"","Load OK ✓ (checked)","⚠ "&amp;_xlfn.LET(_xlpm.q,E895,_xlpm.tk,P895,_xlpm.ld,Log!$P$18,_xlpm.fx,IF(OR(_xlpm.ld="",_xlpm.ld="Full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"&amp;_xlpm.q,""))))),IF(C895-I895&gt;=0.99,"next day",IF(C895-I895&gt;0.4,"12h → 24h","")))))))))))</f>
        <v/>
      </c>
      <c r="H895" s="4" t="str">
        <f t="shared" si="78"/>
        <v/>
      </c>
      <c r="I895" s="5" t="str">
        <f t="shared" si="79"/>
        <v/>
      </c>
      <c r="J895" s="6">
        <f t="shared" si="80"/>
        <v>0</v>
      </c>
      <c r="K895" s="4" t="str">
        <f t="shared" si="81"/>
        <v/>
      </c>
      <c r="L895" s="4" t="str">
        <f t="shared" si="82"/>
        <v/>
      </c>
      <c r="M895" s="4" t="b" cm="1">
        <f t="array" ref="M895">IF(H895="",FALSE,SUMPRODUCT(--(H$1:H894=H895))&gt;0)</f>
        <v>0</v>
      </c>
      <c r="N895" s="36"/>
      <c r="P895" s="1" t="str">
        <f t="shared" si="83"/>
        <v/>
      </c>
    </row>
    <row r="896" spans="1:16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"&amp;L896,IF(AND(MAX(K$1:K895)&gt;0,N(K896)-MAX(K$1:K895)&gt;180),"⚠ Gap &gt; 3h",IF(_xlfn.LET(_xlpm.q,E896,_xlpm.tk,P896,_xlpm.ld,Log!$P$18,_xlpm.fx,IF(OR(_xlpm.ld="",_xlpm.ld="Full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"&amp;_xlpm.q,""))))&lt;&gt;"",IF(N896&lt;&gt;"","Load OK ✓ (checked)","⚠ "&amp;_xlfn.LET(_xlpm.q,E896,_xlpm.tk,P896,_xlpm.ld,Log!$P$18,_xlpm.fx,IF(OR(_xlpm.ld="",_xlpm.ld="Full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"&amp;_xlpm.q,""))))),IF(C896-I896&gt;=0.99,"next day",IF(C896-I896&gt;0.4,"12h → 24h","")))))))))))</f>
        <v/>
      </c>
      <c r="H896" s="4" t="str">
        <f t="shared" si="78"/>
        <v/>
      </c>
      <c r="I896" s="5" t="str">
        <f t="shared" si="79"/>
        <v/>
      </c>
      <c r="J896" s="6">
        <f t="shared" si="80"/>
        <v>0</v>
      </c>
      <c r="K896" s="4" t="str">
        <f t="shared" si="81"/>
        <v/>
      </c>
      <c r="L896" s="4" t="str">
        <f t="shared" si="82"/>
        <v/>
      </c>
      <c r="M896" s="4" t="b" cm="1">
        <f t="array" ref="M896">IF(H896="",FALSE,SUMPRODUCT(--(H$1:H895=H896))&gt;0)</f>
        <v>0</v>
      </c>
      <c r="N896" s="36"/>
      <c r="P896" s="1" t="str">
        <f t="shared" si="83"/>
        <v/>
      </c>
    </row>
    <row r="897" spans="1:16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"&amp;L897,IF(AND(MAX(K$1:K896)&gt;0,N(K897)-MAX(K$1:K896)&gt;180),"⚠ Gap &gt; 3h",IF(_xlfn.LET(_xlpm.q,E897,_xlpm.tk,P897,_xlpm.ld,Log!$P$18,_xlpm.fx,IF(OR(_xlpm.ld="",_xlpm.ld="Full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"&amp;_xlpm.q,""))))&lt;&gt;"",IF(N897&lt;&gt;"","Load OK ✓ (checked)","⚠ "&amp;_xlfn.LET(_xlpm.q,E897,_xlpm.tk,P897,_xlpm.ld,Log!$P$18,_xlpm.fx,IF(OR(_xlpm.ld="",_xlpm.ld="Full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"&amp;_xlpm.q,""))))),IF(C897-I897&gt;=0.99,"next day",IF(C897-I897&gt;0.4,"12h → 24h","")))))))))))</f>
        <v/>
      </c>
      <c r="H897" s="4" t="str">
        <f t="shared" si="78"/>
        <v/>
      </c>
      <c r="I897" s="5" t="str">
        <f t="shared" si="79"/>
        <v/>
      </c>
      <c r="J897" s="6">
        <f t="shared" si="80"/>
        <v>0</v>
      </c>
      <c r="K897" s="4" t="str">
        <f t="shared" si="81"/>
        <v/>
      </c>
      <c r="L897" s="4" t="str">
        <f t="shared" si="82"/>
        <v/>
      </c>
      <c r="M897" s="4" t="b" cm="1">
        <f t="array" ref="M897">IF(H897="",FALSE,SUMPRODUCT(--(H$1:H896=H897))&gt;0)</f>
        <v>0</v>
      </c>
      <c r="N897" s="36"/>
      <c r="P897" s="1" t="str">
        <f t="shared" si="83"/>
        <v/>
      </c>
    </row>
    <row r="898" spans="1:16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"&amp;L898,IF(AND(MAX(K$1:K897)&gt;0,N(K898)-MAX(K$1:K897)&gt;180),"⚠ Gap &gt; 3h",IF(_xlfn.LET(_xlpm.q,E898,_xlpm.tk,P898,_xlpm.ld,Log!$P$18,_xlpm.fx,IF(OR(_xlpm.ld="",_xlpm.ld="Full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"&amp;_xlpm.q,""))))&lt;&gt;"",IF(N898&lt;&gt;"","Load OK ✓ (checked)","⚠ "&amp;_xlfn.LET(_xlpm.q,E898,_xlpm.tk,P898,_xlpm.ld,Log!$P$18,_xlpm.fx,IF(OR(_xlpm.ld="",_xlpm.ld="Full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"&amp;_xlpm.q,""))))),IF(C898-I898&gt;=0.99,"next day",IF(C898-I898&gt;0.4,"12h → 24h","")))))))))))</f>
        <v/>
      </c>
      <c r="H898" s="4" t="str">
        <f t="shared" ref="H898:H961" si="84">IF(B898="","",_xlfn.LET(_xlpm.t,TRIM(B898),IF(LEFT(_xlpm.t,1)="[",IFERROR(TRIM(MID(_xlpm.t,FIND(": ",_xlpm.t,FIND("]",_xlpm.t))+2,500)),_xlpm.t),_xlpm.t)))</f>
        <v/>
      </c>
      <c r="I898" s="5" t="str">
        <f t="shared" ref="I898:I961" si="85">IF(H898="","",IFERROR(TIMEVALUE(TRIM(SUBSTITUTE(SUBSTITUTE(MID(H898,SEARCH(":",H898)-2,5),".",""),"*",""))),""))</f>
        <v/>
      </c>
      <c r="J898" s="6">
        <f t="shared" ref="J898:J961" si="86">IF(OR(B898="",F898="",M898),0,IF(ISNUMBER(F898),F898,N(E898)))</f>
        <v>0</v>
      </c>
      <c r="K898" s="4" t="str">
        <f t="shared" ref="K898:K961" si="87">IF(OR(C898="",M898),"",ROUND(C898*1440,0))</f>
        <v/>
      </c>
      <c r="L898" s="4" t="str">
        <f t="shared" ref="L898:L961" si="88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  <c r="N898" s="36"/>
      <c r="P898" s="1" t="str">
        <f t="shared" ref="P898:P961" si="89">IF(OR(H898="",NOT(ISNUMBER(L898))),"",IFERROR(_xlfn.LET(_xlpm.t,TRIM(SUBSTITUTE(SUBSTITUTE(SUBSTITUTE(H898,"*",""),"_",""),"."," ")),_xlpm.s,TRIM(MID(SUBSTITUTE(_xlpm.t," ",REPT(" ",100)),101,100)),IF(AND(LEN(_xlpm.s)=3,ISNUMBER(--_xlpm.s)),--_xlpm.s,"")),""))</f>
        <v/>
      </c>
    </row>
    <row r="899" spans="1:16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"&amp;L899,IF(AND(MAX(K$1:K898)&gt;0,N(K899)-MAX(K$1:K898)&gt;180),"⚠ Gap &gt; 3h",IF(_xlfn.LET(_xlpm.q,E899,_xlpm.tk,P899,_xlpm.ld,Log!$P$18,_xlpm.fx,IF(OR(_xlpm.ld="",_xlpm.ld="Full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"&amp;_xlpm.q,""))))&lt;&gt;"",IF(N899&lt;&gt;"","Load OK ✓ (checked)","⚠ "&amp;_xlfn.LET(_xlpm.q,E899,_xlpm.tk,P899,_xlpm.ld,Log!$P$18,_xlpm.fx,IF(OR(_xlpm.ld="",_xlpm.ld="Full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"&amp;_xlpm.q,""))))),IF(C899-I899&gt;=0.99,"next day",IF(C899-I899&gt;0.4,"12h → 24h","")))))))))))</f>
        <v/>
      </c>
      <c r="H899" s="4" t="str">
        <f t="shared" si="84"/>
        <v/>
      </c>
      <c r="I899" s="5" t="str">
        <f t="shared" si="85"/>
        <v/>
      </c>
      <c r="J899" s="6">
        <f t="shared" si="86"/>
        <v>0</v>
      </c>
      <c r="K899" s="4" t="str">
        <f t="shared" si="87"/>
        <v/>
      </c>
      <c r="L899" s="4" t="str">
        <f t="shared" si="88"/>
        <v/>
      </c>
      <c r="M899" s="4" t="b" cm="1">
        <f t="array" ref="M899">IF(H899="",FALSE,SUMPRODUCT(--(H$1:H898=H899))&gt;0)</f>
        <v>0</v>
      </c>
      <c r="N899" s="36"/>
      <c r="P899" s="1" t="str">
        <f t="shared" si="89"/>
        <v/>
      </c>
    </row>
    <row r="900" spans="1:16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"&amp;L900,IF(AND(MAX(K$1:K899)&gt;0,N(K900)-MAX(K$1:K899)&gt;180),"⚠ Gap &gt; 3h",IF(_xlfn.LET(_xlpm.q,E900,_xlpm.tk,P900,_xlpm.ld,Log!$P$18,_xlpm.fx,IF(OR(_xlpm.ld="",_xlpm.ld="Full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"&amp;_xlpm.q,""))))&lt;&gt;"",IF(N900&lt;&gt;"","Load OK ✓ (checked)","⚠ "&amp;_xlfn.LET(_xlpm.q,E900,_xlpm.tk,P900,_xlpm.ld,Log!$P$18,_xlpm.fx,IF(OR(_xlpm.ld="",_xlpm.ld="Full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"&amp;_xlpm.q,""))))),IF(C900-I900&gt;=0.99,"next day",IF(C900-I900&gt;0.4,"12h → 24h","")))))))))))</f>
        <v/>
      </c>
      <c r="H900" s="4" t="str">
        <f t="shared" si="84"/>
        <v/>
      </c>
      <c r="I900" s="5" t="str">
        <f t="shared" si="85"/>
        <v/>
      </c>
      <c r="J900" s="6">
        <f t="shared" si="86"/>
        <v>0</v>
      </c>
      <c r="K900" s="4" t="str">
        <f t="shared" si="87"/>
        <v/>
      </c>
      <c r="L900" s="4" t="str">
        <f t="shared" si="88"/>
        <v/>
      </c>
      <c r="M900" s="4" t="b" cm="1">
        <f t="array" ref="M900">IF(H900="",FALSE,SUMPRODUCT(--(H$1:H899=H900))&gt;0)</f>
        <v>0</v>
      </c>
      <c r="N900" s="36"/>
      <c r="P900" s="1" t="str">
        <f t="shared" si="89"/>
        <v/>
      </c>
    </row>
    <row r="901" spans="1:16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"&amp;L901,IF(AND(MAX(K$1:K900)&gt;0,N(K901)-MAX(K$1:K900)&gt;180),"⚠ Gap &gt; 3h",IF(_xlfn.LET(_xlpm.q,E901,_xlpm.tk,P901,_xlpm.ld,Log!$P$18,_xlpm.fx,IF(OR(_xlpm.ld="",_xlpm.ld="Full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"&amp;_xlpm.q,""))))&lt;&gt;"",IF(N901&lt;&gt;"","Load OK ✓ (checked)","⚠ "&amp;_xlfn.LET(_xlpm.q,E901,_xlpm.tk,P901,_xlpm.ld,Log!$P$18,_xlpm.fx,IF(OR(_xlpm.ld="",_xlpm.ld="Full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"&amp;_xlpm.q,""))))),IF(C901-I901&gt;=0.99,"next day",IF(C901-I901&gt;0.4,"12h → 24h","")))))))))))</f>
        <v/>
      </c>
      <c r="H901" s="4" t="str">
        <f t="shared" si="84"/>
        <v/>
      </c>
      <c r="I901" s="5" t="str">
        <f t="shared" si="85"/>
        <v/>
      </c>
      <c r="J901" s="6">
        <f t="shared" si="86"/>
        <v>0</v>
      </c>
      <c r="K901" s="4" t="str">
        <f t="shared" si="87"/>
        <v/>
      </c>
      <c r="L901" s="4" t="str">
        <f t="shared" si="88"/>
        <v/>
      </c>
      <c r="M901" s="4" t="b" cm="1">
        <f t="array" ref="M901">IF(H901="",FALSE,SUMPRODUCT(--(H$1:H900=H901))&gt;0)</f>
        <v>0</v>
      </c>
      <c r="N901" s="36"/>
      <c r="P901" s="1" t="str">
        <f t="shared" si="89"/>
        <v/>
      </c>
    </row>
    <row r="902" spans="1:16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"&amp;L902,IF(AND(MAX(K$1:K901)&gt;0,N(K902)-MAX(K$1:K901)&gt;180),"⚠ Gap &gt; 3h",IF(_xlfn.LET(_xlpm.q,E902,_xlpm.tk,P902,_xlpm.ld,Log!$P$18,_xlpm.fx,IF(OR(_xlpm.ld="",_xlpm.ld="Full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"&amp;_xlpm.q,""))))&lt;&gt;"",IF(N902&lt;&gt;"","Load OK ✓ (checked)","⚠ "&amp;_xlfn.LET(_xlpm.q,E902,_xlpm.tk,P902,_xlpm.ld,Log!$P$18,_xlpm.fx,IF(OR(_xlpm.ld="",_xlpm.ld="Full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"&amp;_xlpm.q,""))))),IF(C902-I902&gt;=0.99,"next day",IF(C902-I902&gt;0.4,"12h → 24h","")))))))))))</f>
        <v/>
      </c>
      <c r="H902" s="4" t="str">
        <f t="shared" si="84"/>
        <v/>
      </c>
      <c r="I902" s="5" t="str">
        <f t="shared" si="85"/>
        <v/>
      </c>
      <c r="J902" s="6">
        <f t="shared" si="86"/>
        <v>0</v>
      </c>
      <c r="K902" s="4" t="str">
        <f t="shared" si="87"/>
        <v/>
      </c>
      <c r="L902" s="4" t="str">
        <f t="shared" si="88"/>
        <v/>
      </c>
      <c r="M902" s="4" t="b" cm="1">
        <f t="array" ref="M902">IF(H902="",FALSE,SUMPRODUCT(--(H$1:H901=H902))&gt;0)</f>
        <v>0</v>
      </c>
      <c r="N902" s="36"/>
      <c r="P902" s="1" t="str">
        <f t="shared" si="89"/>
        <v/>
      </c>
    </row>
    <row r="903" spans="1:16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"&amp;L903,IF(AND(MAX(K$1:K902)&gt;0,N(K903)-MAX(K$1:K902)&gt;180),"⚠ Gap &gt; 3h",IF(_xlfn.LET(_xlpm.q,E903,_xlpm.tk,P903,_xlpm.ld,Log!$P$18,_xlpm.fx,IF(OR(_xlpm.ld="",_xlpm.ld="Full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"&amp;_xlpm.q,""))))&lt;&gt;"",IF(N903&lt;&gt;"","Load OK ✓ (checked)","⚠ "&amp;_xlfn.LET(_xlpm.q,E903,_xlpm.tk,P903,_xlpm.ld,Log!$P$18,_xlpm.fx,IF(OR(_xlpm.ld="",_xlpm.ld="Full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"&amp;_xlpm.q,""))))),IF(C903-I903&gt;=0.99,"next day",IF(C903-I903&gt;0.4,"12h → 24h","")))))))))))</f>
        <v/>
      </c>
      <c r="H903" s="4" t="str">
        <f t="shared" si="84"/>
        <v/>
      </c>
      <c r="I903" s="5" t="str">
        <f t="shared" si="85"/>
        <v/>
      </c>
      <c r="J903" s="6">
        <f t="shared" si="86"/>
        <v>0</v>
      </c>
      <c r="K903" s="4" t="str">
        <f t="shared" si="87"/>
        <v/>
      </c>
      <c r="L903" s="4" t="str">
        <f t="shared" si="88"/>
        <v/>
      </c>
      <c r="M903" s="4" t="b" cm="1">
        <f t="array" ref="M903">IF(H903="",FALSE,SUMPRODUCT(--(H$1:H902=H903))&gt;0)</f>
        <v>0</v>
      </c>
      <c r="N903" s="36"/>
      <c r="P903" s="1" t="str">
        <f t="shared" si="89"/>
        <v/>
      </c>
    </row>
    <row r="904" spans="1:16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"&amp;L904,IF(AND(MAX(K$1:K903)&gt;0,N(K904)-MAX(K$1:K903)&gt;180),"⚠ Gap &gt; 3h",IF(_xlfn.LET(_xlpm.q,E904,_xlpm.tk,P904,_xlpm.ld,Log!$P$18,_xlpm.fx,IF(OR(_xlpm.ld="",_xlpm.ld="Full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"&amp;_xlpm.q,""))))&lt;&gt;"",IF(N904&lt;&gt;"","Load OK ✓ (checked)","⚠ "&amp;_xlfn.LET(_xlpm.q,E904,_xlpm.tk,P904,_xlpm.ld,Log!$P$18,_xlpm.fx,IF(OR(_xlpm.ld="",_xlpm.ld="Full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"&amp;_xlpm.q,""))))),IF(C904-I904&gt;=0.99,"next day",IF(C904-I904&gt;0.4,"12h → 24h","")))))))))))</f>
        <v/>
      </c>
      <c r="H904" s="4" t="str">
        <f t="shared" si="84"/>
        <v/>
      </c>
      <c r="I904" s="5" t="str">
        <f t="shared" si="85"/>
        <v/>
      </c>
      <c r="J904" s="6">
        <f t="shared" si="86"/>
        <v>0</v>
      </c>
      <c r="K904" s="4" t="str">
        <f t="shared" si="87"/>
        <v/>
      </c>
      <c r="L904" s="4" t="str">
        <f t="shared" si="88"/>
        <v/>
      </c>
      <c r="M904" s="4" t="b" cm="1">
        <f t="array" ref="M904">IF(H904="",FALSE,SUMPRODUCT(--(H$1:H903=H904))&gt;0)</f>
        <v>0</v>
      </c>
      <c r="N904" s="36"/>
      <c r="P904" s="1" t="str">
        <f t="shared" si="89"/>
        <v/>
      </c>
    </row>
    <row r="905" spans="1:16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"&amp;L905,IF(AND(MAX(K$1:K904)&gt;0,N(K905)-MAX(K$1:K904)&gt;180),"⚠ Gap &gt; 3h",IF(_xlfn.LET(_xlpm.q,E905,_xlpm.tk,P905,_xlpm.ld,Log!$P$18,_xlpm.fx,IF(OR(_xlpm.ld="",_xlpm.ld="Full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"&amp;_xlpm.q,""))))&lt;&gt;"",IF(N905&lt;&gt;"","Load OK ✓ (checked)","⚠ "&amp;_xlfn.LET(_xlpm.q,E905,_xlpm.tk,P905,_xlpm.ld,Log!$P$18,_xlpm.fx,IF(OR(_xlpm.ld="",_xlpm.ld="Full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"&amp;_xlpm.q,""))))),IF(C905-I905&gt;=0.99,"next day",IF(C905-I905&gt;0.4,"12h → 24h","")))))))))))</f>
        <v/>
      </c>
      <c r="H905" s="4" t="str">
        <f t="shared" si="84"/>
        <v/>
      </c>
      <c r="I905" s="5" t="str">
        <f t="shared" si="85"/>
        <v/>
      </c>
      <c r="J905" s="6">
        <f t="shared" si="86"/>
        <v>0</v>
      </c>
      <c r="K905" s="4" t="str">
        <f t="shared" si="87"/>
        <v/>
      </c>
      <c r="L905" s="4" t="str">
        <f t="shared" si="88"/>
        <v/>
      </c>
      <c r="M905" s="4" t="b" cm="1">
        <f t="array" ref="M905">IF(H905="",FALSE,SUMPRODUCT(--(H$1:H904=H905))&gt;0)</f>
        <v>0</v>
      </c>
      <c r="N905" s="36"/>
      <c r="P905" s="1" t="str">
        <f t="shared" si="89"/>
        <v/>
      </c>
    </row>
    <row r="906" spans="1:16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"&amp;L906,IF(AND(MAX(K$1:K905)&gt;0,N(K906)-MAX(K$1:K905)&gt;180),"⚠ Gap &gt; 3h",IF(_xlfn.LET(_xlpm.q,E906,_xlpm.tk,P906,_xlpm.ld,Log!$P$18,_xlpm.fx,IF(OR(_xlpm.ld="",_xlpm.ld="Full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"&amp;_xlpm.q,""))))&lt;&gt;"",IF(N906&lt;&gt;"","Load OK ✓ (checked)","⚠ "&amp;_xlfn.LET(_xlpm.q,E906,_xlpm.tk,P906,_xlpm.ld,Log!$P$18,_xlpm.fx,IF(OR(_xlpm.ld="",_xlpm.ld="Full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"&amp;_xlpm.q,""))))),IF(C906-I906&gt;=0.99,"next day",IF(C906-I906&gt;0.4,"12h → 24h","")))))))))))</f>
        <v/>
      </c>
      <c r="H906" s="4" t="str">
        <f t="shared" si="84"/>
        <v/>
      </c>
      <c r="I906" s="5" t="str">
        <f t="shared" si="85"/>
        <v/>
      </c>
      <c r="J906" s="6">
        <f t="shared" si="86"/>
        <v>0</v>
      </c>
      <c r="K906" s="4" t="str">
        <f t="shared" si="87"/>
        <v/>
      </c>
      <c r="L906" s="4" t="str">
        <f t="shared" si="88"/>
        <v/>
      </c>
      <c r="M906" s="4" t="b" cm="1">
        <f t="array" ref="M906">IF(H906="",FALSE,SUMPRODUCT(--(H$1:H905=H906))&gt;0)</f>
        <v>0</v>
      </c>
      <c r="N906" s="36"/>
      <c r="P906" s="1" t="str">
        <f t="shared" si="89"/>
        <v/>
      </c>
    </row>
    <row r="907" spans="1:16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"&amp;L907,IF(AND(MAX(K$1:K906)&gt;0,N(K907)-MAX(K$1:K906)&gt;180),"⚠ Gap &gt; 3h",IF(_xlfn.LET(_xlpm.q,E907,_xlpm.tk,P907,_xlpm.ld,Log!$P$18,_xlpm.fx,IF(OR(_xlpm.ld="",_xlpm.ld="Full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"&amp;_xlpm.q,""))))&lt;&gt;"",IF(N907&lt;&gt;"","Load OK ✓ (checked)","⚠ "&amp;_xlfn.LET(_xlpm.q,E907,_xlpm.tk,P907,_xlpm.ld,Log!$P$18,_xlpm.fx,IF(OR(_xlpm.ld="",_xlpm.ld="Full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"&amp;_xlpm.q,""))))),IF(C907-I907&gt;=0.99,"next day",IF(C907-I907&gt;0.4,"12h → 24h","")))))))))))</f>
        <v/>
      </c>
      <c r="H907" s="4" t="str">
        <f t="shared" si="84"/>
        <v/>
      </c>
      <c r="I907" s="5" t="str">
        <f t="shared" si="85"/>
        <v/>
      </c>
      <c r="J907" s="6">
        <f t="shared" si="86"/>
        <v>0</v>
      </c>
      <c r="K907" s="4" t="str">
        <f t="shared" si="87"/>
        <v/>
      </c>
      <c r="L907" s="4" t="str">
        <f t="shared" si="88"/>
        <v/>
      </c>
      <c r="M907" s="4" t="b" cm="1">
        <f t="array" ref="M907">IF(H907="",FALSE,SUMPRODUCT(--(H$1:H906=H907))&gt;0)</f>
        <v>0</v>
      </c>
      <c r="N907" s="36"/>
      <c r="P907" s="1" t="str">
        <f t="shared" si="89"/>
        <v/>
      </c>
    </row>
    <row r="908" spans="1:16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"&amp;L908,IF(AND(MAX(K$1:K907)&gt;0,N(K908)-MAX(K$1:K907)&gt;180),"⚠ Gap &gt; 3h",IF(_xlfn.LET(_xlpm.q,E908,_xlpm.tk,P908,_xlpm.ld,Log!$P$18,_xlpm.fx,IF(OR(_xlpm.ld="",_xlpm.ld="Full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"&amp;_xlpm.q,""))))&lt;&gt;"",IF(N908&lt;&gt;"","Load OK ✓ (checked)","⚠ "&amp;_xlfn.LET(_xlpm.q,E908,_xlpm.tk,P908,_xlpm.ld,Log!$P$18,_xlpm.fx,IF(OR(_xlpm.ld="",_xlpm.ld="Full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"&amp;_xlpm.q,""))))),IF(C908-I908&gt;=0.99,"next day",IF(C908-I908&gt;0.4,"12h → 24h","")))))))))))</f>
        <v/>
      </c>
      <c r="H908" s="4" t="str">
        <f t="shared" si="84"/>
        <v/>
      </c>
      <c r="I908" s="5" t="str">
        <f t="shared" si="85"/>
        <v/>
      </c>
      <c r="J908" s="6">
        <f t="shared" si="86"/>
        <v>0</v>
      </c>
      <c r="K908" s="4" t="str">
        <f t="shared" si="87"/>
        <v/>
      </c>
      <c r="L908" s="4" t="str">
        <f t="shared" si="88"/>
        <v/>
      </c>
      <c r="M908" s="4" t="b" cm="1">
        <f t="array" ref="M908">IF(H908="",FALSE,SUMPRODUCT(--(H$1:H907=H908))&gt;0)</f>
        <v>0</v>
      </c>
      <c r="N908" s="36"/>
      <c r="P908" s="1" t="str">
        <f t="shared" si="89"/>
        <v/>
      </c>
    </row>
    <row r="909" spans="1:16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"&amp;L909,IF(AND(MAX(K$1:K908)&gt;0,N(K909)-MAX(K$1:K908)&gt;180),"⚠ Gap &gt; 3h",IF(_xlfn.LET(_xlpm.q,E909,_xlpm.tk,P909,_xlpm.ld,Log!$P$18,_xlpm.fx,IF(OR(_xlpm.ld="",_xlpm.ld="Full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"&amp;_xlpm.q,""))))&lt;&gt;"",IF(N909&lt;&gt;"","Load OK ✓ (checked)","⚠ "&amp;_xlfn.LET(_xlpm.q,E909,_xlpm.tk,P909,_xlpm.ld,Log!$P$18,_xlpm.fx,IF(OR(_xlpm.ld="",_xlpm.ld="Full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"&amp;_xlpm.q,""))))),IF(C909-I909&gt;=0.99,"next day",IF(C909-I909&gt;0.4,"12h → 24h","")))))))))))</f>
        <v/>
      </c>
      <c r="H909" s="4" t="str">
        <f t="shared" si="84"/>
        <v/>
      </c>
      <c r="I909" s="5" t="str">
        <f t="shared" si="85"/>
        <v/>
      </c>
      <c r="J909" s="6">
        <f t="shared" si="86"/>
        <v>0</v>
      </c>
      <c r="K909" s="4" t="str">
        <f t="shared" si="87"/>
        <v/>
      </c>
      <c r="L909" s="4" t="str">
        <f t="shared" si="88"/>
        <v/>
      </c>
      <c r="M909" s="4" t="b" cm="1">
        <f t="array" ref="M909">IF(H909="",FALSE,SUMPRODUCT(--(H$1:H908=H909))&gt;0)</f>
        <v>0</v>
      </c>
      <c r="N909" s="36"/>
      <c r="P909" s="1" t="str">
        <f t="shared" si="89"/>
        <v/>
      </c>
    </row>
    <row r="910" spans="1:16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"&amp;L910,IF(AND(MAX(K$1:K909)&gt;0,N(K910)-MAX(K$1:K909)&gt;180),"⚠ Gap &gt; 3h",IF(_xlfn.LET(_xlpm.q,E910,_xlpm.tk,P910,_xlpm.ld,Log!$P$18,_xlpm.fx,IF(OR(_xlpm.ld="",_xlpm.ld="Full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"&amp;_xlpm.q,""))))&lt;&gt;"",IF(N910&lt;&gt;"","Load OK ✓ (checked)","⚠ "&amp;_xlfn.LET(_xlpm.q,E910,_xlpm.tk,P910,_xlpm.ld,Log!$P$18,_xlpm.fx,IF(OR(_xlpm.ld="",_xlpm.ld="Full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"&amp;_xlpm.q,""))))),IF(C910-I910&gt;=0.99,"next day",IF(C910-I910&gt;0.4,"12h → 24h","")))))))))))</f>
        <v/>
      </c>
      <c r="H910" s="4" t="str">
        <f t="shared" si="84"/>
        <v/>
      </c>
      <c r="I910" s="5" t="str">
        <f t="shared" si="85"/>
        <v/>
      </c>
      <c r="J910" s="6">
        <f t="shared" si="86"/>
        <v>0</v>
      </c>
      <c r="K910" s="4" t="str">
        <f t="shared" si="87"/>
        <v/>
      </c>
      <c r="L910" s="4" t="str">
        <f t="shared" si="88"/>
        <v/>
      </c>
      <c r="M910" s="4" t="b" cm="1">
        <f t="array" ref="M910">IF(H910="",FALSE,SUMPRODUCT(--(H$1:H909=H910))&gt;0)</f>
        <v>0</v>
      </c>
      <c r="N910" s="36"/>
      <c r="P910" s="1" t="str">
        <f t="shared" si="89"/>
        <v/>
      </c>
    </row>
    <row r="911" spans="1:16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"&amp;L911,IF(AND(MAX(K$1:K910)&gt;0,N(K911)-MAX(K$1:K910)&gt;180),"⚠ Gap &gt; 3h",IF(_xlfn.LET(_xlpm.q,E911,_xlpm.tk,P911,_xlpm.ld,Log!$P$18,_xlpm.fx,IF(OR(_xlpm.ld="",_xlpm.ld="Full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"&amp;_xlpm.q,""))))&lt;&gt;"",IF(N911&lt;&gt;"","Load OK ✓ (checked)","⚠ "&amp;_xlfn.LET(_xlpm.q,E911,_xlpm.tk,P911,_xlpm.ld,Log!$P$18,_xlpm.fx,IF(OR(_xlpm.ld="",_xlpm.ld="Full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"&amp;_xlpm.q,""))))),IF(C911-I911&gt;=0.99,"next day",IF(C911-I911&gt;0.4,"12h → 24h","")))))))))))</f>
        <v/>
      </c>
      <c r="H911" s="4" t="str">
        <f t="shared" si="84"/>
        <v/>
      </c>
      <c r="I911" s="5" t="str">
        <f t="shared" si="85"/>
        <v/>
      </c>
      <c r="J911" s="6">
        <f t="shared" si="86"/>
        <v>0</v>
      </c>
      <c r="K911" s="4" t="str">
        <f t="shared" si="87"/>
        <v/>
      </c>
      <c r="L911" s="4" t="str">
        <f t="shared" si="88"/>
        <v/>
      </c>
      <c r="M911" s="4" t="b" cm="1">
        <f t="array" ref="M911">IF(H911="",FALSE,SUMPRODUCT(--(H$1:H910=H911))&gt;0)</f>
        <v>0</v>
      </c>
      <c r="N911" s="36"/>
      <c r="P911" s="1" t="str">
        <f t="shared" si="89"/>
        <v/>
      </c>
    </row>
    <row r="912" spans="1:16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"&amp;L912,IF(AND(MAX(K$1:K911)&gt;0,N(K912)-MAX(K$1:K911)&gt;180),"⚠ Gap &gt; 3h",IF(_xlfn.LET(_xlpm.q,E912,_xlpm.tk,P912,_xlpm.ld,Log!$P$18,_xlpm.fx,IF(OR(_xlpm.ld="",_xlpm.ld="Full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"&amp;_xlpm.q,""))))&lt;&gt;"",IF(N912&lt;&gt;"","Load OK ✓ (checked)","⚠ "&amp;_xlfn.LET(_xlpm.q,E912,_xlpm.tk,P912,_xlpm.ld,Log!$P$18,_xlpm.fx,IF(OR(_xlpm.ld="",_xlpm.ld="Full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"&amp;_xlpm.q,""))))),IF(C912-I912&gt;=0.99,"next day",IF(C912-I912&gt;0.4,"12h → 24h","")))))))))))</f>
        <v/>
      </c>
      <c r="H912" s="4" t="str">
        <f t="shared" si="84"/>
        <v/>
      </c>
      <c r="I912" s="5" t="str">
        <f t="shared" si="85"/>
        <v/>
      </c>
      <c r="J912" s="6">
        <f t="shared" si="86"/>
        <v>0</v>
      </c>
      <c r="K912" s="4" t="str">
        <f t="shared" si="87"/>
        <v/>
      </c>
      <c r="L912" s="4" t="str">
        <f t="shared" si="88"/>
        <v/>
      </c>
      <c r="M912" s="4" t="b" cm="1">
        <f t="array" ref="M912">IF(H912="",FALSE,SUMPRODUCT(--(H$1:H911=H912))&gt;0)</f>
        <v>0</v>
      </c>
      <c r="N912" s="36"/>
      <c r="P912" s="1" t="str">
        <f t="shared" si="89"/>
        <v/>
      </c>
    </row>
    <row r="913" spans="1:16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"&amp;L913,IF(AND(MAX(K$1:K912)&gt;0,N(K913)-MAX(K$1:K912)&gt;180),"⚠ Gap &gt; 3h",IF(_xlfn.LET(_xlpm.q,E913,_xlpm.tk,P913,_xlpm.ld,Log!$P$18,_xlpm.fx,IF(OR(_xlpm.ld="",_xlpm.ld="Full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"&amp;_xlpm.q,""))))&lt;&gt;"",IF(N913&lt;&gt;"","Load OK ✓ (checked)","⚠ "&amp;_xlfn.LET(_xlpm.q,E913,_xlpm.tk,P913,_xlpm.ld,Log!$P$18,_xlpm.fx,IF(OR(_xlpm.ld="",_xlpm.ld="Full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"&amp;_xlpm.q,""))))),IF(C913-I913&gt;=0.99,"next day",IF(C913-I913&gt;0.4,"12h → 24h","")))))))))))</f>
        <v/>
      </c>
      <c r="H913" s="4" t="str">
        <f t="shared" si="84"/>
        <v/>
      </c>
      <c r="I913" s="5" t="str">
        <f t="shared" si="85"/>
        <v/>
      </c>
      <c r="J913" s="6">
        <f t="shared" si="86"/>
        <v>0</v>
      </c>
      <c r="K913" s="4" t="str">
        <f t="shared" si="87"/>
        <v/>
      </c>
      <c r="L913" s="4" t="str">
        <f t="shared" si="88"/>
        <v/>
      </c>
      <c r="M913" s="4" t="b" cm="1">
        <f t="array" ref="M913">IF(H913="",FALSE,SUMPRODUCT(--(H$1:H912=H913))&gt;0)</f>
        <v>0</v>
      </c>
      <c r="N913" s="36"/>
      <c r="P913" s="1" t="str">
        <f t="shared" si="89"/>
        <v/>
      </c>
    </row>
    <row r="914" spans="1:16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"&amp;L914,IF(AND(MAX(K$1:K913)&gt;0,N(K914)-MAX(K$1:K913)&gt;180),"⚠ Gap &gt; 3h",IF(_xlfn.LET(_xlpm.q,E914,_xlpm.tk,P914,_xlpm.ld,Log!$P$18,_xlpm.fx,IF(OR(_xlpm.ld="",_xlpm.ld="Full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"&amp;_xlpm.q,""))))&lt;&gt;"",IF(N914&lt;&gt;"","Load OK ✓ (checked)","⚠ "&amp;_xlfn.LET(_xlpm.q,E914,_xlpm.tk,P914,_xlpm.ld,Log!$P$18,_xlpm.fx,IF(OR(_xlpm.ld="",_xlpm.ld="Full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"&amp;_xlpm.q,""))))),IF(C914-I914&gt;=0.99,"next day",IF(C914-I914&gt;0.4,"12h → 24h","")))))))))))</f>
        <v/>
      </c>
      <c r="H914" s="4" t="str">
        <f t="shared" si="84"/>
        <v/>
      </c>
      <c r="I914" s="5" t="str">
        <f t="shared" si="85"/>
        <v/>
      </c>
      <c r="J914" s="6">
        <f t="shared" si="86"/>
        <v>0</v>
      </c>
      <c r="K914" s="4" t="str">
        <f t="shared" si="87"/>
        <v/>
      </c>
      <c r="L914" s="4" t="str">
        <f t="shared" si="88"/>
        <v/>
      </c>
      <c r="M914" s="4" t="b" cm="1">
        <f t="array" ref="M914">IF(H914="",FALSE,SUMPRODUCT(--(H$1:H913=H914))&gt;0)</f>
        <v>0</v>
      </c>
      <c r="N914" s="36"/>
      <c r="P914" s="1" t="str">
        <f t="shared" si="89"/>
        <v/>
      </c>
    </row>
    <row r="915" spans="1:16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"&amp;L915,IF(AND(MAX(K$1:K914)&gt;0,N(K915)-MAX(K$1:K914)&gt;180),"⚠ Gap &gt; 3h",IF(_xlfn.LET(_xlpm.q,E915,_xlpm.tk,P915,_xlpm.ld,Log!$P$18,_xlpm.fx,IF(OR(_xlpm.ld="",_xlpm.ld="Full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"&amp;_xlpm.q,""))))&lt;&gt;"",IF(N915&lt;&gt;"","Load OK ✓ (checked)","⚠ "&amp;_xlfn.LET(_xlpm.q,E915,_xlpm.tk,P915,_xlpm.ld,Log!$P$18,_xlpm.fx,IF(OR(_xlpm.ld="",_xlpm.ld="Full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"&amp;_xlpm.q,""))))),IF(C915-I915&gt;=0.99,"next day",IF(C915-I915&gt;0.4,"12h → 24h","")))))))))))</f>
        <v/>
      </c>
      <c r="H915" s="4" t="str">
        <f t="shared" si="84"/>
        <v/>
      </c>
      <c r="I915" s="5" t="str">
        <f t="shared" si="85"/>
        <v/>
      </c>
      <c r="J915" s="6">
        <f t="shared" si="86"/>
        <v>0</v>
      </c>
      <c r="K915" s="4" t="str">
        <f t="shared" si="87"/>
        <v/>
      </c>
      <c r="L915" s="4" t="str">
        <f t="shared" si="88"/>
        <v/>
      </c>
      <c r="M915" s="4" t="b" cm="1">
        <f t="array" ref="M915">IF(H915="",FALSE,SUMPRODUCT(--(H$1:H914=H915))&gt;0)</f>
        <v>0</v>
      </c>
      <c r="N915" s="36"/>
      <c r="P915" s="1" t="str">
        <f t="shared" si="89"/>
        <v/>
      </c>
    </row>
    <row r="916" spans="1:16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"&amp;L916,IF(AND(MAX(K$1:K915)&gt;0,N(K916)-MAX(K$1:K915)&gt;180),"⚠ Gap &gt; 3h",IF(_xlfn.LET(_xlpm.q,E916,_xlpm.tk,P916,_xlpm.ld,Log!$P$18,_xlpm.fx,IF(OR(_xlpm.ld="",_xlpm.ld="Full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"&amp;_xlpm.q,""))))&lt;&gt;"",IF(N916&lt;&gt;"","Load OK ✓ (checked)","⚠ "&amp;_xlfn.LET(_xlpm.q,E916,_xlpm.tk,P916,_xlpm.ld,Log!$P$18,_xlpm.fx,IF(OR(_xlpm.ld="",_xlpm.ld="Full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"&amp;_xlpm.q,""))))),IF(C916-I916&gt;=0.99,"next day",IF(C916-I916&gt;0.4,"12h → 24h","")))))))))))</f>
        <v/>
      </c>
      <c r="H916" s="4" t="str">
        <f t="shared" si="84"/>
        <v/>
      </c>
      <c r="I916" s="5" t="str">
        <f t="shared" si="85"/>
        <v/>
      </c>
      <c r="J916" s="6">
        <f t="shared" si="86"/>
        <v>0</v>
      </c>
      <c r="K916" s="4" t="str">
        <f t="shared" si="87"/>
        <v/>
      </c>
      <c r="L916" s="4" t="str">
        <f t="shared" si="88"/>
        <v/>
      </c>
      <c r="M916" s="4" t="b" cm="1">
        <f t="array" ref="M916">IF(H916="",FALSE,SUMPRODUCT(--(H$1:H915=H916))&gt;0)</f>
        <v>0</v>
      </c>
      <c r="N916" s="36"/>
      <c r="P916" s="1" t="str">
        <f t="shared" si="89"/>
        <v/>
      </c>
    </row>
    <row r="917" spans="1:16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"&amp;L917,IF(AND(MAX(K$1:K916)&gt;0,N(K917)-MAX(K$1:K916)&gt;180),"⚠ Gap &gt; 3h",IF(_xlfn.LET(_xlpm.q,E917,_xlpm.tk,P917,_xlpm.ld,Log!$P$18,_xlpm.fx,IF(OR(_xlpm.ld="",_xlpm.ld="Full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"&amp;_xlpm.q,""))))&lt;&gt;"",IF(N917&lt;&gt;"","Load OK ✓ (checked)","⚠ "&amp;_xlfn.LET(_xlpm.q,E917,_xlpm.tk,P917,_xlpm.ld,Log!$P$18,_xlpm.fx,IF(OR(_xlpm.ld="",_xlpm.ld="Full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"&amp;_xlpm.q,""))))),IF(C917-I917&gt;=0.99,"next day",IF(C917-I917&gt;0.4,"12h → 24h","")))))))))))</f>
        <v/>
      </c>
      <c r="H917" s="4" t="str">
        <f t="shared" si="84"/>
        <v/>
      </c>
      <c r="I917" s="5" t="str">
        <f t="shared" si="85"/>
        <v/>
      </c>
      <c r="J917" s="6">
        <f t="shared" si="86"/>
        <v>0</v>
      </c>
      <c r="K917" s="4" t="str">
        <f t="shared" si="87"/>
        <v/>
      </c>
      <c r="L917" s="4" t="str">
        <f t="shared" si="88"/>
        <v/>
      </c>
      <c r="M917" s="4" t="b" cm="1">
        <f t="array" ref="M917">IF(H917="",FALSE,SUMPRODUCT(--(H$1:H916=H917))&gt;0)</f>
        <v>0</v>
      </c>
      <c r="N917" s="36"/>
      <c r="P917" s="1" t="str">
        <f t="shared" si="89"/>
        <v/>
      </c>
    </row>
    <row r="918" spans="1:16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"&amp;L918,IF(AND(MAX(K$1:K917)&gt;0,N(K918)-MAX(K$1:K917)&gt;180),"⚠ Gap &gt; 3h",IF(_xlfn.LET(_xlpm.q,E918,_xlpm.tk,P918,_xlpm.ld,Log!$P$18,_xlpm.fx,IF(OR(_xlpm.ld="",_xlpm.ld="Full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"&amp;_xlpm.q,""))))&lt;&gt;"",IF(N918&lt;&gt;"","Load OK ✓ (checked)","⚠ "&amp;_xlfn.LET(_xlpm.q,E918,_xlpm.tk,P918,_xlpm.ld,Log!$P$18,_xlpm.fx,IF(OR(_xlpm.ld="",_xlpm.ld="Full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"&amp;_xlpm.q,""))))),IF(C918-I918&gt;=0.99,"next day",IF(C918-I918&gt;0.4,"12h → 24h","")))))))))))</f>
        <v/>
      </c>
      <c r="H918" s="4" t="str">
        <f t="shared" si="84"/>
        <v/>
      </c>
      <c r="I918" s="5" t="str">
        <f t="shared" si="85"/>
        <v/>
      </c>
      <c r="J918" s="6">
        <f t="shared" si="86"/>
        <v>0</v>
      </c>
      <c r="K918" s="4" t="str">
        <f t="shared" si="87"/>
        <v/>
      </c>
      <c r="L918" s="4" t="str">
        <f t="shared" si="88"/>
        <v/>
      </c>
      <c r="M918" s="4" t="b" cm="1">
        <f t="array" ref="M918">IF(H918="",FALSE,SUMPRODUCT(--(H$1:H917=H918))&gt;0)</f>
        <v>0</v>
      </c>
      <c r="N918" s="36"/>
      <c r="P918" s="1" t="str">
        <f t="shared" si="89"/>
        <v/>
      </c>
    </row>
    <row r="919" spans="1:16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"&amp;L919,IF(AND(MAX(K$1:K918)&gt;0,N(K919)-MAX(K$1:K918)&gt;180),"⚠ Gap &gt; 3h",IF(_xlfn.LET(_xlpm.q,E919,_xlpm.tk,P919,_xlpm.ld,Log!$P$18,_xlpm.fx,IF(OR(_xlpm.ld="",_xlpm.ld="Full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"&amp;_xlpm.q,""))))&lt;&gt;"",IF(N919&lt;&gt;"","Load OK ✓ (checked)","⚠ "&amp;_xlfn.LET(_xlpm.q,E919,_xlpm.tk,P919,_xlpm.ld,Log!$P$18,_xlpm.fx,IF(OR(_xlpm.ld="",_xlpm.ld="Full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"&amp;_xlpm.q,""))))),IF(C919-I919&gt;=0.99,"next day",IF(C919-I919&gt;0.4,"12h → 24h","")))))))))))</f>
        <v/>
      </c>
      <c r="H919" s="4" t="str">
        <f t="shared" si="84"/>
        <v/>
      </c>
      <c r="I919" s="5" t="str">
        <f t="shared" si="85"/>
        <v/>
      </c>
      <c r="J919" s="6">
        <f t="shared" si="86"/>
        <v>0</v>
      </c>
      <c r="K919" s="4" t="str">
        <f t="shared" si="87"/>
        <v/>
      </c>
      <c r="L919" s="4" t="str">
        <f t="shared" si="88"/>
        <v/>
      </c>
      <c r="M919" s="4" t="b" cm="1">
        <f t="array" ref="M919">IF(H919="",FALSE,SUMPRODUCT(--(H$1:H918=H919))&gt;0)</f>
        <v>0</v>
      </c>
      <c r="N919" s="36"/>
      <c r="P919" s="1" t="str">
        <f t="shared" si="89"/>
        <v/>
      </c>
    </row>
    <row r="920" spans="1:16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"&amp;L920,IF(AND(MAX(K$1:K919)&gt;0,N(K920)-MAX(K$1:K919)&gt;180),"⚠ Gap &gt; 3h",IF(_xlfn.LET(_xlpm.q,E920,_xlpm.tk,P920,_xlpm.ld,Log!$P$18,_xlpm.fx,IF(OR(_xlpm.ld="",_xlpm.ld="Full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"&amp;_xlpm.q,""))))&lt;&gt;"",IF(N920&lt;&gt;"","Load OK ✓ (checked)","⚠ "&amp;_xlfn.LET(_xlpm.q,E920,_xlpm.tk,P920,_xlpm.ld,Log!$P$18,_xlpm.fx,IF(OR(_xlpm.ld="",_xlpm.ld="Full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"&amp;_xlpm.q,""))))),IF(C920-I920&gt;=0.99,"next day",IF(C920-I920&gt;0.4,"12h → 24h","")))))))))))</f>
        <v/>
      </c>
      <c r="H920" s="4" t="str">
        <f t="shared" si="84"/>
        <v/>
      </c>
      <c r="I920" s="5" t="str">
        <f t="shared" si="85"/>
        <v/>
      </c>
      <c r="J920" s="6">
        <f t="shared" si="86"/>
        <v>0</v>
      </c>
      <c r="K920" s="4" t="str">
        <f t="shared" si="87"/>
        <v/>
      </c>
      <c r="L920" s="4" t="str">
        <f t="shared" si="88"/>
        <v/>
      </c>
      <c r="M920" s="4" t="b" cm="1">
        <f t="array" ref="M920">IF(H920="",FALSE,SUMPRODUCT(--(H$1:H919=H920))&gt;0)</f>
        <v>0</v>
      </c>
      <c r="N920" s="36"/>
      <c r="P920" s="1" t="str">
        <f t="shared" si="89"/>
        <v/>
      </c>
    </row>
    <row r="921" spans="1:16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"&amp;L921,IF(AND(MAX(K$1:K920)&gt;0,N(K921)-MAX(K$1:K920)&gt;180),"⚠ Gap &gt; 3h",IF(_xlfn.LET(_xlpm.q,E921,_xlpm.tk,P921,_xlpm.ld,Log!$P$18,_xlpm.fx,IF(OR(_xlpm.ld="",_xlpm.ld="Full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"&amp;_xlpm.q,""))))&lt;&gt;"",IF(N921&lt;&gt;"","Load OK ✓ (checked)","⚠ "&amp;_xlfn.LET(_xlpm.q,E921,_xlpm.tk,P921,_xlpm.ld,Log!$P$18,_xlpm.fx,IF(OR(_xlpm.ld="",_xlpm.ld="Full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"&amp;_xlpm.q,""))))),IF(C921-I921&gt;=0.99,"next day",IF(C921-I921&gt;0.4,"12h → 24h","")))))))))))</f>
        <v/>
      </c>
      <c r="H921" s="4" t="str">
        <f t="shared" si="84"/>
        <v/>
      </c>
      <c r="I921" s="5" t="str">
        <f t="shared" si="85"/>
        <v/>
      </c>
      <c r="J921" s="6">
        <f t="shared" si="86"/>
        <v>0</v>
      </c>
      <c r="K921" s="4" t="str">
        <f t="shared" si="87"/>
        <v/>
      </c>
      <c r="L921" s="4" t="str">
        <f t="shared" si="88"/>
        <v/>
      </c>
      <c r="M921" s="4" t="b" cm="1">
        <f t="array" ref="M921">IF(H921="",FALSE,SUMPRODUCT(--(H$1:H920=H921))&gt;0)</f>
        <v>0</v>
      </c>
      <c r="N921" s="36"/>
      <c r="P921" s="1" t="str">
        <f t="shared" si="89"/>
        <v/>
      </c>
    </row>
    <row r="922" spans="1:16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"&amp;L922,IF(AND(MAX(K$1:K921)&gt;0,N(K922)-MAX(K$1:K921)&gt;180),"⚠ Gap &gt; 3h",IF(_xlfn.LET(_xlpm.q,E922,_xlpm.tk,P922,_xlpm.ld,Log!$P$18,_xlpm.fx,IF(OR(_xlpm.ld="",_xlpm.ld="Full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"&amp;_xlpm.q,""))))&lt;&gt;"",IF(N922&lt;&gt;"","Load OK ✓ (checked)","⚠ "&amp;_xlfn.LET(_xlpm.q,E922,_xlpm.tk,P922,_xlpm.ld,Log!$P$18,_xlpm.fx,IF(OR(_xlpm.ld="",_xlpm.ld="Full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"&amp;_xlpm.q,""))))),IF(C922-I922&gt;=0.99,"next day",IF(C922-I922&gt;0.4,"12h → 24h","")))))))))))</f>
        <v/>
      </c>
      <c r="H922" s="4" t="str">
        <f t="shared" si="84"/>
        <v/>
      </c>
      <c r="I922" s="5" t="str">
        <f t="shared" si="85"/>
        <v/>
      </c>
      <c r="J922" s="6">
        <f t="shared" si="86"/>
        <v>0</v>
      </c>
      <c r="K922" s="4" t="str">
        <f t="shared" si="87"/>
        <v/>
      </c>
      <c r="L922" s="4" t="str">
        <f t="shared" si="88"/>
        <v/>
      </c>
      <c r="M922" s="4" t="b" cm="1">
        <f t="array" ref="M922">IF(H922="",FALSE,SUMPRODUCT(--(H$1:H921=H922))&gt;0)</f>
        <v>0</v>
      </c>
      <c r="N922" s="36"/>
      <c r="P922" s="1" t="str">
        <f t="shared" si="89"/>
        <v/>
      </c>
    </row>
    <row r="923" spans="1:16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"&amp;L923,IF(AND(MAX(K$1:K922)&gt;0,N(K923)-MAX(K$1:K922)&gt;180),"⚠ Gap &gt; 3h",IF(_xlfn.LET(_xlpm.q,E923,_xlpm.tk,P923,_xlpm.ld,Log!$P$18,_xlpm.fx,IF(OR(_xlpm.ld="",_xlpm.ld="Full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"&amp;_xlpm.q,""))))&lt;&gt;"",IF(N923&lt;&gt;"","Load OK ✓ (checked)","⚠ "&amp;_xlfn.LET(_xlpm.q,E923,_xlpm.tk,P923,_xlpm.ld,Log!$P$18,_xlpm.fx,IF(OR(_xlpm.ld="",_xlpm.ld="Full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"&amp;_xlpm.q,""))))),IF(C923-I923&gt;=0.99,"next day",IF(C923-I923&gt;0.4,"12h → 24h","")))))))))))</f>
        <v/>
      </c>
      <c r="H923" s="4" t="str">
        <f t="shared" si="84"/>
        <v/>
      </c>
      <c r="I923" s="5" t="str">
        <f t="shared" si="85"/>
        <v/>
      </c>
      <c r="J923" s="6">
        <f t="shared" si="86"/>
        <v>0</v>
      </c>
      <c r="K923" s="4" t="str">
        <f t="shared" si="87"/>
        <v/>
      </c>
      <c r="L923" s="4" t="str">
        <f t="shared" si="88"/>
        <v/>
      </c>
      <c r="M923" s="4" t="b" cm="1">
        <f t="array" ref="M923">IF(H923="",FALSE,SUMPRODUCT(--(H$1:H922=H923))&gt;0)</f>
        <v>0</v>
      </c>
      <c r="N923" s="36"/>
      <c r="P923" s="1" t="str">
        <f t="shared" si="89"/>
        <v/>
      </c>
    </row>
    <row r="924" spans="1:16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"&amp;L924,IF(AND(MAX(K$1:K923)&gt;0,N(K924)-MAX(K$1:K923)&gt;180),"⚠ Gap &gt; 3h",IF(_xlfn.LET(_xlpm.q,E924,_xlpm.tk,P924,_xlpm.ld,Log!$P$18,_xlpm.fx,IF(OR(_xlpm.ld="",_xlpm.ld="Full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"&amp;_xlpm.q,""))))&lt;&gt;"",IF(N924&lt;&gt;"","Load OK ✓ (checked)","⚠ "&amp;_xlfn.LET(_xlpm.q,E924,_xlpm.tk,P924,_xlpm.ld,Log!$P$18,_xlpm.fx,IF(OR(_xlpm.ld="",_xlpm.ld="Full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"&amp;_xlpm.q,""))))),IF(C924-I924&gt;=0.99,"next day",IF(C924-I924&gt;0.4,"12h → 24h","")))))))))))</f>
        <v/>
      </c>
      <c r="H924" s="4" t="str">
        <f t="shared" si="84"/>
        <v/>
      </c>
      <c r="I924" s="5" t="str">
        <f t="shared" si="85"/>
        <v/>
      </c>
      <c r="J924" s="6">
        <f t="shared" si="86"/>
        <v>0</v>
      </c>
      <c r="K924" s="4" t="str">
        <f t="shared" si="87"/>
        <v/>
      </c>
      <c r="L924" s="4" t="str">
        <f t="shared" si="88"/>
        <v/>
      </c>
      <c r="M924" s="4" t="b" cm="1">
        <f t="array" ref="M924">IF(H924="",FALSE,SUMPRODUCT(--(H$1:H923=H924))&gt;0)</f>
        <v>0</v>
      </c>
      <c r="N924" s="36"/>
      <c r="P924" s="1" t="str">
        <f t="shared" si="89"/>
        <v/>
      </c>
    </row>
    <row r="925" spans="1:16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"&amp;L925,IF(AND(MAX(K$1:K924)&gt;0,N(K925)-MAX(K$1:K924)&gt;180),"⚠ Gap &gt; 3h",IF(_xlfn.LET(_xlpm.q,E925,_xlpm.tk,P925,_xlpm.ld,Log!$P$18,_xlpm.fx,IF(OR(_xlpm.ld="",_xlpm.ld="Full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"&amp;_xlpm.q,""))))&lt;&gt;"",IF(N925&lt;&gt;"","Load OK ✓ (checked)","⚠ "&amp;_xlfn.LET(_xlpm.q,E925,_xlpm.tk,P925,_xlpm.ld,Log!$P$18,_xlpm.fx,IF(OR(_xlpm.ld="",_xlpm.ld="Full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"&amp;_xlpm.q,""))))),IF(C925-I925&gt;=0.99,"next day",IF(C925-I925&gt;0.4,"12h → 24h","")))))))))))</f>
        <v/>
      </c>
      <c r="H925" s="4" t="str">
        <f t="shared" si="84"/>
        <v/>
      </c>
      <c r="I925" s="5" t="str">
        <f t="shared" si="85"/>
        <v/>
      </c>
      <c r="J925" s="6">
        <f t="shared" si="86"/>
        <v>0</v>
      </c>
      <c r="K925" s="4" t="str">
        <f t="shared" si="87"/>
        <v/>
      </c>
      <c r="L925" s="4" t="str">
        <f t="shared" si="88"/>
        <v/>
      </c>
      <c r="M925" s="4" t="b" cm="1">
        <f t="array" ref="M925">IF(H925="",FALSE,SUMPRODUCT(--(H$1:H924=H925))&gt;0)</f>
        <v>0</v>
      </c>
      <c r="N925" s="36"/>
      <c r="P925" s="1" t="str">
        <f t="shared" si="89"/>
        <v/>
      </c>
    </row>
    <row r="926" spans="1:16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"&amp;L926,IF(AND(MAX(K$1:K925)&gt;0,N(K926)-MAX(K$1:K925)&gt;180),"⚠ Gap &gt; 3h",IF(_xlfn.LET(_xlpm.q,E926,_xlpm.tk,P926,_xlpm.ld,Log!$P$18,_xlpm.fx,IF(OR(_xlpm.ld="",_xlpm.ld="Full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"&amp;_xlpm.q,""))))&lt;&gt;"",IF(N926&lt;&gt;"","Load OK ✓ (checked)","⚠ "&amp;_xlfn.LET(_xlpm.q,E926,_xlpm.tk,P926,_xlpm.ld,Log!$P$18,_xlpm.fx,IF(OR(_xlpm.ld="",_xlpm.ld="Full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"&amp;_xlpm.q,""))))),IF(C926-I926&gt;=0.99,"next day",IF(C926-I926&gt;0.4,"12h → 24h","")))))))))))</f>
        <v/>
      </c>
      <c r="H926" s="4" t="str">
        <f t="shared" si="84"/>
        <v/>
      </c>
      <c r="I926" s="5" t="str">
        <f t="shared" si="85"/>
        <v/>
      </c>
      <c r="J926" s="6">
        <f t="shared" si="86"/>
        <v>0</v>
      </c>
      <c r="K926" s="4" t="str">
        <f t="shared" si="87"/>
        <v/>
      </c>
      <c r="L926" s="4" t="str">
        <f t="shared" si="88"/>
        <v/>
      </c>
      <c r="M926" s="4" t="b" cm="1">
        <f t="array" ref="M926">IF(H926="",FALSE,SUMPRODUCT(--(H$1:H925=H926))&gt;0)</f>
        <v>0</v>
      </c>
      <c r="N926" s="36"/>
      <c r="P926" s="1" t="str">
        <f t="shared" si="89"/>
        <v/>
      </c>
    </row>
    <row r="927" spans="1:16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"&amp;L927,IF(AND(MAX(K$1:K926)&gt;0,N(K927)-MAX(K$1:K926)&gt;180),"⚠ Gap &gt; 3h",IF(_xlfn.LET(_xlpm.q,E927,_xlpm.tk,P927,_xlpm.ld,Log!$P$18,_xlpm.fx,IF(OR(_xlpm.ld="",_xlpm.ld="Full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"&amp;_xlpm.q,""))))&lt;&gt;"",IF(N927&lt;&gt;"","Load OK ✓ (checked)","⚠ "&amp;_xlfn.LET(_xlpm.q,E927,_xlpm.tk,P927,_xlpm.ld,Log!$P$18,_xlpm.fx,IF(OR(_xlpm.ld="",_xlpm.ld="Full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"&amp;_xlpm.q,""))))),IF(C927-I927&gt;=0.99,"next day",IF(C927-I927&gt;0.4,"12h → 24h","")))))))))))</f>
        <v/>
      </c>
      <c r="H927" s="4" t="str">
        <f t="shared" si="84"/>
        <v/>
      </c>
      <c r="I927" s="5" t="str">
        <f t="shared" si="85"/>
        <v/>
      </c>
      <c r="J927" s="6">
        <f t="shared" si="86"/>
        <v>0</v>
      </c>
      <c r="K927" s="4" t="str">
        <f t="shared" si="87"/>
        <v/>
      </c>
      <c r="L927" s="4" t="str">
        <f t="shared" si="88"/>
        <v/>
      </c>
      <c r="M927" s="4" t="b" cm="1">
        <f t="array" ref="M927">IF(H927="",FALSE,SUMPRODUCT(--(H$1:H926=H927))&gt;0)</f>
        <v>0</v>
      </c>
      <c r="N927" s="36"/>
      <c r="P927" s="1" t="str">
        <f t="shared" si="89"/>
        <v/>
      </c>
    </row>
    <row r="928" spans="1:16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"&amp;L928,IF(AND(MAX(K$1:K927)&gt;0,N(K928)-MAX(K$1:K927)&gt;180),"⚠ Gap &gt; 3h",IF(_xlfn.LET(_xlpm.q,E928,_xlpm.tk,P928,_xlpm.ld,Log!$P$18,_xlpm.fx,IF(OR(_xlpm.ld="",_xlpm.ld="Full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"&amp;_xlpm.q,""))))&lt;&gt;"",IF(N928&lt;&gt;"","Load OK ✓ (checked)","⚠ "&amp;_xlfn.LET(_xlpm.q,E928,_xlpm.tk,P928,_xlpm.ld,Log!$P$18,_xlpm.fx,IF(OR(_xlpm.ld="",_xlpm.ld="Full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"&amp;_xlpm.q,""))))),IF(C928-I928&gt;=0.99,"next day",IF(C928-I928&gt;0.4,"12h → 24h","")))))))))))</f>
        <v/>
      </c>
      <c r="H928" s="4" t="str">
        <f t="shared" si="84"/>
        <v/>
      </c>
      <c r="I928" s="5" t="str">
        <f t="shared" si="85"/>
        <v/>
      </c>
      <c r="J928" s="6">
        <f t="shared" si="86"/>
        <v>0</v>
      </c>
      <c r="K928" s="4" t="str">
        <f t="shared" si="87"/>
        <v/>
      </c>
      <c r="L928" s="4" t="str">
        <f t="shared" si="88"/>
        <v/>
      </c>
      <c r="M928" s="4" t="b" cm="1">
        <f t="array" ref="M928">IF(H928="",FALSE,SUMPRODUCT(--(H$1:H927=H928))&gt;0)</f>
        <v>0</v>
      </c>
      <c r="N928" s="36"/>
      <c r="P928" s="1" t="str">
        <f t="shared" si="89"/>
        <v/>
      </c>
    </row>
    <row r="929" spans="1:16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"&amp;L929,IF(AND(MAX(K$1:K928)&gt;0,N(K929)-MAX(K$1:K928)&gt;180),"⚠ Gap &gt; 3h",IF(_xlfn.LET(_xlpm.q,E929,_xlpm.tk,P929,_xlpm.ld,Log!$P$18,_xlpm.fx,IF(OR(_xlpm.ld="",_xlpm.ld="Full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"&amp;_xlpm.q,""))))&lt;&gt;"",IF(N929&lt;&gt;"","Load OK ✓ (checked)","⚠ "&amp;_xlfn.LET(_xlpm.q,E929,_xlpm.tk,P929,_xlpm.ld,Log!$P$18,_xlpm.fx,IF(OR(_xlpm.ld="",_xlpm.ld="Full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"&amp;_xlpm.q,""))))),IF(C929-I929&gt;=0.99,"next day",IF(C929-I929&gt;0.4,"12h → 24h","")))))))))))</f>
        <v/>
      </c>
      <c r="H929" s="4" t="str">
        <f t="shared" si="84"/>
        <v/>
      </c>
      <c r="I929" s="5" t="str">
        <f t="shared" si="85"/>
        <v/>
      </c>
      <c r="J929" s="6">
        <f t="shared" si="86"/>
        <v>0</v>
      </c>
      <c r="K929" s="4" t="str">
        <f t="shared" si="87"/>
        <v/>
      </c>
      <c r="L929" s="4" t="str">
        <f t="shared" si="88"/>
        <v/>
      </c>
      <c r="M929" s="4" t="b" cm="1">
        <f t="array" ref="M929">IF(H929="",FALSE,SUMPRODUCT(--(H$1:H928=H929))&gt;0)</f>
        <v>0</v>
      </c>
      <c r="N929" s="36"/>
      <c r="P929" s="1" t="str">
        <f t="shared" si="89"/>
        <v/>
      </c>
    </row>
    <row r="930" spans="1:16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"&amp;L930,IF(AND(MAX(K$1:K929)&gt;0,N(K930)-MAX(K$1:K929)&gt;180),"⚠ Gap &gt; 3h",IF(_xlfn.LET(_xlpm.q,E930,_xlpm.tk,P930,_xlpm.ld,Log!$P$18,_xlpm.fx,IF(OR(_xlpm.ld="",_xlpm.ld="Full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"&amp;_xlpm.q,""))))&lt;&gt;"",IF(N930&lt;&gt;"","Load OK ✓ (checked)","⚠ "&amp;_xlfn.LET(_xlpm.q,E930,_xlpm.tk,P930,_xlpm.ld,Log!$P$18,_xlpm.fx,IF(OR(_xlpm.ld="",_xlpm.ld="Full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"&amp;_xlpm.q,""))))),IF(C930-I930&gt;=0.99,"next day",IF(C930-I930&gt;0.4,"12h → 24h","")))))))))))</f>
        <v/>
      </c>
      <c r="H930" s="4" t="str">
        <f t="shared" si="84"/>
        <v/>
      </c>
      <c r="I930" s="5" t="str">
        <f t="shared" si="85"/>
        <v/>
      </c>
      <c r="J930" s="6">
        <f t="shared" si="86"/>
        <v>0</v>
      </c>
      <c r="K930" s="4" t="str">
        <f t="shared" si="87"/>
        <v/>
      </c>
      <c r="L930" s="4" t="str">
        <f t="shared" si="88"/>
        <v/>
      </c>
      <c r="M930" s="4" t="b" cm="1">
        <f t="array" ref="M930">IF(H930="",FALSE,SUMPRODUCT(--(H$1:H929=H930))&gt;0)</f>
        <v>0</v>
      </c>
      <c r="N930" s="36"/>
      <c r="P930" s="1" t="str">
        <f t="shared" si="89"/>
        <v/>
      </c>
    </row>
    <row r="931" spans="1:16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"&amp;L931,IF(AND(MAX(K$1:K930)&gt;0,N(K931)-MAX(K$1:K930)&gt;180),"⚠ Gap &gt; 3h",IF(_xlfn.LET(_xlpm.q,E931,_xlpm.tk,P931,_xlpm.ld,Log!$P$18,_xlpm.fx,IF(OR(_xlpm.ld="",_xlpm.ld="Full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"&amp;_xlpm.q,""))))&lt;&gt;"",IF(N931&lt;&gt;"","Load OK ✓ (checked)","⚠ "&amp;_xlfn.LET(_xlpm.q,E931,_xlpm.tk,P931,_xlpm.ld,Log!$P$18,_xlpm.fx,IF(OR(_xlpm.ld="",_xlpm.ld="Full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"&amp;_xlpm.q,""))))),IF(C931-I931&gt;=0.99,"next day",IF(C931-I931&gt;0.4,"12h → 24h","")))))))))))</f>
        <v/>
      </c>
      <c r="H931" s="4" t="str">
        <f t="shared" si="84"/>
        <v/>
      </c>
      <c r="I931" s="5" t="str">
        <f t="shared" si="85"/>
        <v/>
      </c>
      <c r="J931" s="6">
        <f t="shared" si="86"/>
        <v>0</v>
      </c>
      <c r="K931" s="4" t="str">
        <f t="shared" si="87"/>
        <v/>
      </c>
      <c r="L931" s="4" t="str">
        <f t="shared" si="88"/>
        <v/>
      </c>
      <c r="M931" s="4" t="b" cm="1">
        <f t="array" ref="M931">IF(H931="",FALSE,SUMPRODUCT(--(H$1:H930=H931))&gt;0)</f>
        <v>0</v>
      </c>
      <c r="N931" s="36"/>
      <c r="P931" s="1" t="str">
        <f t="shared" si="89"/>
        <v/>
      </c>
    </row>
    <row r="932" spans="1:16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"&amp;L932,IF(AND(MAX(K$1:K931)&gt;0,N(K932)-MAX(K$1:K931)&gt;180),"⚠ Gap &gt; 3h",IF(_xlfn.LET(_xlpm.q,E932,_xlpm.tk,P932,_xlpm.ld,Log!$P$18,_xlpm.fx,IF(OR(_xlpm.ld="",_xlpm.ld="Full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"&amp;_xlpm.q,""))))&lt;&gt;"",IF(N932&lt;&gt;"","Load OK ✓ (checked)","⚠ "&amp;_xlfn.LET(_xlpm.q,E932,_xlpm.tk,P932,_xlpm.ld,Log!$P$18,_xlpm.fx,IF(OR(_xlpm.ld="",_xlpm.ld="Full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"&amp;_xlpm.q,""))))),IF(C932-I932&gt;=0.99,"next day",IF(C932-I932&gt;0.4,"12h → 24h","")))))))))))</f>
        <v/>
      </c>
      <c r="H932" s="4" t="str">
        <f t="shared" si="84"/>
        <v/>
      </c>
      <c r="I932" s="5" t="str">
        <f t="shared" si="85"/>
        <v/>
      </c>
      <c r="J932" s="6">
        <f t="shared" si="86"/>
        <v>0</v>
      </c>
      <c r="K932" s="4" t="str">
        <f t="shared" si="87"/>
        <v/>
      </c>
      <c r="L932" s="4" t="str">
        <f t="shared" si="88"/>
        <v/>
      </c>
      <c r="M932" s="4" t="b" cm="1">
        <f t="array" ref="M932">IF(H932="",FALSE,SUMPRODUCT(--(H$1:H931=H932))&gt;0)</f>
        <v>0</v>
      </c>
      <c r="N932" s="36"/>
      <c r="P932" s="1" t="str">
        <f t="shared" si="89"/>
        <v/>
      </c>
    </row>
    <row r="933" spans="1:16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"&amp;L933,IF(AND(MAX(K$1:K932)&gt;0,N(K933)-MAX(K$1:K932)&gt;180),"⚠ Gap &gt; 3h",IF(_xlfn.LET(_xlpm.q,E933,_xlpm.tk,P933,_xlpm.ld,Log!$P$18,_xlpm.fx,IF(OR(_xlpm.ld="",_xlpm.ld="Full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"&amp;_xlpm.q,""))))&lt;&gt;"",IF(N933&lt;&gt;"","Load OK ✓ (checked)","⚠ "&amp;_xlfn.LET(_xlpm.q,E933,_xlpm.tk,P933,_xlpm.ld,Log!$P$18,_xlpm.fx,IF(OR(_xlpm.ld="",_xlpm.ld="Full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"&amp;_xlpm.q,""))))),IF(C933-I933&gt;=0.99,"next day",IF(C933-I933&gt;0.4,"12h → 24h","")))))))))))</f>
        <v/>
      </c>
      <c r="H933" s="4" t="str">
        <f t="shared" si="84"/>
        <v/>
      </c>
      <c r="I933" s="5" t="str">
        <f t="shared" si="85"/>
        <v/>
      </c>
      <c r="J933" s="6">
        <f t="shared" si="86"/>
        <v>0</v>
      </c>
      <c r="K933" s="4" t="str">
        <f t="shared" si="87"/>
        <v/>
      </c>
      <c r="L933" s="4" t="str">
        <f t="shared" si="88"/>
        <v/>
      </c>
      <c r="M933" s="4" t="b" cm="1">
        <f t="array" ref="M933">IF(H933="",FALSE,SUMPRODUCT(--(H$1:H932=H933))&gt;0)</f>
        <v>0</v>
      </c>
      <c r="N933" s="36"/>
      <c r="P933" s="1" t="str">
        <f t="shared" si="89"/>
        <v/>
      </c>
    </row>
    <row r="934" spans="1:16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"&amp;L934,IF(AND(MAX(K$1:K933)&gt;0,N(K934)-MAX(K$1:K933)&gt;180),"⚠ Gap &gt; 3h",IF(_xlfn.LET(_xlpm.q,E934,_xlpm.tk,P934,_xlpm.ld,Log!$P$18,_xlpm.fx,IF(OR(_xlpm.ld="",_xlpm.ld="Full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"&amp;_xlpm.q,""))))&lt;&gt;"",IF(N934&lt;&gt;"","Load OK ✓ (checked)","⚠ "&amp;_xlfn.LET(_xlpm.q,E934,_xlpm.tk,P934,_xlpm.ld,Log!$P$18,_xlpm.fx,IF(OR(_xlpm.ld="",_xlpm.ld="Full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"&amp;_xlpm.q,""))))),IF(C934-I934&gt;=0.99,"next day",IF(C934-I934&gt;0.4,"12h → 24h","")))))))))))</f>
        <v/>
      </c>
      <c r="H934" s="4" t="str">
        <f t="shared" si="84"/>
        <v/>
      </c>
      <c r="I934" s="5" t="str">
        <f t="shared" si="85"/>
        <v/>
      </c>
      <c r="J934" s="6">
        <f t="shared" si="86"/>
        <v>0</v>
      </c>
      <c r="K934" s="4" t="str">
        <f t="shared" si="87"/>
        <v/>
      </c>
      <c r="L934" s="4" t="str">
        <f t="shared" si="88"/>
        <v/>
      </c>
      <c r="M934" s="4" t="b" cm="1">
        <f t="array" ref="M934">IF(H934="",FALSE,SUMPRODUCT(--(H$1:H933=H934))&gt;0)</f>
        <v>0</v>
      </c>
      <c r="N934" s="36"/>
      <c r="P934" s="1" t="str">
        <f t="shared" si="89"/>
        <v/>
      </c>
    </row>
    <row r="935" spans="1:16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"&amp;L935,IF(AND(MAX(K$1:K934)&gt;0,N(K935)-MAX(K$1:K934)&gt;180),"⚠ Gap &gt; 3h",IF(_xlfn.LET(_xlpm.q,E935,_xlpm.tk,P935,_xlpm.ld,Log!$P$18,_xlpm.fx,IF(OR(_xlpm.ld="",_xlpm.ld="Full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"&amp;_xlpm.q,""))))&lt;&gt;"",IF(N935&lt;&gt;"","Load OK ✓ (checked)","⚠ "&amp;_xlfn.LET(_xlpm.q,E935,_xlpm.tk,P935,_xlpm.ld,Log!$P$18,_xlpm.fx,IF(OR(_xlpm.ld="",_xlpm.ld="Full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"&amp;_xlpm.q,""))))),IF(C935-I935&gt;=0.99,"next day",IF(C935-I935&gt;0.4,"12h → 24h","")))))))))))</f>
        <v/>
      </c>
      <c r="H935" s="4" t="str">
        <f t="shared" si="84"/>
        <v/>
      </c>
      <c r="I935" s="5" t="str">
        <f t="shared" si="85"/>
        <v/>
      </c>
      <c r="J935" s="6">
        <f t="shared" si="86"/>
        <v>0</v>
      </c>
      <c r="K935" s="4" t="str">
        <f t="shared" si="87"/>
        <v/>
      </c>
      <c r="L935" s="4" t="str">
        <f t="shared" si="88"/>
        <v/>
      </c>
      <c r="M935" s="4" t="b" cm="1">
        <f t="array" ref="M935">IF(H935="",FALSE,SUMPRODUCT(--(H$1:H934=H935))&gt;0)</f>
        <v>0</v>
      </c>
      <c r="N935" s="36"/>
      <c r="P935" s="1" t="str">
        <f t="shared" si="89"/>
        <v/>
      </c>
    </row>
    <row r="936" spans="1:16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"&amp;L936,IF(AND(MAX(K$1:K935)&gt;0,N(K936)-MAX(K$1:K935)&gt;180),"⚠ Gap &gt; 3h",IF(_xlfn.LET(_xlpm.q,E936,_xlpm.tk,P936,_xlpm.ld,Log!$P$18,_xlpm.fx,IF(OR(_xlpm.ld="",_xlpm.ld="Full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"&amp;_xlpm.q,""))))&lt;&gt;"",IF(N936&lt;&gt;"","Load OK ✓ (checked)","⚠ "&amp;_xlfn.LET(_xlpm.q,E936,_xlpm.tk,P936,_xlpm.ld,Log!$P$18,_xlpm.fx,IF(OR(_xlpm.ld="",_xlpm.ld="Full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"&amp;_xlpm.q,""))))),IF(C936-I936&gt;=0.99,"next day",IF(C936-I936&gt;0.4,"12h → 24h","")))))))))))</f>
        <v/>
      </c>
      <c r="H936" s="4" t="str">
        <f t="shared" si="84"/>
        <v/>
      </c>
      <c r="I936" s="5" t="str">
        <f t="shared" si="85"/>
        <v/>
      </c>
      <c r="J936" s="6">
        <f t="shared" si="86"/>
        <v>0</v>
      </c>
      <c r="K936" s="4" t="str">
        <f t="shared" si="87"/>
        <v/>
      </c>
      <c r="L936" s="4" t="str">
        <f t="shared" si="88"/>
        <v/>
      </c>
      <c r="M936" s="4" t="b" cm="1">
        <f t="array" ref="M936">IF(H936="",FALSE,SUMPRODUCT(--(H$1:H935=H936))&gt;0)</f>
        <v>0</v>
      </c>
      <c r="N936" s="36"/>
      <c r="P936" s="1" t="str">
        <f t="shared" si="89"/>
        <v/>
      </c>
    </row>
    <row r="937" spans="1:16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"&amp;L937,IF(AND(MAX(K$1:K936)&gt;0,N(K937)-MAX(K$1:K936)&gt;180),"⚠ Gap &gt; 3h",IF(_xlfn.LET(_xlpm.q,E937,_xlpm.tk,P937,_xlpm.ld,Log!$P$18,_xlpm.fx,IF(OR(_xlpm.ld="",_xlpm.ld="Full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"&amp;_xlpm.q,""))))&lt;&gt;"",IF(N937&lt;&gt;"","Load OK ✓ (checked)","⚠ "&amp;_xlfn.LET(_xlpm.q,E937,_xlpm.tk,P937,_xlpm.ld,Log!$P$18,_xlpm.fx,IF(OR(_xlpm.ld="",_xlpm.ld="Full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"&amp;_xlpm.q,""))))),IF(C937-I937&gt;=0.99,"next day",IF(C937-I937&gt;0.4,"12h → 24h","")))))))))))</f>
        <v/>
      </c>
      <c r="H937" s="4" t="str">
        <f t="shared" si="84"/>
        <v/>
      </c>
      <c r="I937" s="5" t="str">
        <f t="shared" si="85"/>
        <v/>
      </c>
      <c r="J937" s="6">
        <f t="shared" si="86"/>
        <v>0</v>
      </c>
      <c r="K937" s="4" t="str">
        <f t="shared" si="87"/>
        <v/>
      </c>
      <c r="L937" s="4" t="str">
        <f t="shared" si="88"/>
        <v/>
      </c>
      <c r="M937" s="4" t="b" cm="1">
        <f t="array" ref="M937">IF(H937="",FALSE,SUMPRODUCT(--(H$1:H936=H937))&gt;0)</f>
        <v>0</v>
      </c>
      <c r="N937" s="36"/>
      <c r="P937" s="1" t="str">
        <f t="shared" si="89"/>
        <v/>
      </c>
    </row>
    <row r="938" spans="1:16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"&amp;L938,IF(AND(MAX(K$1:K937)&gt;0,N(K938)-MAX(K$1:K937)&gt;180),"⚠ Gap &gt; 3h",IF(_xlfn.LET(_xlpm.q,E938,_xlpm.tk,P938,_xlpm.ld,Log!$P$18,_xlpm.fx,IF(OR(_xlpm.ld="",_xlpm.ld="Full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"&amp;_xlpm.q,""))))&lt;&gt;"",IF(N938&lt;&gt;"","Load OK ✓ (checked)","⚠ "&amp;_xlfn.LET(_xlpm.q,E938,_xlpm.tk,P938,_xlpm.ld,Log!$P$18,_xlpm.fx,IF(OR(_xlpm.ld="",_xlpm.ld="Full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"&amp;_xlpm.q,""))))),IF(C938-I938&gt;=0.99,"next day",IF(C938-I938&gt;0.4,"12h → 24h","")))))))))))</f>
        <v/>
      </c>
      <c r="H938" s="4" t="str">
        <f t="shared" si="84"/>
        <v/>
      </c>
      <c r="I938" s="5" t="str">
        <f t="shared" si="85"/>
        <v/>
      </c>
      <c r="J938" s="6">
        <f t="shared" si="86"/>
        <v>0</v>
      </c>
      <c r="K938" s="4" t="str">
        <f t="shared" si="87"/>
        <v/>
      </c>
      <c r="L938" s="4" t="str">
        <f t="shared" si="88"/>
        <v/>
      </c>
      <c r="M938" s="4" t="b" cm="1">
        <f t="array" ref="M938">IF(H938="",FALSE,SUMPRODUCT(--(H$1:H937=H938))&gt;0)</f>
        <v>0</v>
      </c>
      <c r="N938" s="36"/>
      <c r="P938" s="1" t="str">
        <f t="shared" si="89"/>
        <v/>
      </c>
    </row>
    <row r="939" spans="1:16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"&amp;L939,IF(AND(MAX(K$1:K938)&gt;0,N(K939)-MAX(K$1:K938)&gt;180),"⚠ Gap &gt; 3h",IF(_xlfn.LET(_xlpm.q,E939,_xlpm.tk,P939,_xlpm.ld,Log!$P$18,_xlpm.fx,IF(OR(_xlpm.ld="",_xlpm.ld="Full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"&amp;_xlpm.q,""))))&lt;&gt;"",IF(N939&lt;&gt;"","Load OK ✓ (checked)","⚠ "&amp;_xlfn.LET(_xlpm.q,E939,_xlpm.tk,P939,_xlpm.ld,Log!$P$18,_xlpm.fx,IF(OR(_xlpm.ld="",_xlpm.ld="Full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"&amp;_xlpm.q,""))))),IF(C939-I939&gt;=0.99,"next day",IF(C939-I939&gt;0.4,"12h → 24h","")))))))))))</f>
        <v/>
      </c>
      <c r="H939" s="4" t="str">
        <f t="shared" si="84"/>
        <v/>
      </c>
      <c r="I939" s="5" t="str">
        <f t="shared" si="85"/>
        <v/>
      </c>
      <c r="J939" s="6">
        <f t="shared" si="86"/>
        <v>0</v>
      </c>
      <c r="K939" s="4" t="str">
        <f t="shared" si="87"/>
        <v/>
      </c>
      <c r="L939" s="4" t="str">
        <f t="shared" si="88"/>
        <v/>
      </c>
      <c r="M939" s="4" t="b" cm="1">
        <f t="array" ref="M939">IF(H939="",FALSE,SUMPRODUCT(--(H$1:H938=H939))&gt;0)</f>
        <v>0</v>
      </c>
      <c r="N939" s="36"/>
      <c r="P939" s="1" t="str">
        <f t="shared" si="89"/>
        <v/>
      </c>
    </row>
    <row r="940" spans="1:16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"&amp;L940,IF(AND(MAX(K$1:K939)&gt;0,N(K940)-MAX(K$1:K939)&gt;180),"⚠ Gap &gt; 3h",IF(_xlfn.LET(_xlpm.q,E940,_xlpm.tk,P940,_xlpm.ld,Log!$P$18,_xlpm.fx,IF(OR(_xlpm.ld="",_xlpm.ld="Full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"&amp;_xlpm.q,""))))&lt;&gt;"",IF(N940&lt;&gt;"","Load OK ✓ (checked)","⚠ "&amp;_xlfn.LET(_xlpm.q,E940,_xlpm.tk,P940,_xlpm.ld,Log!$P$18,_xlpm.fx,IF(OR(_xlpm.ld="",_xlpm.ld="Full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"&amp;_xlpm.q,""))))),IF(C940-I940&gt;=0.99,"next day",IF(C940-I940&gt;0.4,"12h → 24h","")))))))))))</f>
        <v/>
      </c>
      <c r="H940" s="4" t="str">
        <f t="shared" si="84"/>
        <v/>
      </c>
      <c r="I940" s="5" t="str">
        <f t="shared" si="85"/>
        <v/>
      </c>
      <c r="J940" s="6">
        <f t="shared" si="86"/>
        <v>0</v>
      </c>
      <c r="K940" s="4" t="str">
        <f t="shared" si="87"/>
        <v/>
      </c>
      <c r="L940" s="4" t="str">
        <f t="shared" si="88"/>
        <v/>
      </c>
      <c r="M940" s="4" t="b" cm="1">
        <f t="array" ref="M940">IF(H940="",FALSE,SUMPRODUCT(--(H$1:H939=H940))&gt;0)</f>
        <v>0</v>
      </c>
      <c r="N940" s="36"/>
      <c r="P940" s="1" t="str">
        <f t="shared" si="89"/>
        <v/>
      </c>
    </row>
    <row r="941" spans="1:16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"&amp;L941,IF(AND(MAX(K$1:K940)&gt;0,N(K941)-MAX(K$1:K940)&gt;180),"⚠ Gap &gt; 3h",IF(_xlfn.LET(_xlpm.q,E941,_xlpm.tk,P941,_xlpm.ld,Log!$P$18,_xlpm.fx,IF(OR(_xlpm.ld="",_xlpm.ld="Full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"&amp;_xlpm.q,""))))&lt;&gt;"",IF(N941&lt;&gt;"","Load OK ✓ (checked)","⚠ "&amp;_xlfn.LET(_xlpm.q,E941,_xlpm.tk,P941,_xlpm.ld,Log!$P$18,_xlpm.fx,IF(OR(_xlpm.ld="",_xlpm.ld="Full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"&amp;_xlpm.q,""))))),IF(C941-I941&gt;=0.99,"next day",IF(C941-I941&gt;0.4,"12h → 24h","")))))))))))</f>
        <v/>
      </c>
      <c r="H941" s="4" t="str">
        <f t="shared" si="84"/>
        <v/>
      </c>
      <c r="I941" s="5" t="str">
        <f t="shared" si="85"/>
        <v/>
      </c>
      <c r="J941" s="6">
        <f t="shared" si="86"/>
        <v>0</v>
      </c>
      <c r="K941" s="4" t="str">
        <f t="shared" si="87"/>
        <v/>
      </c>
      <c r="L941" s="4" t="str">
        <f t="shared" si="88"/>
        <v/>
      </c>
      <c r="M941" s="4" t="b" cm="1">
        <f t="array" ref="M941">IF(H941="",FALSE,SUMPRODUCT(--(H$1:H940=H941))&gt;0)</f>
        <v>0</v>
      </c>
      <c r="N941" s="36"/>
      <c r="P941" s="1" t="str">
        <f t="shared" si="89"/>
        <v/>
      </c>
    </row>
    <row r="942" spans="1:16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"&amp;L942,IF(AND(MAX(K$1:K941)&gt;0,N(K942)-MAX(K$1:K941)&gt;180),"⚠ Gap &gt; 3h",IF(_xlfn.LET(_xlpm.q,E942,_xlpm.tk,P942,_xlpm.ld,Log!$P$18,_xlpm.fx,IF(OR(_xlpm.ld="",_xlpm.ld="Full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"&amp;_xlpm.q,""))))&lt;&gt;"",IF(N942&lt;&gt;"","Load OK ✓ (checked)","⚠ "&amp;_xlfn.LET(_xlpm.q,E942,_xlpm.tk,P942,_xlpm.ld,Log!$P$18,_xlpm.fx,IF(OR(_xlpm.ld="",_xlpm.ld="Full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"&amp;_xlpm.q,""))))),IF(C942-I942&gt;=0.99,"next day",IF(C942-I942&gt;0.4,"12h → 24h","")))))))))))</f>
        <v/>
      </c>
      <c r="H942" s="4" t="str">
        <f t="shared" si="84"/>
        <v/>
      </c>
      <c r="I942" s="5" t="str">
        <f t="shared" si="85"/>
        <v/>
      </c>
      <c r="J942" s="6">
        <f t="shared" si="86"/>
        <v>0</v>
      </c>
      <c r="K942" s="4" t="str">
        <f t="shared" si="87"/>
        <v/>
      </c>
      <c r="L942" s="4" t="str">
        <f t="shared" si="88"/>
        <v/>
      </c>
      <c r="M942" s="4" t="b" cm="1">
        <f t="array" ref="M942">IF(H942="",FALSE,SUMPRODUCT(--(H$1:H941=H942))&gt;0)</f>
        <v>0</v>
      </c>
      <c r="N942" s="36"/>
      <c r="P942" s="1" t="str">
        <f t="shared" si="89"/>
        <v/>
      </c>
    </row>
    <row r="943" spans="1:16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"&amp;L943,IF(AND(MAX(K$1:K942)&gt;0,N(K943)-MAX(K$1:K942)&gt;180),"⚠ Gap &gt; 3h",IF(_xlfn.LET(_xlpm.q,E943,_xlpm.tk,P943,_xlpm.ld,Log!$P$18,_xlpm.fx,IF(OR(_xlpm.ld="",_xlpm.ld="Full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"&amp;_xlpm.q,""))))&lt;&gt;"",IF(N943&lt;&gt;"","Load OK ✓ (checked)","⚠ "&amp;_xlfn.LET(_xlpm.q,E943,_xlpm.tk,P943,_xlpm.ld,Log!$P$18,_xlpm.fx,IF(OR(_xlpm.ld="",_xlpm.ld="Full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"&amp;_xlpm.q,""))))),IF(C943-I943&gt;=0.99,"next day",IF(C943-I943&gt;0.4,"12h → 24h","")))))))))))</f>
        <v/>
      </c>
      <c r="H943" s="4" t="str">
        <f t="shared" si="84"/>
        <v/>
      </c>
      <c r="I943" s="5" t="str">
        <f t="shared" si="85"/>
        <v/>
      </c>
      <c r="J943" s="6">
        <f t="shared" si="86"/>
        <v>0</v>
      </c>
      <c r="K943" s="4" t="str">
        <f t="shared" si="87"/>
        <v/>
      </c>
      <c r="L943" s="4" t="str">
        <f t="shared" si="88"/>
        <v/>
      </c>
      <c r="M943" s="4" t="b" cm="1">
        <f t="array" ref="M943">IF(H943="",FALSE,SUMPRODUCT(--(H$1:H942=H943))&gt;0)</f>
        <v>0</v>
      </c>
      <c r="N943" s="36"/>
      <c r="P943" s="1" t="str">
        <f t="shared" si="89"/>
        <v/>
      </c>
    </row>
    <row r="944" spans="1:16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"&amp;L944,IF(AND(MAX(K$1:K943)&gt;0,N(K944)-MAX(K$1:K943)&gt;180),"⚠ Gap &gt; 3h",IF(_xlfn.LET(_xlpm.q,E944,_xlpm.tk,P944,_xlpm.ld,Log!$P$18,_xlpm.fx,IF(OR(_xlpm.ld="",_xlpm.ld="Full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"&amp;_xlpm.q,""))))&lt;&gt;"",IF(N944&lt;&gt;"","Load OK ✓ (checked)","⚠ "&amp;_xlfn.LET(_xlpm.q,E944,_xlpm.tk,P944,_xlpm.ld,Log!$P$18,_xlpm.fx,IF(OR(_xlpm.ld="",_xlpm.ld="Full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"&amp;_xlpm.q,""))))),IF(C944-I944&gt;=0.99,"next day",IF(C944-I944&gt;0.4,"12h → 24h","")))))))))))</f>
        <v/>
      </c>
      <c r="H944" s="4" t="str">
        <f t="shared" si="84"/>
        <v/>
      </c>
      <c r="I944" s="5" t="str">
        <f t="shared" si="85"/>
        <v/>
      </c>
      <c r="J944" s="6">
        <f t="shared" si="86"/>
        <v>0</v>
      </c>
      <c r="K944" s="4" t="str">
        <f t="shared" si="87"/>
        <v/>
      </c>
      <c r="L944" s="4" t="str">
        <f t="shared" si="88"/>
        <v/>
      </c>
      <c r="M944" s="4" t="b" cm="1">
        <f t="array" ref="M944">IF(H944="",FALSE,SUMPRODUCT(--(H$1:H943=H944))&gt;0)</f>
        <v>0</v>
      </c>
      <c r="N944" s="36"/>
      <c r="P944" s="1" t="str">
        <f t="shared" si="89"/>
        <v/>
      </c>
    </row>
    <row r="945" spans="1:16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"&amp;L945,IF(AND(MAX(K$1:K944)&gt;0,N(K945)-MAX(K$1:K944)&gt;180),"⚠ Gap &gt; 3h",IF(_xlfn.LET(_xlpm.q,E945,_xlpm.tk,P945,_xlpm.ld,Log!$P$18,_xlpm.fx,IF(OR(_xlpm.ld="",_xlpm.ld="Full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"&amp;_xlpm.q,""))))&lt;&gt;"",IF(N945&lt;&gt;"","Load OK ✓ (checked)","⚠ "&amp;_xlfn.LET(_xlpm.q,E945,_xlpm.tk,P945,_xlpm.ld,Log!$P$18,_xlpm.fx,IF(OR(_xlpm.ld="",_xlpm.ld="Full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"&amp;_xlpm.q,""))))),IF(C945-I945&gt;=0.99,"next day",IF(C945-I945&gt;0.4,"12h → 24h","")))))))))))</f>
        <v/>
      </c>
      <c r="H945" s="4" t="str">
        <f t="shared" si="84"/>
        <v/>
      </c>
      <c r="I945" s="5" t="str">
        <f t="shared" si="85"/>
        <v/>
      </c>
      <c r="J945" s="6">
        <f t="shared" si="86"/>
        <v>0</v>
      </c>
      <c r="K945" s="4" t="str">
        <f t="shared" si="87"/>
        <v/>
      </c>
      <c r="L945" s="4" t="str">
        <f t="shared" si="88"/>
        <v/>
      </c>
      <c r="M945" s="4" t="b" cm="1">
        <f t="array" ref="M945">IF(H945="",FALSE,SUMPRODUCT(--(H$1:H944=H945))&gt;0)</f>
        <v>0</v>
      </c>
      <c r="N945" s="36"/>
      <c r="P945" s="1" t="str">
        <f t="shared" si="89"/>
        <v/>
      </c>
    </row>
    <row r="946" spans="1:16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"&amp;L946,IF(AND(MAX(K$1:K945)&gt;0,N(K946)-MAX(K$1:K945)&gt;180),"⚠ Gap &gt; 3h",IF(_xlfn.LET(_xlpm.q,E946,_xlpm.tk,P946,_xlpm.ld,Log!$P$18,_xlpm.fx,IF(OR(_xlpm.ld="",_xlpm.ld="Full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"&amp;_xlpm.q,""))))&lt;&gt;"",IF(N946&lt;&gt;"","Load OK ✓ (checked)","⚠ "&amp;_xlfn.LET(_xlpm.q,E946,_xlpm.tk,P946,_xlpm.ld,Log!$P$18,_xlpm.fx,IF(OR(_xlpm.ld="",_xlpm.ld="Full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"&amp;_xlpm.q,""))))),IF(C946-I946&gt;=0.99,"next day",IF(C946-I946&gt;0.4,"12h → 24h","")))))))))))</f>
        <v/>
      </c>
      <c r="H946" s="4" t="str">
        <f t="shared" si="84"/>
        <v/>
      </c>
      <c r="I946" s="5" t="str">
        <f t="shared" si="85"/>
        <v/>
      </c>
      <c r="J946" s="6">
        <f t="shared" si="86"/>
        <v>0</v>
      </c>
      <c r="K946" s="4" t="str">
        <f t="shared" si="87"/>
        <v/>
      </c>
      <c r="L946" s="4" t="str">
        <f t="shared" si="88"/>
        <v/>
      </c>
      <c r="M946" s="4" t="b" cm="1">
        <f t="array" ref="M946">IF(H946="",FALSE,SUMPRODUCT(--(H$1:H945=H946))&gt;0)</f>
        <v>0</v>
      </c>
      <c r="N946" s="36"/>
      <c r="P946" s="1" t="str">
        <f t="shared" si="89"/>
        <v/>
      </c>
    </row>
    <row r="947" spans="1:16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"&amp;L947,IF(AND(MAX(K$1:K946)&gt;0,N(K947)-MAX(K$1:K946)&gt;180),"⚠ Gap &gt; 3h",IF(_xlfn.LET(_xlpm.q,E947,_xlpm.tk,P947,_xlpm.ld,Log!$P$18,_xlpm.fx,IF(OR(_xlpm.ld="",_xlpm.ld="Full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"&amp;_xlpm.q,""))))&lt;&gt;"",IF(N947&lt;&gt;"","Load OK ✓ (checked)","⚠ "&amp;_xlfn.LET(_xlpm.q,E947,_xlpm.tk,P947,_xlpm.ld,Log!$P$18,_xlpm.fx,IF(OR(_xlpm.ld="",_xlpm.ld="Full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"&amp;_xlpm.q,""))))),IF(C947-I947&gt;=0.99,"next day",IF(C947-I947&gt;0.4,"12h → 24h","")))))))))))</f>
        <v/>
      </c>
      <c r="H947" s="4" t="str">
        <f t="shared" si="84"/>
        <v/>
      </c>
      <c r="I947" s="5" t="str">
        <f t="shared" si="85"/>
        <v/>
      </c>
      <c r="J947" s="6">
        <f t="shared" si="86"/>
        <v>0</v>
      </c>
      <c r="K947" s="4" t="str">
        <f t="shared" si="87"/>
        <v/>
      </c>
      <c r="L947" s="4" t="str">
        <f t="shared" si="88"/>
        <v/>
      </c>
      <c r="M947" s="4" t="b" cm="1">
        <f t="array" ref="M947">IF(H947="",FALSE,SUMPRODUCT(--(H$1:H946=H947))&gt;0)</f>
        <v>0</v>
      </c>
      <c r="N947" s="36"/>
      <c r="P947" s="1" t="str">
        <f t="shared" si="89"/>
        <v/>
      </c>
    </row>
    <row r="948" spans="1:16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"&amp;L948,IF(AND(MAX(K$1:K947)&gt;0,N(K948)-MAX(K$1:K947)&gt;180),"⚠ Gap &gt; 3h",IF(_xlfn.LET(_xlpm.q,E948,_xlpm.tk,P948,_xlpm.ld,Log!$P$18,_xlpm.fx,IF(OR(_xlpm.ld="",_xlpm.ld="Full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"&amp;_xlpm.q,""))))&lt;&gt;"",IF(N948&lt;&gt;"","Load OK ✓ (checked)","⚠ "&amp;_xlfn.LET(_xlpm.q,E948,_xlpm.tk,P948,_xlpm.ld,Log!$P$18,_xlpm.fx,IF(OR(_xlpm.ld="",_xlpm.ld="Full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"&amp;_xlpm.q,""))))),IF(C948-I948&gt;=0.99,"next day",IF(C948-I948&gt;0.4,"12h → 24h","")))))))))))</f>
        <v/>
      </c>
      <c r="H948" s="4" t="str">
        <f t="shared" si="84"/>
        <v/>
      </c>
      <c r="I948" s="5" t="str">
        <f t="shared" si="85"/>
        <v/>
      </c>
      <c r="J948" s="6">
        <f t="shared" si="86"/>
        <v>0</v>
      </c>
      <c r="K948" s="4" t="str">
        <f t="shared" si="87"/>
        <v/>
      </c>
      <c r="L948" s="4" t="str">
        <f t="shared" si="88"/>
        <v/>
      </c>
      <c r="M948" s="4" t="b" cm="1">
        <f t="array" ref="M948">IF(H948="",FALSE,SUMPRODUCT(--(H$1:H947=H948))&gt;0)</f>
        <v>0</v>
      </c>
      <c r="N948" s="36"/>
      <c r="P948" s="1" t="str">
        <f t="shared" si="89"/>
        <v/>
      </c>
    </row>
    <row r="949" spans="1:16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"&amp;L949,IF(AND(MAX(K$1:K948)&gt;0,N(K949)-MAX(K$1:K948)&gt;180),"⚠ Gap &gt; 3h",IF(_xlfn.LET(_xlpm.q,E949,_xlpm.tk,P949,_xlpm.ld,Log!$P$18,_xlpm.fx,IF(OR(_xlpm.ld="",_xlpm.ld="Full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"&amp;_xlpm.q,""))))&lt;&gt;"",IF(N949&lt;&gt;"","Load OK ✓ (checked)","⚠ "&amp;_xlfn.LET(_xlpm.q,E949,_xlpm.tk,P949,_xlpm.ld,Log!$P$18,_xlpm.fx,IF(OR(_xlpm.ld="",_xlpm.ld="Full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"&amp;_xlpm.q,""))))),IF(C949-I949&gt;=0.99,"next day",IF(C949-I949&gt;0.4,"12h → 24h","")))))))))))</f>
        <v/>
      </c>
      <c r="H949" s="4" t="str">
        <f t="shared" si="84"/>
        <v/>
      </c>
      <c r="I949" s="5" t="str">
        <f t="shared" si="85"/>
        <v/>
      </c>
      <c r="J949" s="6">
        <f t="shared" si="86"/>
        <v>0</v>
      </c>
      <c r="K949" s="4" t="str">
        <f t="shared" si="87"/>
        <v/>
      </c>
      <c r="L949" s="4" t="str">
        <f t="shared" si="88"/>
        <v/>
      </c>
      <c r="M949" s="4" t="b" cm="1">
        <f t="array" ref="M949">IF(H949="",FALSE,SUMPRODUCT(--(H$1:H948=H949))&gt;0)</f>
        <v>0</v>
      </c>
      <c r="N949" s="36"/>
      <c r="P949" s="1" t="str">
        <f t="shared" si="89"/>
        <v/>
      </c>
    </row>
    <row r="950" spans="1:16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"&amp;L950,IF(AND(MAX(K$1:K949)&gt;0,N(K950)-MAX(K$1:K949)&gt;180),"⚠ Gap &gt; 3h",IF(_xlfn.LET(_xlpm.q,E950,_xlpm.tk,P950,_xlpm.ld,Log!$P$18,_xlpm.fx,IF(OR(_xlpm.ld="",_xlpm.ld="Full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"&amp;_xlpm.q,""))))&lt;&gt;"",IF(N950&lt;&gt;"","Load OK ✓ (checked)","⚠ "&amp;_xlfn.LET(_xlpm.q,E950,_xlpm.tk,P950,_xlpm.ld,Log!$P$18,_xlpm.fx,IF(OR(_xlpm.ld="",_xlpm.ld="Full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"&amp;_xlpm.q,""))))),IF(C950-I950&gt;=0.99,"next day",IF(C950-I950&gt;0.4,"12h → 24h","")))))))))))</f>
        <v/>
      </c>
      <c r="H950" s="1" t="str">
        <f t="shared" si="84"/>
        <v/>
      </c>
      <c r="I950" s="1" t="str">
        <f t="shared" si="85"/>
        <v/>
      </c>
      <c r="J950" s="1">
        <f t="shared" si="86"/>
        <v>0</v>
      </c>
      <c r="K950" s="1" t="str">
        <f t="shared" si="87"/>
        <v/>
      </c>
      <c r="L950" s="1" t="str">
        <f t="shared" si="88"/>
        <v/>
      </c>
      <c r="M950" s="1" t="b" cm="1">
        <f t="array" ref="M950">IF(H950="",FALSE,SUMPRODUCT(--(H$1:H949=H950))&gt;0)</f>
        <v>0</v>
      </c>
      <c r="N950" s="36"/>
      <c r="P950" s="1" t="str">
        <f t="shared" si="89"/>
        <v/>
      </c>
    </row>
    <row r="951" spans="1:16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"&amp;L951,IF(AND(MAX(K$1:K950)&gt;0,N(K951)-MAX(K$1:K950)&gt;180),"⚠ Gap &gt; 3h",IF(_xlfn.LET(_xlpm.q,E951,_xlpm.tk,P951,_xlpm.ld,Log!$P$18,_xlpm.fx,IF(OR(_xlpm.ld="",_xlpm.ld="Full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"&amp;_xlpm.q,""))))&lt;&gt;"",IF(N951&lt;&gt;"","Load OK ✓ (checked)","⚠ "&amp;_xlfn.LET(_xlpm.q,E951,_xlpm.tk,P951,_xlpm.ld,Log!$P$18,_xlpm.fx,IF(OR(_xlpm.ld="",_xlpm.ld="Full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"&amp;_xlpm.q,""))))),IF(C951-I951&gt;=0.99,"next day",IF(C951-I951&gt;0.4,"12h → 24h","")))))))))))</f>
        <v/>
      </c>
      <c r="H951" s="1" t="str">
        <f t="shared" si="84"/>
        <v/>
      </c>
      <c r="I951" s="1" t="str">
        <f t="shared" si="85"/>
        <v/>
      </c>
      <c r="J951" s="1">
        <f t="shared" si="86"/>
        <v>0</v>
      </c>
      <c r="K951" s="1" t="str">
        <f t="shared" si="87"/>
        <v/>
      </c>
      <c r="L951" s="1" t="str">
        <f t="shared" si="88"/>
        <v/>
      </c>
      <c r="M951" s="1" t="b" cm="1">
        <f t="array" ref="M951">IF(H951="",FALSE,SUMPRODUCT(--(H$1:H950=H951))&gt;0)</f>
        <v>0</v>
      </c>
      <c r="N951" s="36"/>
      <c r="P951" s="1" t="str">
        <f t="shared" si="89"/>
        <v/>
      </c>
    </row>
    <row r="952" spans="1:16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"&amp;L952,IF(AND(MAX(K$1:K951)&gt;0,N(K952)-MAX(K$1:K951)&gt;180),"⚠ Gap &gt; 3h",IF(_xlfn.LET(_xlpm.q,E952,_xlpm.tk,P952,_xlpm.ld,Log!$P$18,_xlpm.fx,IF(OR(_xlpm.ld="",_xlpm.ld="Full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"&amp;_xlpm.q,""))))&lt;&gt;"",IF(N952&lt;&gt;"","Load OK ✓ (checked)","⚠ "&amp;_xlfn.LET(_xlpm.q,E952,_xlpm.tk,P952,_xlpm.ld,Log!$P$18,_xlpm.fx,IF(OR(_xlpm.ld="",_xlpm.ld="Full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"&amp;_xlpm.q,""))))),IF(C952-I952&gt;=0.99,"next day",IF(C952-I952&gt;0.4,"12h → 24h","")))))))))))</f>
        <v/>
      </c>
      <c r="H952" s="1" t="str">
        <f t="shared" si="84"/>
        <v/>
      </c>
      <c r="I952" s="1" t="str">
        <f t="shared" si="85"/>
        <v/>
      </c>
      <c r="J952" s="1">
        <f t="shared" si="86"/>
        <v>0</v>
      </c>
      <c r="K952" s="1" t="str">
        <f t="shared" si="87"/>
        <v/>
      </c>
      <c r="L952" s="1" t="str">
        <f t="shared" si="88"/>
        <v/>
      </c>
      <c r="M952" s="1" t="b" cm="1">
        <f t="array" ref="M952">IF(H952="",FALSE,SUMPRODUCT(--(H$1:H951=H952))&gt;0)</f>
        <v>0</v>
      </c>
      <c r="N952" s="36"/>
      <c r="P952" s="1" t="str">
        <f t="shared" si="89"/>
        <v/>
      </c>
    </row>
    <row r="953" spans="1:16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"&amp;L953,IF(AND(MAX(K$1:K952)&gt;0,N(K953)-MAX(K$1:K952)&gt;180),"⚠ Gap &gt; 3h",IF(_xlfn.LET(_xlpm.q,E953,_xlpm.tk,P953,_xlpm.ld,Log!$P$18,_xlpm.fx,IF(OR(_xlpm.ld="",_xlpm.ld="Full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"&amp;_xlpm.q,""))))&lt;&gt;"",IF(N953&lt;&gt;"","Load OK ✓ (checked)","⚠ "&amp;_xlfn.LET(_xlpm.q,E953,_xlpm.tk,P953,_xlpm.ld,Log!$P$18,_xlpm.fx,IF(OR(_xlpm.ld="",_xlpm.ld="Full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"&amp;_xlpm.q,""))))),IF(C953-I953&gt;=0.99,"next day",IF(C953-I953&gt;0.4,"12h → 24h","")))))))))))</f>
        <v/>
      </c>
      <c r="H953" s="1" t="str">
        <f t="shared" si="84"/>
        <v/>
      </c>
      <c r="I953" s="1" t="str">
        <f t="shared" si="85"/>
        <v/>
      </c>
      <c r="J953" s="1">
        <f t="shared" si="86"/>
        <v>0</v>
      </c>
      <c r="K953" s="1" t="str">
        <f t="shared" si="87"/>
        <v/>
      </c>
      <c r="L953" s="1" t="str">
        <f t="shared" si="88"/>
        <v/>
      </c>
      <c r="M953" s="1" t="b" cm="1">
        <f t="array" ref="M953">IF(H953="",FALSE,SUMPRODUCT(--(H$1:H952=H953))&gt;0)</f>
        <v>0</v>
      </c>
      <c r="N953" s="36"/>
      <c r="P953" s="1" t="str">
        <f t="shared" si="89"/>
        <v/>
      </c>
    </row>
    <row r="954" spans="1:16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"&amp;L954,IF(AND(MAX(K$1:K953)&gt;0,N(K954)-MAX(K$1:K953)&gt;180),"⚠ Gap &gt; 3h",IF(_xlfn.LET(_xlpm.q,E954,_xlpm.tk,P954,_xlpm.ld,Log!$P$18,_xlpm.fx,IF(OR(_xlpm.ld="",_xlpm.ld="Full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"&amp;_xlpm.q,""))))&lt;&gt;"",IF(N954&lt;&gt;"","Load OK ✓ (checked)","⚠ "&amp;_xlfn.LET(_xlpm.q,E954,_xlpm.tk,P954,_xlpm.ld,Log!$P$18,_xlpm.fx,IF(OR(_xlpm.ld="",_xlpm.ld="Full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"&amp;_xlpm.q,""))))),IF(C954-I954&gt;=0.99,"next day",IF(C954-I954&gt;0.4,"12h → 24h","")))))))))))</f>
        <v/>
      </c>
      <c r="H954" s="1" t="str">
        <f t="shared" si="84"/>
        <v/>
      </c>
      <c r="I954" s="1" t="str">
        <f t="shared" si="85"/>
        <v/>
      </c>
      <c r="J954" s="1">
        <f t="shared" si="86"/>
        <v>0</v>
      </c>
      <c r="K954" s="1" t="str">
        <f t="shared" si="87"/>
        <v/>
      </c>
      <c r="L954" s="1" t="str">
        <f t="shared" si="88"/>
        <v/>
      </c>
      <c r="M954" s="1" t="b" cm="1">
        <f t="array" ref="M954">IF(H954="",FALSE,SUMPRODUCT(--(H$1:H953=H954))&gt;0)</f>
        <v>0</v>
      </c>
      <c r="N954" s="36"/>
      <c r="P954" s="1" t="str">
        <f t="shared" si="89"/>
        <v/>
      </c>
    </row>
    <row r="955" spans="1:16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"&amp;L955,IF(AND(MAX(K$1:K954)&gt;0,N(K955)-MAX(K$1:K954)&gt;180),"⚠ Gap &gt; 3h",IF(_xlfn.LET(_xlpm.q,E955,_xlpm.tk,P955,_xlpm.ld,Log!$P$18,_xlpm.fx,IF(OR(_xlpm.ld="",_xlpm.ld="Full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"&amp;_xlpm.q,""))))&lt;&gt;"",IF(N955&lt;&gt;"","Load OK ✓ (checked)","⚠ "&amp;_xlfn.LET(_xlpm.q,E955,_xlpm.tk,P955,_xlpm.ld,Log!$P$18,_xlpm.fx,IF(OR(_xlpm.ld="",_xlpm.ld="Full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"&amp;_xlpm.q,""))))),IF(C955-I955&gt;=0.99,"next day",IF(C955-I955&gt;0.4,"12h → 24h","")))))))))))</f>
        <v/>
      </c>
      <c r="H955" s="1" t="str">
        <f t="shared" si="84"/>
        <v/>
      </c>
      <c r="I955" s="1" t="str">
        <f t="shared" si="85"/>
        <v/>
      </c>
      <c r="J955" s="1">
        <f t="shared" si="86"/>
        <v>0</v>
      </c>
      <c r="K955" s="1" t="str">
        <f t="shared" si="87"/>
        <v/>
      </c>
      <c r="L955" s="1" t="str">
        <f t="shared" si="88"/>
        <v/>
      </c>
      <c r="M955" s="1" t="b" cm="1">
        <f t="array" ref="M955">IF(H955="",FALSE,SUMPRODUCT(--(H$1:H954=H955))&gt;0)</f>
        <v>0</v>
      </c>
      <c r="N955" s="36"/>
      <c r="P955" s="1" t="str">
        <f t="shared" si="89"/>
        <v/>
      </c>
    </row>
    <row r="956" spans="1:16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"&amp;L956,IF(AND(MAX(K$1:K955)&gt;0,N(K956)-MAX(K$1:K955)&gt;180),"⚠ Gap &gt; 3h",IF(_xlfn.LET(_xlpm.q,E956,_xlpm.tk,P956,_xlpm.ld,Log!$P$18,_xlpm.fx,IF(OR(_xlpm.ld="",_xlpm.ld="Full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"&amp;_xlpm.q,""))))&lt;&gt;"",IF(N956&lt;&gt;"","Load OK ✓ (checked)","⚠ "&amp;_xlfn.LET(_xlpm.q,E956,_xlpm.tk,P956,_xlpm.ld,Log!$P$18,_xlpm.fx,IF(OR(_xlpm.ld="",_xlpm.ld="Full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"&amp;_xlpm.q,""))))),IF(C956-I956&gt;=0.99,"next day",IF(C956-I956&gt;0.4,"12h → 24h","")))))))))))</f>
        <v/>
      </c>
      <c r="H956" s="1" t="str">
        <f t="shared" si="84"/>
        <v/>
      </c>
      <c r="I956" s="1" t="str">
        <f t="shared" si="85"/>
        <v/>
      </c>
      <c r="J956" s="1">
        <f t="shared" si="86"/>
        <v>0</v>
      </c>
      <c r="K956" s="1" t="str">
        <f t="shared" si="87"/>
        <v/>
      </c>
      <c r="L956" s="1" t="str">
        <f t="shared" si="88"/>
        <v/>
      </c>
      <c r="M956" s="1" t="b" cm="1">
        <f t="array" ref="M956">IF(H956="",FALSE,SUMPRODUCT(--(H$1:H955=H956))&gt;0)</f>
        <v>0</v>
      </c>
      <c r="N956" s="36"/>
      <c r="P956" s="1" t="str">
        <f t="shared" si="89"/>
        <v/>
      </c>
    </row>
    <row r="957" spans="1:16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"&amp;L957,IF(AND(MAX(K$1:K956)&gt;0,N(K957)-MAX(K$1:K956)&gt;180),"⚠ Gap &gt; 3h",IF(_xlfn.LET(_xlpm.q,E957,_xlpm.tk,P957,_xlpm.ld,Log!$P$18,_xlpm.fx,IF(OR(_xlpm.ld="",_xlpm.ld="Full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"&amp;_xlpm.q,""))))&lt;&gt;"",IF(N957&lt;&gt;"","Load OK ✓ (checked)","⚠ "&amp;_xlfn.LET(_xlpm.q,E957,_xlpm.tk,P957,_xlpm.ld,Log!$P$18,_xlpm.fx,IF(OR(_xlpm.ld="",_xlpm.ld="Full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"&amp;_xlpm.q,""))))),IF(C957-I957&gt;=0.99,"next day",IF(C957-I957&gt;0.4,"12h → 24h","")))))))))))</f>
        <v/>
      </c>
      <c r="H957" s="1" t="str">
        <f t="shared" si="84"/>
        <v/>
      </c>
      <c r="I957" s="1" t="str">
        <f t="shared" si="85"/>
        <v/>
      </c>
      <c r="J957" s="1">
        <f t="shared" si="86"/>
        <v>0</v>
      </c>
      <c r="K957" s="1" t="str">
        <f t="shared" si="87"/>
        <v/>
      </c>
      <c r="L957" s="1" t="str">
        <f t="shared" si="88"/>
        <v/>
      </c>
      <c r="M957" s="1" t="b" cm="1">
        <f t="array" ref="M957">IF(H957="",FALSE,SUMPRODUCT(--(H$1:H956=H957))&gt;0)</f>
        <v>0</v>
      </c>
      <c r="N957" s="36"/>
      <c r="P957" s="1" t="str">
        <f t="shared" si="89"/>
        <v/>
      </c>
    </row>
    <row r="958" spans="1:16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"&amp;L958,IF(AND(MAX(K$1:K957)&gt;0,N(K958)-MAX(K$1:K957)&gt;180),"⚠ Gap &gt; 3h",IF(_xlfn.LET(_xlpm.q,E958,_xlpm.tk,P958,_xlpm.ld,Log!$P$18,_xlpm.fx,IF(OR(_xlpm.ld="",_xlpm.ld="Full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"&amp;_xlpm.q,""))))&lt;&gt;"",IF(N958&lt;&gt;"","Load OK ✓ (checked)","⚠ "&amp;_xlfn.LET(_xlpm.q,E958,_xlpm.tk,P958,_xlpm.ld,Log!$P$18,_xlpm.fx,IF(OR(_xlpm.ld="",_xlpm.ld="Full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"&amp;_xlpm.q,""))))),IF(C958-I958&gt;=0.99,"next day",IF(C958-I958&gt;0.4,"12h → 24h","")))))))))))</f>
        <v/>
      </c>
      <c r="H958" s="1" t="str">
        <f t="shared" si="84"/>
        <v/>
      </c>
      <c r="I958" s="1" t="str">
        <f t="shared" si="85"/>
        <v/>
      </c>
      <c r="J958" s="1">
        <f t="shared" si="86"/>
        <v>0</v>
      </c>
      <c r="K958" s="1" t="str">
        <f t="shared" si="87"/>
        <v/>
      </c>
      <c r="L958" s="1" t="str">
        <f t="shared" si="88"/>
        <v/>
      </c>
      <c r="M958" s="1" t="b" cm="1">
        <f t="array" ref="M958">IF(H958="",FALSE,SUMPRODUCT(--(H$1:H957=H958))&gt;0)</f>
        <v>0</v>
      </c>
      <c r="N958" s="36"/>
      <c r="P958" s="1" t="str">
        <f t="shared" si="89"/>
        <v/>
      </c>
    </row>
    <row r="959" spans="1:16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"&amp;L959,IF(AND(MAX(K$1:K958)&gt;0,N(K959)-MAX(K$1:K958)&gt;180),"⚠ Gap &gt; 3h",IF(_xlfn.LET(_xlpm.q,E959,_xlpm.tk,P959,_xlpm.ld,Log!$P$18,_xlpm.fx,IF(OR(_xlpm.ld="",_xlpm.ld="Full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"&amp;_xlpm.q,""))))&lt;&gt;"",IF(N959&lt;&gt;"","Load OK ✓ (checked)","⚠ "&amp;_xlfn.LET(_xlpm.q,E959,_xlpm.tk,P959,_xlpm.ld,Log!$P$18,_xlpm.fx,IF(OR(_xlpm.ld="",_xlpm.ld="Full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"&amp;_xlpm.q,""))))),IF(C959-I959&gt;=0.99,"next day",IF(C959-I959&gt;0.4,"12h → 24h","")))))))))))</f>
        <v/>
      </c>
      <c r="H959" s="1" t="str">
        <f t="shared" si="84"/>
        <v/>
      </c>
      <c r="I959" s="1" t="str">
        <f t="shared" si="85"/>
        <v/>
      </c>
      <c r="J959" s="1">
        <f t="shared" si="86"/>
        <v>0</v>
      </c>
      <c r="K959" s="1" t="str">
        <f t="shared" si="87"/>
        <v/>
      </c>
      <c r="L959" s="1" t="str">
        <f t="shared" si="88"/>
        <v/>
      </c>
      <c r="M959" s="1" t="b" cm="1">
        <f t="array" ref="M959">IF(H959="",FALSE,SUMPRODUCT(--(H$1:H958=H959))&gt;0)</f>
        <v>0</v>
      </c>
      <c r="N959" s="36"/>
      <c r="P959" s="1" t="str">
        <f t="shared" si="89"/>
        <v/>
      </c>
    </row>
    <row r="960" spans="1:16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"&amp;L960,IF(AND(MAX(K$1:K959)&gt;0,N(K960)-MAX(K$1:K959)&gt;180),"⚠ Gap &gt; 3h",IF(_xlfn.LET(_xlpm.q,E960,_xlpm.tk,P960,_xlpm.ld,Log!$P$18,_xlpm.fx,IF(OR(_xlpm.ld="",_xlpm.ld="Full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"&amp;_xlpm.q,""))))&lt;&gt;"",IF(N960&lt;&gt;"","Load OK ✓ (checked)","⚠ "&amp;_xlfn.LET(_xlpm.q,E960,_xlpm.tk,P960,_xlpm.ld,Log!$P$18,_xlpm.fx,IF(OR(_xlpm.ld="",_xlpm.ld="Full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"&amp;_xlpm.q,""))))),IF(C960-I960&gt;=0.99,"next day",IF(C960-I960&gt;0.4,"12h → 24h","")))))))))))</f>
        <v/>
      </c>
      <c r="H960" s="1" t="str">
        <f t="shared" si="84"/>
        <v/>
      </c>
      <c r="I960" s="1" t="str">
        <f t="shared" si="85"/>
        <v/>
      </c>
      <c r="J960" s="1">
        <f t="shared" si="86"/>
        <v>0</v>
      </c>
      <c r="K960" s="1" t="str">
        <f t="shared" si="87"/>
        <v/>
      </c>
      <c r="L960" s="1" t="str">
        <f t="shared" si="88"/>
        <v/>
      </c>
      <c r="M960" s="1" t="b" cm="1">
        <f t="array" ref="M960">IF(H960="",FALSE,SUMPRODUCT(--(H$1:H959=H960))&gt;0)</f>
        <v>0</v>
      </c>
      <c r="N960" s="36"/>
      <c r="P960" s="1" t="str">
        <f t="shared" si="89"/>
        <v/>
      </c>
    </row>
    <row r="961" spans="1:16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"&amp;L961,IF(AND(MAX(K$1:K960)&gt;0,N(K961)-MAX(K$1:K960)&gt;180),"⚠ Gap &gt; 3h",IF(_xlfn.LET(_xlpm.q,E961,_xlpm.tk,P961,_xlpm.ld,Log!$P$18,_xlpm.fx,IF(OR(_xlpm.ld="",_xlpm.ld="Full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"&amp;_xlpm.q,""))))&lt;&gt;"",IF(N961&lt;&gt;"","Load OK ✓ (checked)","⚠ "&amp;_xlfn.LET(_xlpm.q,E961,_xlpm.tk,P961,_xlpm.ld,Log!$P$18,_xlpm.fx,IF(OR(_xlpm.ld="",_xlpm.ld="Full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"&amp;_xlpm.q,""))))),IF(C961-I961&gt;=0.99,"next day",IF(C961-I961&gt;0.4,"12h → 24h","")))))))))))</f>
        <v/>
      </c>
      <c r="H961" s="1" t="str">
        <f t="shared" si="84"/>
        <v/>
      </c>
      <c r="I961" s="1" t="str">
        <f t="shared" si="85"/>
        <v/>
      </c>
      <c r="J961" s="1">
        <f t="shared" si="86"/>
        <v>0</v>
      </c>
      <c r="K961" s="1" t="str">
        <f t="shared" si="87"/>
        <v/>
      </c>
      <c r="L961" s="1" t="str">
        <f t="shared" si="88"/>
        <v/>
      </c>
      <c r="M961" s="1" t="b" cm="1">
        <f t="array" ref="M961">IF(H961="",FALSE,SUMPRODUCT(--(H$1:H960=H961))&gt;0)</f>
        <v>0</v>
      </c>
      <c r="N961" s="36"/>
      <c r="P961" s="1" t="str">
        <f t="shared" si="89"/>
        <v/>
      </c>
    </row>
    <row r="962" spans="1:16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"&amp;L962,IF(AND(MAX(K$1:K961)&gt;0,N(K962)-MAX(K$1:K961)&gt;180),"⚠ Gap &gt; 3h",IF(_xlfn.LET(_xlpm.q,E962,_xlpm.tk,P962,_xlpm.ld,Log!$P$18,_xlpm.fx,IF(OR(_xlpm.ld="",_xlpm.ld="Full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"&amp;_xlpm.q,""))))&lt;&gt;"",IF(N962&lt;&gt;"","Load OK ✓ (checked)","⚠ "&amp;_xlfn.LET(_xlpm.q,E962,_xlpm.tk,P962,_xlpm.ld,Log!$P$18,_xlpm.fx,IF(OR(_xlpm.ld="",_xlpm.ld="Full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"&amp;_xlpm.q,""))))),IF(C962-I962&gt;=0.99,"next day",IF(C962-I962&gt;0.4,"12h → 24h","")))))))))))</f>
        <v/>
      </c>
      <c r="H962" s="1" t="str">
        <f t="shared" ref="H962:H1001" si="90">IF(B962="","",_xlfn.LET(_xlpm.t,TRIM(B962),IF(LEFT(_xlpm.t,1)="[",IFERROR(TRIM(MID(_xlpm.t,FIND(": ",_xlpm.t,FIND("]",_xlpm.t))+2,500)),_xlpm.t),_xlpm.t)))</f>
        <v/>
      </c>
      <c r="I962" s="1" t="str">
        <f t="shared" ref="I962:I1025" si="91">IF(H962="","",IFERROR(TIMEVALUE(TRIM(SUBSTITUTE(SUBSTITUTE(MID(H962,SEARCH(":",H962)-2,5),".",""),"*",""))),""))</f>
        <v/>
      </c>
      <c r="J962" s="1">
        <f t="shared" ref="J962:J1001" si="92">IF(OR(B962="",F962="",M962),0,IF(ISNUMBER(F962),F962,N(E962)))</f>
        <v>0</v>
      </c>
      <c r="K962" s="1" t="str">
        <f t="shared" ref="K962:K1001" si="93">IF(OR(C962="",M962),"",ROUND(C962*1440,0))</f>
        <v/>
      </c>
      <c r="L962" s="1" t="str">
        <f t="shared" ref="L962:L1001" si="94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  <c r="N962" s="36"/>
      <c r="P962" s="1" t="str">
        <f t="shared" ref="P962:P1001" si="95">IF(OR(H962="",NOT(ISNUMBER(L962))),"",IFERROR(_xlfn.LET(_xlpm.t,TRIM(SUBSTITUTE(SUBSTITUTE(SUBSTITUTE(H962,"*",""),"_",""),"."," ")),_xlpm.s,TRIM(MID(SUBSTITUTE(_xlpm.t," ",REPT(" ",100)),101,100)),IF(AND(LEN(_xlpm.s)=3,ISNUMBER(--_xlpm.s)),--_xlpm.s,"")),""))</f>
        <v/>
      </c>
    </row>
    <row r="963" spans="1:16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"&amp;L963,IF(AND(MAX(K$1:K962)&gt;0,N(K963)-MAX(K$1:K962)&gt;180),"⚠ Gap &gt; 3h",IF(_xlfn.LET(_xlpm.q,E963,_xlpm.tk,P963,_xlpm.ld,Log!$P$18,_xlpm.fx,IF(OR(_xlpm.ld="",_xlpm.ld="Full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"&amp;_xlpm.q,""))))&lt;&gt;"",IF(N963&lt;&gt;"","Load OK ✓ (checked)","⚠ "&amp;_xlfn.LET(_xlpm.q,E963,_xlpm.tk,P963,_xlpm.ld,Log!$P$18,_xlpm.fx,IF(OR(_xlpm.ld="",_xlpm.ld="Full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"&amp;_xlpm.q,""))))),IF(C963-I963&gt;=0.99,"next day",IF(C963-I963&gt;0.4,"12h → 24h","")))))))))))</f>
        <v/>
      </c>
      <c r="H963" s="1" t="str">
        <f t="shared" si="90"/>
        <v/>
      </c>
      <c r="I963" s="1" t="str">
        <f t="shared" si="91"/>
        <v/>
      </c>
      <c r="J963" s="1">
        <f t="shared" si="92"/>
        <v>0</v>
      </c>
      <c r="K963" s="1" t="str">
        <f t="shared" si="93"/>
        <v/>
      </c>
      <c r="L963" s="1" t="str">
        <f t="shared" si="94"/>
        <v/>
      </c>
      <c r="M963" s="1" t="b" cm="1">
        <f t="array" ref="M963">IF(H963="",FALSE,SUMPRODUCT(--(H$1:H962=H963))&gt;0)</f>
        <v>0</v>
      </c>
      <c r="N963" s="36"/>
      <c r="P963" s="1" t="str">
        <f t="shared" si="95"/>
        <v/>
      </c>
    </row>
    <row r="964" spans="1:16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"&amp;L964,IF(AND(MAX(K$1:K963)&gt;0,N(K964)-MAX(K$1:K963)&gt;180),"⚠ Gap &gt; 3h",IF(_xlfn.LET(_xlpm.q,E964,_xlpm.tk,P964,_xlpm.ld,Log!$P$18,_xlpm.fx,IF(OR(_xlpm.ld="",_xlpm.ld="Full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"&amp;_xlpm.q,""))))&lt;&gt;"",IF(N964&lt;&gt;"","Load OK ✓ (checked)","⚠ "&amp;_xlfn.LET(_xlpm.q,E964,_xlpm.tk,P964,_xlpm.ld,Log!$P$18,_xlpm.fx,IF(OR(_xlpm.ld="",_xlpm.ld="Full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"&amp;_xlpm.q,""))))),IF(C964-I964&gt;=0.99,"next day",IF(C964-I964&gt;0.4,"12h → 24h","")))))))))))</f>
        <v/>
      </c>
      <c r="H964" s="1" t="str">
        <f t="shared" si="90"/>
        <v/>
      </c>
      <c r="I964" s="1" t="str">
        <f t="shared" si="91"/>
        <v/>
      </c>
      <c r="J964" s="1">
        <f t="shared" si="92"/>
        <v>0</v>
      </c>
      <c r="K964" s="1" t="str">
        <f t="shared" si="93"/>
        <v/>
      </c>
      <c r="L964" s="1" t="str">
        <f t="shared" si="94"/>
        <v/>
      </c>
      <c r="M964" s="1" t="b" cm="1">
        <f t="array" ref="M964">IF(H964="",FALSE,SUMPRODUCT(--(H$1:H963=H964))&gt;0)</f>
        <v>0</v>
      </c>
      <c r="N964" s="36"/>
      <c r="P964" s="1" t="str">
        <f t="shared" si="95"/>
        <v/>
      </c>
    </row>
    <row r="965" spans="1:16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"&amp;L965,IF(AND(MAX(K$1:K964)&gt;0,N(K965)-MAX(K$1:K964)&gt;180),"⚠ Gap &gt; 3h",IF(_xlfn.LET(_xlpm.q,E965,_xlpm.tk,P965,_xlpm.ld,Log!$P$18,_xlpm.fx,IF(OR(_xlpm.ld="",_xlpm.ld="Full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"&amp;_xlpm.q,""))))&lt;&gt;"",IF(N965&lt;&gt;"","Load OK ✓ (checked)","⚠ "&amp;_xlfn.LET(_xlpm.q,E965,_xlpm.tk,P965,_xlpm.ld,Log!$P$18,_xlpm.fx,IF(OR(_xlpm.ld="",_xlpm.ld="Full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"&amp;_xlpm.q,""))))),IF(C965-I965&gt;=0.99,"next day",IF(C965-I965&gt;0.4,"12h → 24h","")))))))))))</f>
        <v/>
      </c>
      <c r="H965" s="1" t="str">
        <f t="shared" si="90"/>
        <v/>
      </c>
      <c r="I965" s="1" t="str">
        <f t="shared" si="91"/>
        <v/>
      </c>
      <c r="J965" s="1">
        <f t="shared" si="92"/>
        <v>0</v>
      </c>
      <c r="K965" s="1" t="str">
        <f t="shared" si="93"/>
        <v/>
      </c>
      <c r="L965" s="1" t="str">
        <f t="shared" si="94"/>
        <v/>
      </c>
      <c r="M965" s="1" t="b" cm="1">
        <f t="array" ref="M965">IF(H965="",FALSE,SUMPRODUCT(--(H$1:H964=H965))&gt;0)</f>
        <v>0</v>
      </c>
      <c r="N965" s="36"/>
      <c r="P965" s="1" t="str">
        <f t="shared" si="95"/>
        <v/>
      </c>
    </row>
    <row r="966" spans="1:16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"&amp;L966,IF(AND(MAX(K$1:K965)&gt;0,N(K966)-MAX(K$1:K965)&gt;180),"⚠ Gap &gt; 3h",IF(_xlfn.LET(_xlpm.q,E966,_xlpm.tk,P966,_xlpm.ld,Log!$P$18,_xlpm.fx,IF(OR(_xlpm.ld="",_xlpm.ld="Full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"&amp;_xlpm.q,""))))&lt;&gt;"",IF(N966&lt;&gt;"","Load OK ✓ (checked)","⚠ "&amp;_xlfn.LET(_xlpm.q,E966,_xlpm.tk,P966,_xlpm.ld,Log!$P$18,_xlpm.fx,IF(OR(_xlpm.ld="",_xlpm.ld="Full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"&amp;_xlpm.q,""))))),IF(C966-I966&gt;=0.99,"next day",IF(C966-I966&gt;0.4,"12h → 24h","")))))))))))</f>
        <v/>
      </c>
      <c r="H966" s="1" t="str">
        <f t="shared" si="90"/>
        <v/>
      </c>
      <c r="I966" s="1" t="str">
        <f t="shared" si="91"/>
        <v/>
      </c>
      <c r="J966" s="1">
        <f t="shared" si="92"/>
        <v>0</v>
      </c>
      <c r="K966" s="1" t="str">
        <f t="shared" si="93"/>
        <v/>
      </c>
      <c r="L966" s="1" t="str">
        <f t="shared" si="94"/>
        <v/>
      </c>
      <c r="M966" s="1" t="b" cm="1">
        <f t="array" ref="M966">IF(H966="",FALSE,SUMPRODUCT(--(H$1:H965=H966))&gt;0)</f>
        <v>0</v>
      </c>
      <c r="N966" s="36"/>
      <c r="P966" s="1" t="str">
        <f t="shared" si="95"/>
        <v/>
      </c>
    </row>
    <row r="967" spans="1:16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"&amp;L967,IF(AND(MAX(K$1:K966)&gt;0,N(K967)-MAX(K$1:K966)&gt;180),"⚠ Gap &gt; 3h",IF(_xlfn.LET(_xlpm.q,E967,_xlpm.tk,P967,_xlpm.ld,Log!$P$18,_xlpm.fx,IF(OR(_xlpm.ld="",_xlpm.ld="Full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"&amp;_xlpm.q,""))))&lt;&gt;"",IF(N967&lt;&gt;"","Load OK ✓ (checked)","⚠ "&amp;_xlfn.LET(_xlpm.q,E967,_xlpm.tk,P967,_xlpm.ld,Log!$P$18,_xlpm.fx,IF(OR(_xlpm.ld="",_xlpm.ld="Full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"&amp;_xlpm.q,""))))),IF(C967-I967&gt;=0.99,"next day",IF(C967-I967&gt;0.4,"12h → 24h","")))))))))))</f>
        <v/>
      </c>
      <c r="H967" s="1" t="str">
        <f t="shared" si="90"/>
        <v/>
      </c>
      <c r="I967" s="1" t="str">
        <f t="shared" si="91"/>
        <v/>
      </c>
      <c r="J967" s="1">
        <f t="shared" si="92"/>
        <v>0</v>
      </c>
      <c r="K967" s="1" t="str">
        <f t="shared" si="93"/>
        <v/>
      </c>
      <c r="L967" s="1" t="str">
        <f t="shared" si="94"/>
        <v/>
      </c>
      <c r="M967" s="1" t="b" cm="1">
        <f t="array" ref="M967">IF(H967="",FALSE,SUMPRODUCT(--(H$1:H966=H967))&gt;0)</f>
        <v>0</v>
      </c>
      <c r="N967" s="36"/>
      <c r="P967" s="1" t="str">
        <f t="shared" si="95"/>
        <v/>
      </c>
    </row>
    <row r="968" spans="1:16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"&amp;L968,IF(AND(MAX(K$1:K967)&gt;0,N(K968)-MAX(K$1:K967)&gt;180),"⚠ Gap &gt; 3h",IF(_xlfn.LET(_xlpm.q,E968,_xlpm.tk,P968,_xlpm.ld,Log!$P$18,_xlpm.fx,IF(OR(_xlpm.ld="",_xlpm.ld="Full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"&amp;_xlpm.q,""))))&lt;&gt;"",IF(N968&lt;&gt;"","Load OK ✓ (checked)","⚠ "&amp;_xlfn.LET(_xlpm.q,E968,_xlpm.tk,P968,_xlpm.ld,Log!$P$18,_xlpm.fx,IF(OR(_xlpm.ld="",_xlpm.ld="Full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"&amp;_xlpm.q,""))))),IF(C968-I968&gt;=0.99,"next day",IF(C968-I968&gt;0.4,"12h → 24h","")))))))))))</f>
        <v/>
      </c>
      <c r="H968" s="1" t="str">
        <f t="shared" si="90"/>
        <v/>
      </c>
      <c r="I968" s="1" t="str">
        <f t="shared" si="91"/>
        <v/>
      </c>
      <c r="J968" s="1">
        <f t="shared" si="92"/>
        <v>0</v>
      </c>
      <c r="K968" s="1" t="str">
        <f t="shared" si="93"/>
        <v/>
      </c>
      <c r="L968" s="1" t="str">
        <f t="shared" si="94"/>
        <v/>
      </c>
      <c r="M968" s="1" t="b" cm="1">
        <f t="array" ref="M968">IF(H968="",FALSE,SUMPRODUCT(--(H$1:H967=H968))&gt;0)</f>
        <v>0</v>
      </c>
      <c r="N968" s="36"/>
      <c r="P968" s="1" t="str">
        <f t="shared" si="95"/>
        <v/>
      </c>
    </row>
    <row r="969" spans="1:16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"&amp;L969,IF(AND(MAX(K$1:K968)&gt;0,N(K969)-MAX(K$1:K968)&gt;180),"⚠ Gap &gt; 3h",IF(_xlfn.LET(_xlpm.q,E969,_xlpm.tk,P969,_xlpm.ld,Log!$P$18,_xlpm.fx,IF(OR(_xlpm.ld="",_xlpm.ld="Full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"&amp;_xlpm.q,""))))&lt;&gt;"",IF(N969&lt;&gt;"","Load OK ✓ (checked)","⚠ "&amp;_xlfn.LET(_xlpm.q,E969,_xlpm.tk,P969,_xlpm.ld,Log!$P$18,_xlpm.fx,IF(OR(_xlpm.ld="",_xlpm.ld="Full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"&amp;_xlpm.q,""))))),IF(C969-I969&gt;=0.99,"next day",IF(C969-I969&gt;0.4,"12h → 24h","")))))))))))</f>
        <v/>
      </c>
      <c r="H969" s="1" t="str">
        <f t="shared" si="90"/>
        <v/>
      </c>
      <c r="I969" s="1" t="str">
        <f t="shared" si="91"/>
        <v/>
      </c>
      <c r="J969" s="1">
        <f t="shared" si="92"/>
        <v>0</v>
      </c>
      <c r="K969" s="1" t="str">
        <f t="shared" si="93"/>
        <v/>
      </c>
      <c r="L969" s="1" t="str">
        <f t="shared" si="94"/>
        <v/>
      </c>
      <c r="M969" s="1" t="b" cm="1">
        <f t="array" ref="M969">IF(H969="",FALSE,SUMPRODUCT(--(H$1:H968=H969))&gt;0)</f>
        <v>0</v>
      </c>
      <c r="N969" s="36"/>
      <c r="P969" s="1" t="str">
        <f t="shared" si="95"/>
        <v/>
      </c>
    </row>
    <row r="970" spans="1:16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"&amp;L970,IF(AND(MAX(K$1:K969)&gt;0,N(K970)-MAX(K$1:K969)&gt;180),"⚠ Gap &gt; 3h",IF(_xlfn.LET(_xlpm.q,E970,_xlpm.tk,P970,_xlpm.ld,Log!$P$18,_xlpm.fx,IF(OR(_xlpm.ld="",_xlpm.ld="Full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"&amp;_xlpm.q,""))))&lt;&gt;"",IF(N970&lt;&gt;"","Load OK ✓ (checked)","⚠ "&amp;_xlfn.LET(_xlpm.q,E970,_xlpm.tk,P970,_xlpm.ld,Log!$P$18,_xlpm.fx,IF(OR(_xlpm.ld="",_xlpm.ld="Full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"&amp;_xlpm.q,""))))),IF(C970-I970&gt;=0.99,"next day",IF(C970-I970&gt;0.4,"12h → 24h","")))))))))))</f>
        <v/>
      </c>
      <c r="H970" s="1" t="str">
        <f t="shared" si="90"/>
        <v/>
      </c>
      <c r="I970" s="1" t="str">
        <f t="shared" si="91"/>
        <v/>
      </c>
      <c r="J970" s="1">
        <f t="shared" si="92"/>
        <v>0</v>
      </c>
      <c r="K970" s="1" t="str">
        <f t="shared" si="93"/>
        <v/>
      </c>
      <c r="L970" s="1" t="str">
        <f t="shared" si="94"/>
        <v/>
      </c>
      <c r="M970" s="1" t="b" cm="1">
        <f t="array" ref="M970">IF(H970="",FALSE,SUMPRODUCT(--(H$1:H969=H970))&gt;0)</f>
        <v>0</v>
      </c>
      <c r="N970" s="36"/>
      <c r="P970" s="1" t="str">
        <f t="shared" si="95"/>
        <v/>
      </c>
    </row>
    <row r="971" spans="1:16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"&amp;L971,IF(AND(MAX(K$1:K970)&gt;0,N(K971)-MAX(K$1:K970)&gt;180),"⚠ Gap &gt; 3h",IF(_xlfn.LET(_xlpm.q,E971,_xlpm.tk,P971,_xlpm.ld,Log!$P$18,_xlpm.fx,IF(OR(_xlpm.ld="",_xlpm.ld="Full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"&amp;_xlpm.q,""))))&lt;&gt;"",IF(N971&lt;&gt;"","Load OK ✓ (checked)","⚠ "&amp;_xlfn.LET(_xlpm.q,E971,_xlpm.tk,P971,_xlpm.ld,Log!$P$18,_xlpm.fx,IF(OR(_xlpm.ld="",_xlpm.ld="Full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"&amp;_xlpm.q,""))))),IF(C971-I971&gt;=0.99,"next day",IF(C971-I971&gt;0.4,"12h → 24h","")))))))))))</f>
        <v/>
      </c>
      <c r="H971" s="1" t="str">
        <f t="shared" si="90"/>
        <v/>
      </c>
      <c r="I971" s="1" t="str">
        <f t="shared" si="91"/>
        <v/>
      </c>
      <c r="J971" s="1">
        <f t="shared" si="92"/>
        <v>0</v>
      </c>
      <c r="K971" s="1" t="str">
        <f t="shared" si="93"/>
        <v/>
      </c>
      <c r="L971" s="1" t="str">
        <f t="shared" si="94"/>
        <v/>
      </c>
      <c r="M971" s="1" t="b" cm="1">
        <f t="array" ref="M971">IF(H971="",FALSE,SUMPRODUCT(--(H$1:H970=H971))&gt;0)</f>
        <v>0</v>
      </c>
      <c r="N971" s="36"/>
      <c r="P971" s="1" t="str">
        <f t="shared" si="95"/>
        <v/>
      </c>
    </row>
    <row r="972" spans="1:16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"&amp;L972,IF(AND(MAX(K$1:K971)&gt;0,N(K972)-MAX(K$1:K971)&gt;180),"⚠ Gap &gt; 3h",IF(_xlfn.LET(_xlpm.q,E972,_xlpm.tk,P972,_xlpm.ld,Log!$P$18,_xlpm.fx,IF(OR(_xlpm.ld="",_xlpm.ld="Full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"&amp;_xlpm.q,""))))&lt;&gt;"",IF(N972&lt;&gt;"","Load OK ✓ (checked)","⚠ "&amp;_xlfn.LET(_xlpm.q,E972,_xlpm.tk,P972,_xlpm.ld,Log!$P$18,_xlpm.fx,IF(OR(_xlpm.ld="",_xlpm.ld="Full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"&amp;_xlpm.q,""))))),IF(C972-I972&gt;=0.99,"next day",IF(C972-I972&gt;0.4,"12h → 24h","")))))))))))</f>
        <v/>
      </c>
      <c r="H972" s="1" t="str">
        <f t="shared" si="90"/>
        <v/>
      </c>
      <c r="I972" s="1" t="str">
        <f t="shared" si="91"/>
        <v/>
      </c>
      <c r="J972" s="1">
        <f t="shared" si="92"/>
        <v>0</v>
      </c>
      <c r="K972" s="1" t="str">
        <f t="shared" si="93"/>
        <v/>
      </c>
      <c r="L972" s="1" t="str">
        <f t="shared" si="94"/>
        <v/>
      </c>
      <c r="M972" s="1" t="b" cm="1">
        <f t="array" ref="M972">IF(H972="",FALSE,SUMPRODUCT(--(H$1:H971=H972))&gt;0)</f>
        <v>0</v>
      </c>
      <c r="N972" s="36"/>
      <c r="P972" s="1" t="str">
        <f t="shared" si="95"/>
        <v/>
      </c>
    </row>
    <row r="973" spans="1:16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"&amp;L973,IF(AND(MAX(K$1:K972)&gt;0,N(K973)-MAX(K$1:K972)&gt;180),"⚠ Gap &gt; 3h",IF(_xlfn.LET(_xlpm.q,E973,_xlpm.tk,P973,_xlpm.ld,Log!$P$18,_xlpm.fx,IF(OR(_xlpm.ld="",_xlpm.ld="Full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"&amp;_xlpm.q,""))))&lt;&gt;"",IF(N973&lt;&gt;"","Load OK ✓ (checked)","⚠ "&amp;_xlfn.LET(_xlpm.q,E973,_xlpm.tk,P973,_xlpm.ld,Log!$P$18,_xlpm.fx,IF(OR(_xlpm.ld="",_xlpm.ld="Full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"&amp;_xlpm.q,""))))),IF(C973-I973&gt;=0.99,"next day",IF(C973-I973&gt;0.4,"12h → 24h","")))))))))))</f>
        <v/>
      </c>
      <c r="H973" s="1" t="str">
        <f t="shared" si="90"/>
        <v/>
      </c>
      <c r="I973" s="1" t="str">
        <f t="shared" si="91"/>
        <v/>
      </c>
      <c r="J973" s="1">
        <f t="shared" si="92"/>
        <v>0</v>
      </c>
      <c r="K973" s="1" t="str">
        <f t="shared" si="93"/>
        <v/>
      </c>
      <c r="L973" s="1" t="str">
        <f t="shared" si="94"/>
        <v/>
      </c>
      <c r="M973" s="1" t="b" cm="1">
        <f t="array" ref="M973">IF(H973="",FALSE,SUMPRODUCT(--(H$1:H972=H973))&gt;0)</f>
        <v>0</v>
      </c>
      <c r="N973" s="36"/>
      <c r="P973" s="1" t="str">
        <f t="shared" si="95"/>
        <v/>
      </c>
    </row>
    <row r="974" spans="1:16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"&amp;L974,IF(AND(MAX(K$1:K973)&gt;0,N(K974)-MAX(K$1:K973)&gt;180),"⚠ Gap &gt; 3h",IF(_xlfn.LET(_xlpm.q,E974,_xlpm.tk,P974,_xlpm.ld,Log!$P$18,_xlpm.fx,IF(OR(_xlpm.ld="",_xlpm.ld="Full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"&amp;_xlpm.q,""))))&lt;&gt;"",IF(N974&lt;&gt;"","Load OK ✓ (checked)","⚠ "&amp;_xlfn.LET(_xlpm.q,E974,_xlpm.tk,P974,_xlpm.ld,Log!$P$18,_xlpm.fx,IF(OR(_xlpm.ld="",_xlpm.ld="Full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"&amp;_xlpm.q,""))))),IF(C974-I974&gt;=0.99,"next day",IF(C974-I974&gt;0.4,"12h → 24h","")))))))))))</f>
        <v/>
      </c>
      <c r="H974" s="1" t="str">
        <f t="shared" si="90"/>
        <v/>
      </c>
      <c r="I974" s="1" t="str">
        <f t="shared" si="91"/>
        <v/>
      </c>
      <c r="J974" s="1">
        <f t="shared" si="92"/>
        <v>0</v>
      </c>
      <c r="K974" s="1" t="str">
        <f t="shared" si="93"/>
        <v/>
      </c>
      <c r="L974" s="1" t="str">
        <f t="shared" si="94"/>
        <v/>
      </c>
      <c r="M974" s="1" t="b" cm="1">
        <f t="array" ref="M974">IF(H974="",FALSE,SUMPRODUCT(--(H$1:H973=H974))&gt;0)</f>
        <v>0</v>
      </c>
      <c r="N974" s="36"/>
      <c r="P974" s="1" t="str">
        <f t="shared" si="95"/>
        <v/>
      </c>
    </row>
    <row r="975" spans="1:16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"&amp;L975,IF(AND(MAX(K$1:K974)&gt;0,N(K975)-MAX(K$1:K974)&gt;180),"⚠ Gap &gt; 3h",IF(_xlfn.LET(_xlpm.q,E975,_xlpm.tk,P975,_xlpm.ld,Log!$P$18,_xlpm.fx,IF(OR(_xlpm.ld="",_xlpm.ld="Full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"&amp;_xlpm.q,""))))&lt;&gt;"",IF(N975&lt;&gt;"","Load OK ✓ (checked)","⚠ "&amp;_xlfn.LET(_xlpm.q,E975,_xlpm.tk,P975,_xlpm.ld,Log!$P$18,_xlpm.fx,IF(OR(_xlpm.ld="",_xlpm.ld="Full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"&amp;_xlpm.q,""))))),IF(C975-I975&gt;=0.99,"next day",IF(C975-I975&gt;0.4,"12h → 24h","")))))))))))</f>
        <v/>
      </c>
      <c r="H975" s="1" t="str">
        <f t="shared" si="90"/>
        <v/>
      </c>
      <c r="I975" s="1" t="str">
        <f t="shared" si="91"/>
        <v/>
      </c>
      <c r="J975" s="1">
        <f t="shared" si="92"/>
        <v>0</v>
      </c>
      <c r="K975" s="1" t="str">
        <f t="shared" si="93"/>
        <v/>
      </c>
      <c r="L975" s="1" t="str">
        <f t="shared" si="94"/>
        <v/>
      </c>
      <c r="M975" s="1" t="b" cm="1">
        <f t="array" ref="M975">IF(H975="",FALSE,SUMPRODUCT(--(H$1:H974=H975))&gt;0)</f>
        <v>0</v>
      </c>
      <c r="N975" s="36"/>
      <c r="P975" s="1" t="str">
        <f t="shared" si="95"/>
        <v/>
      </c>
    </row>
    <row r="976" spans="1:16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"&amp;L976,IF(AND(MAX(K$1:K975)&gt;0,N(K976)-MAX(K$1:K975)&gt;180),"⚠ Gap &gt; 3h",IF(_xlfn.LET(_xlpm.q,E976,_xlpm.tk,P976,_xlpm.ld,Log!$P$18,_xlpm.fx,IF(OR(_xlpm.ld="",_xlpm.ld="Full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"&amp;_xlpm.q,""))))&lt;&gt;"",IF(N976&lt;&gt;"","Load OK ✓ (checked)","⚠ "&amp;_xlfn.LET(_xlpm.q,E976,_xlpm.tk,P976,_xlpm.ld,Log!$P$18,_xlpm.fx,IF(OR(_xlpm.ld="",_xlpm.ld="Full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"&amp;_xlpm.q,""))))),IF(C976-I976&gt;=0.99,"next day",IF(C976-I976&gt;0.4,"12h → 24h","")))))))))))</f>
        <v/>
      </c>
      <c r="H976" s="1" t="str">
        <f t="shared" si="90"/>
        <v/>
      </c>
      <c r="I976" s="1" t="str">
        <f t="shared" si="91"/>
        <v/>
      </c>
      <c r="J976" s="1">
        <f t="shared" si="92"/>
        <v>0</v>
      </c>
      <c r="K976" s="1" t="str">
        <f t="shared" si="93"/>
        <v/>
      </c>
      <c r="L976" s="1" t="str">
        <f t="shared" si="94"/>
        <v/>
      </c>
      <c r="M976" s="1" t="b" cm="1">
        <f t="array" ref="M976">IF(H976="",FALSE,SUMPRODUCT(--(H$1:H975=H976))&gt;0)</f>
        <v>0</v>
      </c>
      <c r="N976" s="36"/>
      <c r="P976" s="1" t="str">
        <f t="shared" si="95"/>
        <v/>
      </c>
    </row>
    <row r="977" spans="1:16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"&amp;L977,IF(AND(MAX(K$1:K976)&gt;0,N(K977)-MAX(K$1:K976)&gt;180),"⚠ Gap &gt; 3h",IF(_xlfn.LET(_xlpm.q,E977,_xlpm.tk,P977,_xlpm.ld,Log!$P$18,_xlpm.fx,IF(OR(_xlpm.ld="",_xlpm.ld="Full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"&amp;_xlpm.q,""))))&lt;&gt;"",IF(N977&lt;&gt;"","Load OK ✓ (checked)","⚠ "&amp;_xlfn.LET(_xlpm.q,E977,_xlpm.tk,P977,_xlpm.ld,Log!$P$18,_xlpm.fx,IF(OR(_xlpm.ld="",_xlpm.ld="Full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"&amp;_xlpm.q,""))))),IF(C977-I977&gt;=0.99,"next day",IF(C977-I977&gt;0.4,"12h → 24h","")))))))))))</f>
        <v/>
      </c>
      <c r="H977" s="1" t="str">
        <f t="shared" si="90"/>
        <v/>
      </c>
      <c r="I977" s="1" t="str">
        <f t="shared" si="91"/>
        <v/>
      </c>
      <c r="J977" s="1">
        <f t="shared" si="92"/>
        <v>0</v>
      </c>
      <c r="K977" s="1" t="str">
        <f t="shared" si="93"/>
        <v/>
      </c>
      <c r="L977" s="1" t="str">
        <f t="shared" si="94"/>
        <v/>
      </c>
      <c r="M977" s="1" t="b" cm="1">
        <f t="array" ref="M977">IF(H977="",FALSE,SUMPRODUCT(--(H$1:H976=H977))&gt;0)</f>
        <v>0</v>
      </c>
      <c r="N977" s="36"/>
      <c r="P977" s="1" t="str">
        <f t="shared" si="95"/>
        <v/>
      </c>
    </row>
    <row r="978" spans="1:16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"&amp;L978,IF(AND(MAX(K$1:K977)&gt;0,N(K978)-MAX(K$1:K977)&gt;180),"⚠ Gap &gt; 3h",IF(_xlfn.LET(_xlpm.q,E978,_xlpm.tk,P978,_xlpm.ld,Log!$P$18,_xlpm.fx,IF(OR(_xlpm.ld="",_xlpm.ld="Full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"&amp;_xlpm.q,""))))&lt;&gt;"",IF(N978&lt;&gt;"","Load OK ✓ (checked)","⚠ "&amp;_xlfn.LET(_xlpm.q,E978,_xlpm.tk,P978,_xlpm.ld,Log!$P$18,_xlpm.fx,IF(OR(_xlpm.ld="",_xlpm.ld="Full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"&amp;_xlpm.q,""))))),IF(C978-I978&gt;=0.99,"next day",IF(C978-I978&gt;0.4,"12h → 24h","")))))))))))</f>
        <v/>
      </c>
      <c r="H978" s="1" t="str">
        <f t="shared" si="90"/>
        <v/>
      </c>
      <c r="I978" s="1" t="str">
        <f t="shared" si="91"/>
        <v/>
      </c>
      <c r="J978" s="1">
        <f t="shared" si="92"/>
        <v>0</v>
      </c>
      <c r="K978" s="1" t="str">
        <f t="shared" si="93"/>
        <v/>
      </c>
      <c r="L978" s="1" t="str">
        <f t="shared" si="94"/>
        <v/>
      </c>
      <c r="M978" s="1" t="b" cm="1">
        <f t="array" ref="M978">IF(H978="",FALSE,SUMPRODUCT(--(H$1:H977=H978))&gt;0)</f>
        <v>0</v>
      </c>
      <c r="N978" s="36"/>
      <c r="P978" s="1" t="str">
        <f t="shared" si="95"/>
        <v/>
      </c>
    </row>
    <row r="979" spans="1:16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"&amp;L979,IF(AND(MAX(K$1:K978)&gt;0,N(K979)-MAX(K$1:K978)&gt;180),"⚠ Gap &gt; 3h",IF(_xlfn.LET(_xlpm.q,E979,_xlpm.tk,P979,_xlpm.ld,Log!$P$18,_xlpm.fx,IF(OR(_xlpm.ld="",_xlpm.ld="Full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"&amp;_xlpm.q,""))))&lt;&gt;"",IF(N979&lt;&gt;"","Load OK ✓ (checked)","⚠ "&amp;_xlfn.LET(_xlpm.q,E979,_xlpm.tk,P979,_xlpm.ld,Log!$P$18,_xlpm.fx,IF(OR(_xlpm.ld="",_xlpm.ld="Full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"&amp;_xlpm.q,""))))),IF(C979-I979&gt;=0.99,"next day",IF(C979-I979&gt;0.4,"12h → 24h","")))))))))))</f>
        <v/>
      </c>
      <c r="H979" s="1" t="str">
        <f t="shared" si="90"/>
        <v/>
      </c>
      <c r="I979" s="1" t="str">
        <f t="shared" si="91"/>
        <v/>
      </c>
      <c r="J979" s="1">
        <f t="shared" si="92"/>
        <v>0</v>
      </c>
      <c r="K979" s="1" t="str">
        <f t="shared" si="93"/>
        <v/>
      </c>
      <c r="L979" s="1" t="str">
        <f t="shared" si="94"/>
        <v/>
      </c>
      <c r="M979" s="1" t="b" cm="1">
        <f t="array" ref="M979">IF(H979="",FALSE,SUMPRODUCT(--(H$1:H978=H979))&gt;0)</f>
        <v>0</v>
      </c>
      <c r="N979" s="36"/>
      <c r="P979" s="1" t="str">
        <f t="shared" si="95"/>
        <v/>
      </c>
    </row>
    <row r="980" spans="1:16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"&amp;L980,IF(AND(MAX(K$1:K979)&gt;0,N(K980)-MAX(K$1:K979)&gt;180),"⚠ Gap &gt; 3h",IF(_xlfn.LET(_xlpm.q,E980,_xlpm.tk,P980,_xlpm.ld,Log!$P$18,_xlpm.fx,IF(OR(_xlpm.ld="",_xlpm.ld="Full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"&amp;_xlpm.q,""))))&lt;&gt;"",IF(N980&lt;&gt;"","Load OK ✓ (checked)","⚠ "&amp;_xlfn.LET(_xlpm.q,E980,_xlpm.tk,P980,_xlpm.ld,Log!$P$18,_xlpm.fx,IF(OR(_xlpm.ld="",_xlpm.ld="Full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"&amp;_xlpm.q,""))))),IF(C980-I980&gt;=0.99,"next day",IF(C980-I980&gt;0.4,"12h → 24h","")))))))))))</f>
        <v/>
      </c>
      <c r="H980" s="1" t="str">
        <f t="shared" si="90"/>
        <v/>
      </c>
      <c r="I980" s="1" t="str">
        <f t="shared" si="91"/>
        <v/>
      </c>
      <c r="J980" s="1">
        <f t="shared" si="92"/>
        <v>0</v>
      </c>
      <c r="K980" s="1" t="str">
        <f t="shared" si="93"/>
        <v/>
      </c>
      <c r="L980" s="1" t="str">
        <f t="shared" si="94"/>
        <v/>
      </c>
      <c r="M980" s="1" t="b" cm="1">
        <f t="array" ref="M980">IF(H980="",FALSE,SUMPRODUCT(--(H$1:H979=H980))&gt;0)</f>
        <v>0</v>
      </c>
      <c r="N980" s="36"/>
      <c r="P980" s="1" t="str">
        <f t="shared" si="95"/>
        <v/>
      </c>
    </row>
    <row r="981" spans="1:16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"&amp;L981,IF(AND(MAX(K$1:K980)&gt;0,N(K981)-MAX(K$1:K980)&gt;180),"⚠ Gap &gt; 3h",IF(_xlfn.LET(_xlpm.q,E981,_xlpm.tk,P981,_xlpm.ld,Log!$P$18,_xlpm.fx,IF(OR(_xlpm.ld="",_xlpm.ld="Full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"&amp;_xlpm.q,""))))&lt;&gt;"",IF(N981&lt;&gt;"","Load OK ✓ (checked)","⚠ "&amp;_xlfn.LET(_xlpm.q,E981,_xlpm.tk,P981,_xlpm.ld,Log!$P$18,_xlpm.fx,IF(OR(_xlpm.ld="",_xlpm.ld="Full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"&amp;_xlpm.q,""))))),IF(C981-I981&gt;=0.99,"next day",IF(C981-I981&gt;0.4,"12h → 24h","")))))))))))</f>
        <v/>
      </c>
      <c r="H981" s="1" t="str">
        <f t="shared" si="90"/>
        <v/>
      </c>
      <c r="I981" s="1" t="str">
        <f t="shared" si="91"/>
        <v/>
      </c>
      <c r="J981" s="1">
        <f t="shared" si="92"/>
        <v>0</v>
      </c>
      <c r="K981" s="1" t="str">
        <f t="shared" si="93"/>
        <v/>
      </c>
      <c r="L981" s="1" t="str">
        <f t="shared" si="94"/>
        <v/>
      </c>
      <c r="M981" s="1" t="b" cm="1">
        <f t="array" ref="M981">IF(H981="",FALSE,SUMPRODUCT(--(H$1:H980=H981))&gt;0)</f>
        <v>0</v>
      </c>
      <c r="N981" s="36"/>
      <c r="P981" s="1" t="str">
        <f t="shared" si="95"/>
        <v/>
      </c>
    </row>
    <row r="982" spans="1:16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"&amp;L982,IF(AND(MAX(K$1:K981)&gt;0,N(K982)-MAX(K$1:K981)&gt;180),"⚠ Gap &gt; 3h",IF(_xlfn.LET(_xlpm.q,E982,_xlpm.tk,P982,_xlpm.ld,Log!$P$18,_xlpm.fx,IF(OR(_xlpm.ld="",_xlpm.ld="Full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"&amp;_xlpm.q,""))))&lt;&gt;"",IF(N982&lt;&gt;"","Load OK ✓ (checked)","⚠ "&amp;_xlfn.LET(_xlpm.q,E982,_xlpm.tk,P982,_xlpm.ld,Log!$P$18,_xlpm.fx,IF(OR(_xlpm.ld="",_xlpm.ld="Full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"&amp;_xlpm.q,""))))),IF(C982-I982&gt;=0.99,"next day",IF(C982-I982&gt;0.4,"12h → 24h","")))))))))))</f>
        <v/>
      </c>
      <c r="H982" s="1" t="str">
        <f t="shared" si="90"/>
        <v/>
      </c>
      <c r="I982" s="1" t="str">
        <f t="shared" si="91"/>
        <v/>
      </c>
      <c r="J982" s="1">
        <f t="shared" si="92"/>
        <v>0</v>
      </c>
      <c r="K982" s="1" t="str">
        <f t="shared" si="93"/>
        <v/>
      </c>
      <c r="L982" s="1" t="str">
        <f t="shared" si="94"/>
        <v/>
      </c>
      <c r="M982" s="1" t="b" cm="1">
        <f t="array" ref="M982">IF(H982="",FALSE,SUMPRODUCT(--(H$1:H981=H982))&gt;0)</f>
        <v>0</v>
      </c>
      <c r="N982" s="36"/>
      <c r="P982" s="1" t="str">
        <f t="shared" si="95"/>
        <v/>
      </c>
    </row>
    <row r="983" spans="1:16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"&amp;L983,IF(AND(MAX(K$1:K982)&gt;0,N(K983)-MAX(K$1:K982)&gt;180),"⚠ Gap &gt; 3h",IF(_xlfn.LET(_xlpm.q,E983,_xlpm.tk,P983,_xlpm.ld,Log!$P$18,_xlpm.fx,IF(OR(_xlpm.ld="",_xlpm.ld="Full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"&amp;_xlpm.q,""))))&lt;&gt;"",IF(N983&lt;&gt;"","Load OK ✓ (checked)","⚠ "&amp;_xlfn.LET(_xlpm.q,E983,_xlpm.tk,P983,_xlpm.ld,Log!$P$18,_xlpm.fx,IF(OR(_xlpm.ld="",_xlpm.ld="Full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"&amp;_xlpm.q,""))))),IF(C983-I983&gt;=0.99,"next day",IF(C983-I983&gt;0.4,"12h → 24h","")))))))))))</f>
        <v/>
      </c>
      <c r="H983" s="1" t="str">
        <f t="shared" si="90"/>
        <v/>
      </c>
      <c r="I983" s="1" t="str">
        <f t="shared" si="91"/>
        <v/>
      </c>
      <c r="J983" s="1">
        <f t="shared" si="92"/>
        <v>0</v>
      </c>
      <c r="K983" s="1" t="str">
        <f t="shared" si="93"/>
        <v/>
      </c>
      <c r="L983" s="1" t="str">
        <f t="shared" si="94"/>
        <v/>
      </c>
      <c r="M983" s="1" t="b" cm="1">
        <f t="array" ref="M983">IF(H983="",FALSE,SUMPRODUCT(--(H$1:H982=H983))&gt;0)</f>
        <v>0</v>
      </c>
      <c r="N983" s="36"/>
      <c r="P983" s="1" t="str">
        <f t="shared" si="95"/>
        <v/>
      </c>
    </row>
    <row r="984" spans="1:16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"&amp;L984,IF(AND(MAX(K$1:K983)&gt;0,N(K984)-MAX(K$1:K983)&gt;180),"⚠ Gap &gt; 3h",IF(_xlfn.LET(_xlpm.q,E984,_xlpm.tk,P984,_xlpm.ld,Log!$P$18,_xlpm.fx,IF(OR(_xlpm.ld="",_xlpm.ld="Full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"&amp;_xlpm.q,""))))&lt;&gt;"",IF(N984&lt;&gt;"","Load OK ✓ (checked)","⚠ "&amp;_xlfn.LET(_xlpm.q,E984,_xlpm.tk,P984,_xlpm.ld,Log!$P$18,_xlpm.fx,IF(OR(_xlpm.ld="",_xlpm.ld="Full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"&amp;_xlpm.q,""))))),IF(C984-I984&gt;=0.99,"next day",IF(C984-I984&gt;0.4,"12h → 24h","")))))))))))</f>
        <v/>
      </c>
      <c r="H984" s="1" t="str">
        <f t="shared" si="90"/>
        <v/>
      </c>
      <c r="I984" s="1" t="str">
        <f t="shared" si="91"/>
        <v/>
      </c>
      <c r="J984" s="1">
        <f t="shared" si="92"/>
        <v>0</v>
      </c>
      <c r="K984" s="1" t="str">
        <f t="shared" si="93"/>
        <v/>
      </c>
      <c r="L984" s="1" t="str">
        <f t="shared" si="94"/>
        <v/>
      </c>
      <c r="M984" s="1" t="b" cm="1">
        <f t="array" ref="M984">IF(H984="",FALSE,SUMPRODUCT(--(H$1:H983=H984))&gt;0)</f>
        <v>0</v>
      </c>
      <c r="N984" s="36"/>
      <c r="P984" s="1" t="str">
        <f t="shared" si="95"/>
        <v/>
      </c>
    </row>
    <row r="985" spans="1:16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"&amp;L985,IF(AND(MAX(K$1:K984)&gt;0,N(K985)-MAX(K$1:K984)&gt;180),"⚠ Gap &gt; 3h",IF(_xlfn.LET(_xlpm.q,E985,_xlpm.tk,P985,_xlpm.ld,Log!$P$18,_xlpm.fx,IF(OR(_xlpm.ld="",_xlpm.ld="Full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"&amp;_xlpm.q,""))))&lt;&gt;"",IF(N985&lt;&gt;"","Load OK ✓ (checked)","⚠ "&amp;_xlfn.LET(_xlpm.q,E985,_xlpm.tk,P985,_xlpm.ld,Log!$P$18,_xlpm.fx,IF(OR(_xlpm.ld="",_xlpm.ld="Full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"&amp;_xlpm.q,""))))),IF(C985-I985&gt;=0.99,"next day",IF(C985-I985&gt;0.4,"12h → 24h","")))))))))))</f>
        <v/>
      </c>
      <c r="H985" s="1" t="str">
        <f t="shared" si="90"/>
        <v/>
      </c>
      <c r="I985" s="1" t="str">
        <f t="shared" si="91"/>
        <v/>
      </c>
      <c r="J985" s="1">
        <f t="shared" si="92"/>
        <v>0</v>
      </c>
      <c r="K985" s="1" t="str">
        <f t="shared" si="93"/>
        <v/>
      </c>
      <c r="L985" s="1" t="str">
        <f t="shared" si="94"/>
        <v/>
      </c>
      <c r="M985" s="1" t="b" cm="1">
        <f t="array" ref="M985">IF(H985="",FALSE,SUMPRODUCT(--(H$1:H984=H985))&gt;0)</f>
        <v>0</v>
      </c>
      <c r="N985" s="36"/>
      <c r="P985" s="1" t="str">
        <f t="shared" si="95"/>
        <v/>
      </c>
    </row>
    <row r="986" spans="1:16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"&amp;L986,IF(AND(MAX(K$1:K985)&gt;0,N(K986)-MAX(K$1:K985)&gt;180),"⚠ Gap &gt; 3h",IF(_xlfn.LET(_xlpm.q,E986,_xlpm.tk,P986,_xlpm.ld,Log!$P$18,_xlpm.fx,IF(OR(_xlpm.ld="",_xlpm.ld="Full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"&amp;_xlpm.q,""))))&lt;&gt;"",IF(N986&lt;&gt;"","Load OK ✓ (checked)","⚠ "&amp;_xlfn.LET(_xlpm.q,E986,_xlpm.tk,P986,_xlpm.ld,Log!$P$18,_xlpm.fx,IF(OR(_xlpm.ld="",_xlpm.ld="Full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"&amp;_xlpm.q,""))))),IF(C986-I986&gt;=0.99,"next day",IF(C986-I986&gt;0.4,"12h → 24h","")))))))))))</f>
        <v/>
      </c>
      <c r="H986" s="1" t="str">
        <f t="shared" si="90"/>
        <v/>
      </c>
      <c r="I986" s="1" t="str">
        <f t="shared" si="91"/>
        <v/>
      </c>
      <c r="J986" s="1">
        <f t="shared" si="92"/>
        <v>0</v>
      </c>
      <c r="K986" s="1" t="str">
        <f t="shared" si="93"/>
        <v/>
      </c>
      <c r="L986" s="1" t="str">
        <f t="shared" si="94"/>
        <v/>
      </c>
      <c r="M986" s="1" t="b" cm="1">
        <f t="array" ref="M986">IF(H986="",FALSE,SUMPRODUCT(--(H$1:H985=H986))&gt;0)</f>
        <v>0</v>
      </c>
      <c r="N986" s="36"/>
      <c r="P986" s="1" t="str">
        <f t="shared" si="95"/>
        <v/>
      </c>
    </row>
    <row r="987" spans="1:16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"&amp;L987,IF(AND(MAX(K$1:K986)&gt;0,N(K987)-MAX(K$1:K986)&gt;180),"⚠ Gap &gt; 3h",IF(_xlfn.LET(_xlpm.q,E987,_xlpm.tk,P987,_xlpm.ld,Log!$P$18,_xlpm.fx,IF(OR(_xlpm.ld="",_xlpm.ld="Full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"&amp;_xlpm.q,""))))&lt;&gt;"",IF(N987&lt;&gt;"","Load OK ✓ (checked)","⚠ "&amp;_xlfn.LET(_xlpm.q,E987,_xlpm.tk,P987,_xlpm.ld,Log!$P$18,_xlpm.fx,IF(OR(_xlpm.ld="",_xlpm.ld="Full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"&amp;_xlpm.q,""))))),IF(C987-I987&gt;=0.99,"next day",IF(C987-I987&gt;0.4,"12h → 24h","")))))))))))</f>
        <v/>
      </c>
      <c r="H987" s="1" t="str">
        <f t="shared" si="90"/>
        <v/>
      </c>
      <c r="I987" s="1" t="str">
        <f t="shared" si="91"/>
        <v/>
      </c>
      <c r="J987" s="1">
        <f t="shared" si="92"/>
        <v>0</v>
      </c>
      <c r="K987" s="1" t="str">
        <f t="shared" si="93"/>
        <v/>
      </c>
      <c r="L987" s="1" t="str">
        <f t="shared" si="94"/>
        <v/>
      </c>
      <c r="M987" s="1" t="b" cm="1">
        <f t="array" ref="M987">IF(H987="",FALSE,SUMPRODUCT(--(H$1:H986=H987))&gt;0)</f>
        <v>0</v>
      </c>
      <c r="N987" s="36"/>
      <c r="P987" s="1" t="str">
        <f t="shared" si="95"/>
        <v/>
      </c>
    </row>
    <row r="988" spans="1:16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"&amp;L988,IF(AND(MAX(K$1:K987)&gt;0,N(K988)-MAX(K$1:K987)&gt;180),"⚠ Gap &gt; 3h",IF(_xlfn.LET(_xlpm.q,E988,_xlpm.tk,P988,_xlpm.ld,Log!$P$18,_xlpm.fx,IF(OR(_xlpm.ld="",_xlpm.ld="Full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"&amp;_xlpm.q,""))))&lt;&gt;"",IF(N988&lt;&gt;"","Load OK ✓ (checked)","⚠ "&amp;_xlfn.LET(_xlpm.q,E988,_xlpm.tk,P988,_xlpm.ld,Log!$P$18,_xlpm.fx,IF(OR(_xlpm.ld="",_xlpm.ld="Full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"&amp;_xlpm.q,""))))),IF(C988-I988&gt;=0.99,"next day",IF(C988-I988&gt;0.4,"12h → 24h","")))))))))))</f>
        <v/>
      </c>
      <c r="H988" s="1" t="str">
        <f t="shared" si="90"/>
        <v/>
      </c>
      <c r="I988" s="1" t="str">
        <f t="shared" si="91"/>
        <v/>
      </c>
      <c r="J988" s="1">
        <f t="shared" si="92"/>
        <v>0</v>
      </c>
      <c r="K988" s="1" t="str">
        <f t="shared" si="93"/>
        <v/>
      </c>
      <c r="L988" s="1" t="str">
        <f t="shared" si="94"/>
        <v/>
      </c>
      <c r="M988" s="1" t="b" cm="1">
        <f t="array" ref="M988">IF(H988="",FALSE,SUMPRODUCT(--(H$1:H987=H988))&gt;0)</f>
        <v>0</v>
      </c>
      <c r="N988" s="36"/>
      <c r="P988" s="1" t="str">
        <f t="shared" si="95"/>
        <v/>
      </c>
    </row>
    <row r="989" spans="1:16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"&amp;L989,IF(AND(MAX(K$1:K988)&gt;0,N(K989)-MAX(K$1:K988)&gt;180),"⚠ Gap &gt; 3h",IF(_xlfn.LET(_xlpm.q,E989,_xlpm.tk,P989,_xlpm.ld,Log!$P$18,_xlpm.fx,IF(OR(_xlpm.ld="",_xlpm.ld="Full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"&amp;_xlpm.q,""))))&lt;&gt;"",IF(N989&lt;&gt;"","Load OK ✓ (checked)","⚠ "&amp;_xlfn.LET(_xlpm.q,E989,_xlpm.tk,P989,_xlpm.ld,Log!$P$18,_xlpm.fx,IF(OR(_xlpm.ld="",_xlpm.ld="Full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"&amp;_xlpm.q,""))))),IF(C989-I989&gt;=0.99,"next day",IF(C989-I989&gt;0.4,"12h → 24h","")))))))))))</f>
        <v/>
      </c>
      <c r="H989" s="1" t="str">
        <f t="shared" si="90"/>
        <v/>
      </c>
      <c r="I989" s="1" t="str">
        <f t="shared" si="91"/>
        <v/>
      </c>
      <c r="J989" s="1">
        <f t="shared" si="92"/>
        <v>0</v>
      </c>
      <c r="K989" s="1" t="str">
        <f t="shared" si="93"/>
        <v/>
      </c>
      <c r="L989" s="1" t="str">
        <f t="shared" si="94"/>
        <v/>
      </c>
      <c r="M989" s="1" t="b" cm="1">
        <f t="array" ref="M989">IF(H989="",FALSE,SUMPRODUCT(--(H$1:H988=H989))&gt;0)</f>
        <v>0</v>
      </c>
      <c r="N989" s="36"/>
      <c r="P989" s="1" t="str">
        <f t="shared" si="95"/>
        <v/>
      </c>
    </row>
    <row r="990" spans="1:16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"&amp;L990,IF(AND(MAX(K$1:K989)&gt;0,N(K990)-MAX(K$1:K989)&gt;180),"⚠ Gap &gt; 3h",IF(_xlfn.LET(_xlpm.q,E990,_xlpm.tk,P990,_xlpm.ld,Log!$P$18,_xlpm.fx,IF(OR(_xlpm.ld="",_xlpm.ld="Full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"&amp;_xlpm.q,""))))&lt;&gt;"",IF(N990&lt;&gt;"","Load OK ✓ (checked)","⚠ "&amp;_xlfn.LET(_xlpm.q,E990,_xlpm.tk,P990,_xlpm.ld,Log!$P$18,_xlpm.fx,IF(OR(_xlpm.ld="",_xlpm.ld="Full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"&amp;_xlpm.q,""))))),IF(C990-I990&gt;=0.99,"next day",IF(C990-I990&gt;0.4,"12h → 24h","")))))))))))</f>
        <v/>
      </c>
      <c r="H990" s="1" t="str">
        <f t="shared" si="90"/>
        <v/>
      </c>
      <c r="I990" s="1" t="str">
        <f t="shared" si="91"/>
        <v/>
      </c>
      <c r="J990" s="1">
        <f t="shared" si="92"/>
        <v>0</v>
      </c>
      <c r="K990" s="1" t="str">
        <f t="shared" si="93"/>
        <v/>
      </c>
      <c r="L990" s="1" t="str">
        <f t="shared" si="94"/>
        <v/>
      </c>
      <c r="M990" s="1" t="b" cm="1">
        <f t="array" ref="M990">IF(H990="",FALSE,SUMPRODUCT(--(H$1:H989=H990))&gt;0)</f>
        <v>0</v>
      </c>
      <c r="N990" s="36"/>
      <c r="P990" s="1" t="str">
        <f t="shared" si="95"/>
        <v/>
      </c>
    </row>
    <row r="991" spans="1:16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"&amp;L991,IF(AND(MAX(K$1:K990)&gt;0,N(K991)-MAX(K$1:K990)&gt;180),"⚠ Gap &gt; 3h",IF(_xlfn.LET(_xlpm.q,E991,_xlpm.tk,P991,_xlpm.ld,Log!$P$18,_xlpm.fx,IF(OR(_xlpm.ld="",_xlpm.ld="Full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"&amp;_xlpm.q,""))))&lt;&gt;"",IF(N991&lt;&gt;"","Load OK ✓ (checked)","⚠ "&amp;_xlfn.LET(_xlpm.q,E991,_xlpm.tk,P991,_xlpm.ld,Log!$P$18,_xlpm.fx,IF(OR(_xlpm.ld="",_xlpm.ld="Full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"&amp;_xlpm.q,""))))),IF(C991-I991&gt;=0.99,"next day",IF(C991-I991&gt;0.4,"12h → 24h","")))))))))))</f>
        <v/>
      </c>
      <c r="H991" s="1" t="str">
        <f t="shared" si="90"/>
        <v/>
      </c>
      <c r="I991" s="1" t="str">
        <f t="shared" si="91"/>
        <v/>
      </c>
      <c r="J991" s="1">
        <f t="shared" si="92"/>
        <v>0</v>
      </c>
      <c r="K991" s="1" t="str">
        <f t="shared" si="93"/>
        <v/>
      </c>
      <c r="L991" s="1" t="str">
        <f t="shared" si="94"/>
        <v/>
      </c>
      <c r="M991" s="1" t="b" cm="1">
        <f t="array" ref="M991">IF(H991="",FALSE,SUMPRODUCT(--(H$1:H990=H991))&gt;0)</f>
        <v>0</v>
      </c>
      <c r="N991" s="36"/>
      <c r="P991" s="1" t="str">
        <f t="shared" si="95"/>
        <v/>
      </c>
    </row>
    <row r="992" spans="1:16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"&amp;L992,IF(AND(MAX(K$1:K991)&gt;0,N(K992)-MAX(K$1:K991)&gt;180),"⚠ Gap &gt; 3h",IF(_xlfn.LET(_xlpm.q,E992,_xlpm.tk,P992,_xlpm.ld,Log!$P$18,_xlpm.fx,IF(OR(_xlpm.ld="",_xlpm.ld="Full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"&amp;_xlpm.q,""))))&lt;&gt;"",IF(N992&lt;&gt;"","Load OK ✓ (checked)","⚠ "&amp;_xlfn.LET(_xlpm.q,E992,_xlpm.tk,P992,_xlpm.ld,Log!$P$18,_xlpm.fx,IF(OR(_xlpm.ld="",_xlpm.ld="Full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"&amp;_xlpm.q,""))))),IF(C992-I992&gt;=0.99,"next day",IF(C992-I992&gt;0.4,"12h → 24h","")))))))))))</f>
        <v/>
      </c>
      <c r="H992" s="1" t="str">
        <f t="shared" si="90"/>
        <v/>
      </c>
      <c r="I992" s="1" t="str">
        <f t="shared" si="91"/>
        <v/>
      </c>
      <c r="J992" s="1">
        <f t="shared" si="92"/>
        <v>0</v>
      </c>
      <c r="K992" s="1" t="str">
        <f t="shared" si="93"/>
        <v/>
      </c>
      <c r="L992" s="1" t="str">
        <f t="shared" si="94"/>
        <v/>
      </c>
      <c r="M992" s="1" t="b" cm="1">
        <f t="array" ref="M992">IF(H992="",FALSE,SUMPRODUCT(--(H$1:H991=H992))&gt;0)</f>
        <v>0</v>
      </c>
      <c r="N992" s="36"/>
      <c r="P992" s="1" t="str">
        <f t="shared" si="95"/>
        <v/>
      </c>
    </row>
    <row r="993" spans="1:16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"&amp;L993,IF(AND(MAX(K$1:K992)&gt;0,N(K993)-MAX(K$1:K992)&gt;180),"⚠ Gap &gt; 3h",IF(_xlfn.LET(_xlpm.q,E993,_xlpm.tk,P993,_xlpm.ld,Log!$P$18,_xlpm.fx,IF(OR(_xlpm.ld="",_xlpm.ld="Full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"&amp;_xlpm.q,""))))&lt;&gt;"",IF(N993&lt;&gt;"","Load OK ✓ (checked)","⚠ "&amp;_xlfn.LET(_xlpm.q,E993,_xlpm.tk,P993,_xlpm.ld,Log!$P$18,_xlpm.fx,IF(OR(_xlpm.ld="",_xlpm.ld="Full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"&amp;_xlpm.q,""))))),IF(C993-I993&gt;=0.99,"next day",IF(C993-I993&gt;0.4,"12h → 24h","")))))))))))</f>
        <v/>
      </c>
      <c r="H993" s="1" t="str">
        <f t="shared" si="90"/>
        <v/>
      </c>
      <c r="I993" s="1" t="str">
        <f t="shared" si="91"/>
        <v/>
      </c>
      <c r="J993" s="1">
        <f t="shared" si="92"/>
        <v>0</v>
      </c>
      <c r="K993" s="1" t="str">
        <f t="shared" si="93"/>
        <v/>
      </c>
      <c r="L993" s="1" t="str">
        <f t="shared" si="94"/>
        <v/>
      </c>
      <c r="M993" s="1" t="b" cm="1">
        <f t="array" ref="M993">IF(H993="",FALSE,SUMPRODUCT(--(H$1:H992=H993))&gt;0)</f>
        <v>0</v>
      </c>
      <c r="N993" s="36"/>
      <c r="P993" s="1" t="str">
        <f t="shared" si="95"/>
        <v/>
      </c>
    </row>
    <row r="994" spans="1:16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"&amp;L994,IF(AND(MAX(K$1:K993)&gt;0,N(K994)-MAX(K$1:K993)&gt;180),"⚠ Gap &gt; 3h",IF(_xlfn.LET(_xlpm.q,E994,_xlpm.tk,P994,_xlpm.ld,Log!$P$18,_xlpm.fx,IF(OR(_xlpm.ld="",_xlpm.ld="Full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"&amp;_xlpm.q,""))))&lt;&gt;"",IF(N994&lt;&gt;"","Load OK ✓ (checked)","⚠ "&amp;_xlfn.LET(_xlpm.q,E994,_xlpm.tk,P994,_xlpm.ld,Log!$P$18,_xlpm.fx,IF(OR(_xlpm.ld="",_xlpm.ld="Full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"&amp;_xlpm.q,""))))),IF(C994-I994&gt;=0.99,"next day",IF(C994-I994&gt;0.4,"12h → 24h","")))))))))))</f>
        <v/>
      </c>
      <c r="H994" s="1" t="str">
        <f t="shared" si="90"/>
        <v/>
      </c>
      <c r="I994" s="1" t="str">
        <f t="shared" si="91"/>
        <v/>
      </c>
      <c r="J994" s="1">
        <f t="shared" si="92"/>
        <v>0</v>
      </c>
      <c r="K994" s="1" t="str">
        <f t="shared" si="93"/>
        <v/>
      </c>
      <c r="L994" s="1" t="str">
        <f t="shared" si="94"/>
        <v/>
      </c>
      <c r="M994" s="1" t="b" cm="1">
        <f t="array" ref="M994">IF(H994="",FALSE,SUMPRODUCT(--(H$1:H993=H994))&gt;0)</f>
        <v>0</v>
      </c>
      <c r="N994" s="36"/>
      <c r="P994" s="1" t="str">
        <f t="shared" si="95"/>
        <v/>
      </c>
    </row>
    <row r="995" spans="1:16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"&amp;L995,IF(AND(MAX(K$1:K994)&gt;0,N(K995)-MAX(K$1:K994)&gt;180),"⚠ Gap &gt; 3h",IF(_xlfn.LET(_xlpm.q,E995,_xlpm.tk,P995,_xlpm.ld,Log!$P$18,_xlpm.fx,IF(OR(_xlpm.ld="",_xlpm.ld="Full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"&amp;_xlpm.q,""))))&lt;&gt;"",IF(N995&lt;&gt;"","Load OK ✓ (checked)","⚠ "&amp;_xlfn.LET(_xlpm.q,E995,_xlpm.tk,P995,_xlpm.ld,Log!$P$18,_xlpm.fx,IF(OR(_xlpm.ld="",_xlpm.ld="Full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"&amp;_xlpm.q,""))))),IF(C995-I995&gt;=0.99,"next day",IF(C995-I995&gt;0.4,"12h → 24h","")))))))))))</f>
        <v/>
      </c>
      <c r="H995" s="1" t="str">
        <f t="shared" si="90"/>
        <v/>
      </c>
      <c r="I995" s="1" t="str">
        <f t="shared" si="91"/>
        <v/>
      </c>
      <c r="J995" s="1">
        <f t="shared" si="92"/>
        <v>0</v>
      </c>
      <c r="K995" s="1" t="str">
        <f t="shared" si="93"/>
        <v/>
      </c>
      <c r="L995" s="1" t="str">
        <f t="shared" si="94"/>
        <v/>
      </c>
      <c r="M995" s="1" t="b" cm="1">
        <f t="array" ref="M995">IF(H995="",FALSE,SUMPRODUCT(--(H$1:H994=H995))&gt;0)</f>
        <v>0</v>
      </c>
      <c r="N995" s="36"/>
      <c r="P995" s="1" t="str">
        <f t="shared" si="95"/>
        <v/>
      </c>
    </row>
    <row r="996" spans="1:16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"&amp;L996,IF(AND(MAX(K$1:K995)&gt;0,N(K996)-MAX(K$1:K995)&gt;180),"⚠ Gap &gt; 3h",IF(_xlfn.LET(_xlpm.q,E996,_xlpm.tk,P996,_xlpm.ld,Log!$P$18,_xlpm.fx,IF(OR(_xlpm.ld="",_xlpm.ld="Full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"&amp;_xlpm.q,""))))&lt;&gt;"",IF(N996&lt;&gt;"","Load OK ✓ (checked)","⚠ "&amp;_xlfn.LET(_xlpm.q,E996,_xlpm.tk,P996,_xlpm.ld,Log!$P$18,_xlpm.fx,IF(OR(_xlpm.ld="",_xlpm.ld="Full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"&amp;_xlpm.q,""))))),IF(C996-I996&gt;=0.99,"next day",IF(C996-I996&gt;0.4,"12h → 24h","")))))))))))</f>
        <v/>
      </c>
      <c r="H996" s="1" t="str">
        <f t="shared" si="90"/>
        <v/>
      </c>
      <c r="I996" s="1" t="str">
        <f t="shared" si="91"/>
        <v/>
      </c>
      <c r="J996" s="1">
        <f t="shared" si="92"/>
        <v>0</v>
      </c>
      <c r="K996" s="1" t="str">
        <f t="shared" si="93"/>
        <v/>
      </c>
      <c r="L996" s="1" t="str">
        <f t="shared" si="94"/>
        <v/>
      </c>
      <c r="M996" s="1" t="b" cm="1">
        <f t="array" ref="M996">IF(H996="",FALSE,SUMPRODUCT(--(H$1:H995=H996))&gt;0)</f>
        <v>0</v>
      </c>
      <c r="N996" s="36"/>
      <c r="P996" s="1" t="str">
        <f t="shared" si="95"/>
        <v/>
      </c>
    </row>
    <row r="997" spans="1:16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"&amp;L997,IF(AND(MAX(K$1:K996)&gt;0,N(K997)-MAX(K$1:K996)&gt;180),"⚠ Gap &gt; 3h",IF(_xlfn.LET(_xlpm.q,E997,_xlpm.tk,P997,_xlpm.ld,Log!$P$18,_xlpm.fx,IF(OR(_xlpm.ld="",_xlpm.ld="Full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"&amp;_xlpm.q,""))))&lt;&gt;"",IF(N997&lt;&gt;"","Load OK ✓ (checked)","⚠ "&amp;_xlfn.LET(_xlpm.q,E997,_xlpm.tk,P997,_xlpm.ld,Log!$P$18,_xlpm.fx,IF(OR(_xlpm.ld="",_xlpm.ld="Full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"&amp;_xlpm.q,""))))),IF(C997-I997&gt;=0.99,"next day",IF(C997-I997&gt;0.4,"12h → 24h","")))))))))))</f>
        <v/>
      </c>
      <c r="H997" s="1" t="str">
        <f t="shared" si="90"/>
        <v/>
      </c>
      <c r="I997" s="1" t="str">
        <f t="shared" si="91"/>
        <v/>
      </c>
      <c r="J997" s="1">
        <f t="shared" si="92"/>
        <v>0</v>
      </c>
      <c r="K997" s="1" t="str">
        <f t="shared" si="93"/>
        <v/>
      </c>
      <c r="L997" s="1" t="str">
        <f t="shared" si="94"/>
        <v/>
      </c>
      <c r="M997" s="1" t="b" cm="1">
        <f t="array" ref="M997">IF(H997="",FALSE,SUMPRODUCT(--(H$1:H996=H997))&gt;0)</f>
        <v>0</v>
      </c>
      <c r="N997" s="36"/>
      <c r="P997" s="1" t="str">
        <f t="shared" si="95"/>
        <v/>
      </c>
    </row>
    <row r="998" spans="1:16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"&amp;L998,IF(AND(MAX(K$1:K997)&gt;0,N(K998)-MAX(K$1:K997)&gt;180),"⚠ Gap &gt; 3h",IF(_xlfn.LET(_xlpm.q,E998,_xlpm.tk,P998,_xlpm.ld,Log!$P$18,_xlpm.fx,IF(OR(_xlpm.ld="",_xlpm.ld="Full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"&amp;_xlpm.q,""))))&lt;&gt;"",IF(N998&lt;&gt;"","Load OK ✓ (checked)","⚠ "&amp;_xlfn.LET(_xlpm.q,E998,_xlpm.tk,P998,_xlpm.ld,Log!$P$18,_xlpm.fx,IF(OR(_xlpm.ld="",_xlpm.ld="Full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"&amp;_xlpm.q,""))))),IF(C998-I998&gt;=0.99,"next day",IF(C998-I998&gt;0.4,"12h → 24h","")))))))))))</f>
        <v/>
      </c>
      <c r="H998" s="1" t="str">
        <f t="shared" si="90"/>
        <v/>
      </c>
      <c r="I998" s="1" t="str">
        <f t="shared" si="91"/>
        <v/>
      </c>
      <c r="J998" s="1">
        <f t="shared" si="92"/>
        <v>0</v>
      </c>
      <c r="K998" s="1" t="str">
        <f t="shared" si="93"/>
        <v/>
      </c>
      <c r="L998" s="1" t="str">
        <f t="shared" si="94"/>
        <v/>
      </c>
      <c r="M998" s="1" t="b" cm="1">
        <f t="array" ref="M998">IF(H998="",FALSE,SUMPRODUCT(--(H$1:H997=H998))&gt;0)</f>
        <v>0</v>
      </c>
      <c r="N998" s="36"/>
      <c r="P998" s="1" t="str">
        <f t="shared" si="95"/>
        <v/>
      </c>
    </row>
    <row r="999" spans="1:16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"&amp;L999,IF(AND(MAX(K$1:K998)&gt;0,N(K999)-MAX(K$1:K998)&gt;180),"⚠ Gap &gt; 3h",IF(_xlfn.LET(_xlpm.q,E999,_xlpm.tk,P999,_xlpm.ld,Log!$P$18,_xlpm.fx,IF(OR(_xlpm.ld="",_xlpm.ld="Full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"&amp;_xlpm.q,""))))&lt;&gt;"",IF(N999&lt;&gt;"","Load OK ✓ (checked)","⚠ "&amp;_xlfn.LET(_xlpm.q,E999,_xlpm.tk,P999,_xlpm.ld,Log!$P$18,_xlpm.fx,IF(OR(_xlpm.ld="",_xlpm.ld="Full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"&amp;_xlpm.q,""))))),IF(C999-I999&gt;=0.99,"next day",IF(C999-I999&gt;0.4,"12h → 24h","")))))))))))</f>
        <v/>
      </c>
      <c r="H999" s="1" t="str">
        <f t="shared" si="90"/>
        <v/>
      </c>
      <c r="I999" s="1" t="str">
        <f t="shared" si="91"/>
        <v/>
      </c>
      <c r="J999" s="1">
        <f t="shared" si="92"/>
        <v>0</v>
      </c>
      <c r="K999" s="1" t="str">
        <f t="shared" si="93"/>
        <v/>
      </c>
      <c r="L999" s="1" t="str">
        <f t="shared" si="94"/>
        <v/>
      </c>
      <c r="M999" s="1" t="b" cm="1">
        <f t="array" ref="M999">IF(H999="",FALSE,SUMPRODUCT(--(H$1:H998=H999))&gt;0)</f>
        <v>0</v>
      </c>
      <c r="N999" s="36"/>
      <c r="P999" s="1" t="str">
        <f t="shared" si="95"/>
        <v/>
      </c>
    </row>
    <row r="1000" spans="1:16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"&amp;L1000,IF(AND(MAX(K$1:K999)&gt;0,N(K1000)-MAX(K$1:K999)&gt;180),"⚠ Gap &gt; 3h",IF(_xlfn.LET(_xlpm.q,E1000,_xlpm.tk,P1000,_xlpm.ld,Log!$P$18,_xlpm.fx,IF(OR(_xlpm.ld="",_xlpm.ld="Full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"&amp;_xlpm.q,""))))&lt;&gt;"",IF(N1000&lt;&gt;"","Load OK ✓ (checked)","⚠ "&amp;_xlfn.LET(_xlpm.q,E1000,_xlpm.tk,P1000,_xlpm.ld,Log!$P$18,_xlpm.fx,IF(OR(_xlpm.ld="",_xlpm.ld="Full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"&amp;_xlpm.q,""))))),IF(C1000-I1000&gt;=0.99,"next day",IF(C1000-I1000&gt;0.4,"12h → 24h","")))))))))))</f>
        <v/>
      </c>
      <c r="H1000" s="1" t="str">
        <f t="shared" si="90"/>
        <v/>
      </c>
      <c r="I1000" s="1" t="str">
        <f t="shared" si="91"/>
        <v/>
      </c>
      <c r="J1000" s="1">
        <f t="shared" si="92"/>
        <v>0</v>
      </c>
      <c r="K1000" s="1" t="str">
        <f t="shared" si="93"/>
        <v/>
      </c>
      <c r="L1000" s="1" t="str">
        <f t="shared" si="94"/>
        <v/>
      </c>
      <c r="M1000" s="1" t="b" cm="1">
        <f t="array" ref="M1000">IF(H1000="",FALSE,SUMPRODUCT(--(H$1:H999=H1000))&gt;0)</f>
        <v>0</v>
      </c>
      <c r="N1000" s="36"/>
      <c r="P1000" s="1" t="str">
        <f t="shared" si="95"/>
        <v/>
      </c>
    </row>
    <row r="1001" spans="1:16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"&amp;L1001,IF(AND(MAX(K$1:K1000)&gt;0,N(K1001)-MAX(K$1:K1000)&gt;180),"⚠ Gap &gt; 3h",IF(_xlfn.LET(_xlpm.q,E1001,_xlpm.tk,P1001,_xlpm.ld,Log!$P$18,_xlpm.fx,IF(OR(_xlpm.ld="",_xlpm.ld="Full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"&amp;_xlpm.q,""))))&lt;&gt;"",IF(N1001&lt;&gt;"","Load OK ✓ (checked)","⚠ "&amp;_xlfn.LET(_xlpm.q,E1001,_xlpm.tk,P1001,_xlpm.ld,Log!$P$18,_xlpm.fx,IF(OR(_xlpm.ld="",_xlpm.ld="Full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"&amp;_xlpm.q,""))))),IF(C1001-I1001&gt;=0.99,"next day",IF(C1001-I1001&gt;0.4,"12h → 24h","")))))))))))</f>
        <v/>
      </c>
      <c r="H1001" s="1" t="str">
        <f t="shared" si="90"/>
        <v/>
      </c>
      <c r="I1001" s="1" t="str">
        <f t="shared" si="91"/>
        <v/>
      </c>
      <c r="J1001" s="1">
        <f t="shared" si="92"/>
        <v>0</v>
      </c>
      <c r="K1001" s="1" t="str">
        <f t="shared" si="93"/>
        <v/>
      </c>
      <c r="L1001" s="1" t="str">
        <f t="shared" si="94"/>
        <v/>
      </c>
      <c r="M1001" s="1" t="b" cm="1">
        <f t="array" ref="M1001">IF(H1001="",FALSE,SUMPRODUCT(--(H$1:H1000=H1001))&gt;0)</f>
        <v>0</v>
      </c>
      <c r="N1001" s="36"/>
      <c r="P1001" s="1" t="str">
        <f t="shared" si="95"/>
        <v/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0DCCF-F072-4981-A51C-02549B67CAF9}">
  <dimension ref="B1:B3"/>
  <sheetViews>
    <sheetView showGridLines="0" workbookViewId="0"/>
  </sheetViews>
  <sheetFormatPr defaultRowHeight="16.5" x14ac:dyDescent="0.3"/>
  <cols>
    <col min="1" max="1" width="2.7109375" style="52" customWidth="1"/>
    <col min="2" max="16384" width="9.140625" style="52"/>
  </cols>
  <sheetData>
    <row r="1" spans="2:2" ht="8.1" customHeight="1" x14ac:dyDescent="0.3"/>
    <row r="2" spans="2:2" ht="17.25" x14ac:dyDescent="0.3">
      <c r="B2" s="53" t="s">
        <v>102</v>
      </c>
    </row>
    <row r="3" spans="2:2" x14ac:dyDescent="0.3">
      <c r="B3" s="54" t="s">
        <v>103</v>
      </c>
    </row>
  </sheetData>
  <hyperlinks>
    <hyperlink ref="B3" location="'Log'!A1" tooltip="Back to the report" display="← Back to Log" xr:uid="{179EDD46-52CD-42AB-9373-BA81D5140A06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8" t="s">
        <v>99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84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85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86</v>
      </c>
      <c r="M9" s="31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L10" s="1" t="s">
        <v>88</v>
      </c>
      <c r="M10" s="1" cm="1">
        <f t="array" ref="M10">_xlfn.LET(_xlpm.i,$A$2:$A$49,_xlpm.b,$B$2:$B$49,_xlpm.e,$C$2:$C$49,_xlpm.k,$K$2:$K$49,_xlpm.lo,IF(_xlpm.b&gt;$M$1,_xlpm.b,$M$1),_xlpm.hi,IF(_xlpm.e&lt;$M$3,_xlpm.e,$M$3),_xlpm.o,IF((_xlpm.i&lt;=nHours)*(_xlpm.hi&gt;_xlpm.lo),_xlpm.hi-_xlpm.lo,0),_xlpm.s,SUM(_xlpm.o),IF(_xlpm.s&gt;0,SUM(_xlpm.o*IFERROR(_xlpm.k*1,0))/_xlpm.s,N(Log!$B$6)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L11" s="1" t="s">
        <v>89</v>
      </c>
      <c r="M11" s="1" t="str">
        <f>IF(ROUND(M10,0)=ROUND(N(Log!$B$6),0),"","AVG Requested rate "&amp;TEXT(M10,"0")&amp;" m³/h")</f>
        <v/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L12" s="1" t="s">
        <v>100</v>
      </c>
      <c r="M12" s="1" cm="1">
        <f t="array" ref="M12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COUNT(_xlpm.miss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L13" s="1" t="s">
        <v>101</v>
      </c>
      <c r="M13" s="1" t="str" cm="1">
        <f t="array" ref="M13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IF(COUNT(_xlpm.s)=0,"",IF(COUNT(_xlpm.miss)+COUNT(_xlpm.tw)=0,"✓ "&amp;_xlpm.lo&amp;" → "&amp;_xlpm.hi&amp;" complete",TRIM(IF(COUNT(_xlpm.miss),"⚠ Missing: "&amp;_xlfn.TEXTJOIN(", ",TRUE,_xlpm.miss)&amp;"   ","")&amp;IF(COUNT(_xlpm.tw),"⚠ Sent twice: "&amp;_xlfn.TEXTJOIN(", ",TRUE,_xlpm.tw),"")))))</f>
        <v/>
      </c>
      <c r="O13" s="3" t="s">
        <v>77</v>
      </c>
      <c r="P13" s="3" t="s">
        <v>80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  <c r="L14" s="1" t="s">
        <v>90</v>
      </c>
      <c r="M14" s="31" t="str">
        <f>IF(Log!$G$8="","",ABS(Log!$G$8))</f>
        <v/>
      </c>
      <c r="O14" s="1" t="s">
        <v>97</v>
      </c>
      <c r="P14" s="37" t="s">
        <v>98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2026-10-20T08:57:20Z</dcterms:modified>
</cp:coreProperties>
</file>