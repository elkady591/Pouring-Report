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ncmel\Desktop\CLAUDE\CONCRETE APPS\Pouring Report\web\"/>
    </mc:Choice>
  </mc:AlternateContent>
  <xr:revisionPtr revIDLastSave="0" documentId="8_{969C8FFC-26E4-4137-8532-B2CB610FF8C0}" xr6:coauthVersionLast="47" xr6:coauthVersionMax="47" xr10:uidLastSave="{00000000-0000-0000-0000-000000000000}"/>
  <bookViews>
    <workbookView xWindow="-28920" yWindow="945" windowWidth="29040" windowHeight="15720" xr2:uid="{7E568D7F-3903-4ABE-AAE4-82CAFE2A036C}"/>
  </bookViews>
  <sheets>
    <sheet name="Log" sheetId="3" r:id="rId1"/>
    <sheet name="Messages" sheetId="2" r:id="rId2"/>
    <sheet name="Picture" sheetId="4" r:id="rId3"/>
    <sheet name="Calc" sheetId="1" state="hidden" r:id="rId4"/>
  </sheets>
  <definedNames>
    <definedName name="chBelow">OFFSET(Calc!$H$2,0,0,MAX(1,Calc!$M$4),1)</definedName>
    <definedName name="chLab">OFFSET(Calc!$D$2,0,0,MAX(1,Calc!$M$4),1)</definedName>
    <definedName name="chMet">OFFSET(Calc!$G$2,0,0,MAX(1,Calc!$M$4),1)</definedName>
    <definedName name="chPart">OFFSET(Calc!$I$2,0,0,MAX(1,Calc!$M$4),1)</definedName>
    <definedName name="chReq">OFFSET(Calc!$J$2,0,0,MAX(1,Calc!$M$4),1)</definedName>
    <definedName name="nHours">Calc!$M$4</definedName>
    <definedName name="PicArea">OFFSET(Log!$A$1,0,0,21+Calc!$M$4,14)</definedName>
    <definedName name="ReqInit">Log!$P$12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J69" i="3" l="1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M630" i="2" a="1"/>
  <c r="M631" i="2" a="1"/>
  <c r="M632" i="2" a="1"/>
  <c r="M633" i="2" a="1"/>
  <c r="M634" i="2" a="1"/>
  <c r="M635" i="2" a="1"/>
  <c r="M636" i="2" a="1"/>
  <c r="M637" i="2" a="1"/>
  <c r="M638" i="2" a="1"/>
  <c r="M639" i="2" a="1"/>
  <c r="M640" i="2" a="1"/>
  <c r="M641" i="2" a="1"/>
  <c r="M642" i="2" a="1"/>
  <c r="M643" i="2" a="1"/>
  <c r="M644" i="2" a="1"/>
  <c r="M645" i="2" a="1"/>
  <c r="M646" i="2" a="1"/>
  <c r="M647" i="2" a="1"/>
  <c r="M648" i="2" a="1"/>
  <c r="M649" i="2" a="1"/>
  <c r="M650" i="2" a="1"/>
  <c r="M651" i="2" a="1"/>
  <c r="M652" i="2" a="1"/>
  <c r="M653" i="2" a="1"/>
  <c r="M654" i="2" a="1"/>
  <c r="M655" i="2" a="1"/>
  <c r="M656" i="2" a="1"/>
  <c r="M657" i="2" a="1"/>
  <c r="M658" i="2" a="1"/>
  <c r="M659" i="2" a="1"/>
  <c r="M660" i="2" a="1"/>
  <c r="M661" i="2" a="1"/>
  <c r="M662" i="2" a="1"/>
  <c r="M663" i="2" a="1"/>
  <c r="M664" i="2" a="1"/>
  <c r="M665" i="2" a="1"/>
  <c r="M666" i="2" a="1"/>
  <c r="M667" i="2" a="1"/>
  <c r="M668" i="2" a="1"/>
  <c r="M669" i="2" a="1"/>
  <c r="M670" i="2" a="1"/>
  <c r="M671" i="2" a="1"/>
  <c r="M672" i="2" a="1"/>
  <c r="M673" i="2" a="1"/>
  <c r="M674" i="2" a="1"/>
  <c r="M675" i="2" a="1"/>
  <c r="M676" i="2" a="1"/>
  <c r="M677" i="2" a="1"/>
  <c r="M678" i="2" a="1"/>
  <c r="M679" i="2" a="1"/>
  <c r="M680" i="2" a="1"/>
  <c r="M681" i="2" a="1"/>
  <c r="M682" i="2" a="1"/>
  <c r="M683" i="2" a="1"/>
  <c r="M684" i="2" a="1"/>
  <c r="M685" i="2" a="1"/>
  <c r="M686" i="2" a="1"/>
  <c r="M687" i="2" a="1"/>
  <c r="M688" i="2" a="1"/>
  <c r="M689" i="2" a="1"/>
  <c r="M690" i="2" a="1"/>
  <c r="M691" i="2" a="1"/>
  <c r="M692" i="2" a="1"/>
  <c r="M693" i="2" a="1"/>
  <c r="M694" i="2" a="1"/>
  <c r="M695" i="2" a="1"/>
  <c r="M696" i="2" a="1"/>
  <c r="M697" i="2" a="1"/>
  <c r="M698" i="2" a="1"/>
  <c r="M699" i="2" a="1"/>
  <c r="M700" i="2" a="1"/>
  <c r="M701" i="2" a="1"/>
  <c r="M702" i="2" a="1"/>
  <c r="M703" i="2" a="1"/>
  <c r="M704" i="2" a="1"/>
  <c r="M705" i="2" a="1"/>
  <c r="M706" i="2" a="1"/>
  <c r="M707" i="2" a="1"/>
  <c r="M708" i="2" a="1"/>
  <c r="M709" i="2" a="1"/>
  <c r="M710" i="2" a="1"/>
  <c r="M711" i="2" a="1"/>
  <c r="M712" i="2" a="1"/>
  <c r="M713" i="2" a="1"/>
  <c r="M714" i="2" a="1"/>
  <c r="M715" i="2" a="1"/>
  <c r="M716" i="2" a="1"/>
  <c r="M717" i="2" a="1"/>
  <c r="M718" i="2" a="1"/>
  <c r="M719" i="2" a="1"/>
  <c r="M720" i="2" a="1"/>
  <c r="M721" i="2" a="1"/>
  <c r="M722" i="2" a="1"/>
  <c r="M723" i="2" a="1"/>
  <c r="M724" i="2" a="1"/>
  <c r="M725" i="2" a="1"/>
  <c r="M726" i="2" a="1"/>
  <c r="M727" i="2" a="1"/>
  <c r="M728" i="2" a="1"/>
  <c r="M729" i="2" a="1"/>
  <c r="M730" i="2" a="1"/>
  <c r="M731" i="2" a="1"/>
  <c r="M732" i="2" a="1"/>
  <c r="M733" i="2" a="1"/>
  <c r="M734" i="2" a="1"/>
  <c r="M735" i="2" a="1"/>
  <c r="M736" i="2" a="1"/>
  <c r="M737" i="2" a="1"/>
  <c r="M738" i="2" a="1"/>
  <c r="M739" i="2" a="1"/>
  <c r="M740" i="2" a="1"/>
  <c r="M741" i="2" a="1"/>
  <c r="M742" i="2" a="1"/>
  <c r="M743" i="2" a="1"/>
  <c r="M744" i="2" a="1"/>
  <c r="M745" i="2" a="1"/>
  <c r="M746" i="2" a="1"/>
  <c r="M747" i="2" a="1"/>
  <c r="M748" i="2" a="1"/>
  <c r="M749" i="2" a="1"/>
  <c r="M750" i="2" a="1"/>
  <c r="M751" i="2" a="1"/>
  <c r="M752" i="2" a="1"/>
  <c r="M753" i="2" a="1"/>
  <c r="M754" i="2" a="1"/>
  <c r="M755" i="2" a="1"/>
  <c r="M756" i="2" a="1"/>
  <c r="M757" i="2" a="1"/>
  <c r="M758" i="2" a="1"/>
  <c r="M759" i="2" a="1"/>
  <c r="M760" i="2" a="1"/>
  <c r="M761" i="2" a="1"/>
  <c r="M762" i="2" a="1"/>
  <c r="M763" i="2" a="1"/>
  <c r="M764" i="2" a="1"/>
  <c r="M765" i="2" a="1"/>
  <c r="M766" i="2" a="1"/>
  <c r="M767" i="2" a="1"/>
  <c r="M768" i="2" a="1"/>
  <c r="M769" i="2" a="1"/>
  <c r="M770" i="2" a="1"/>
  <c r="M771" i="2" a="1"/>
  <c r="M772" i="2" a="1"/>
  <c r="M773" i="2" a="1"/>
  <c r="M774" i="2" a="1"/>
  <c r="M775" i="2" a="1"/>
  <c r="M776" i="2" a="1"/>
  <c r="M777" i="2" a="1"/>
  <c r="M778" i="2" a="1"/>
  <c r="M779" i="2" a="1"/>
  <c r="M780" i="2" a="1"/>
  <c r="M781" i="2" a="1"/>
  <c r="M782" i="2" a="1"/>
  <c r="M783" i="2" a="1"/>
  <c r="M784" i="2" a="1"/>
  <c r="M785" i="2" a="1"/>
  <c r="M786" i="2" a="1"/>
  <c r="M787" i="2" a="1"/>
  <c r="M788" i="2" a="1"/>
  <c r="M789" i="2" a="1"/>
  <c r="M790" i="2" a="1"/>
  <c r="M791" i="2" a="1"/>
  <c r="M792" i="2" a="1"/>
  <c r="M793" i="2" a="1"/>
  <c r="M794" i="2" a="1"/>
  <c r="M795" i="2" a="1"/>
  <c r="M796" i="2" a="1"/>
  <c r="M797" i="2" a="1"/>
  <c r="M798" i="2" a="1"/>
  <c r="M799" i="2" a="1"/>
  <c r="M800" i="2" a="1"/>
  <c r="M801" i="2" a="1"/>
  <c r="M802" i="2" a="1"/>
  <c r="M803" i="2" a="1"/>
  <c r="M804" i="2" a="1"/>
  <c r="M805" i="2" a="1"/>
  <c r="M806" i="2" a="1"/>
  <c r="M807" i="2" a="1"/>
  <c r="M808" i="2" a="1"/>
  <c r="M809" i="2" a="1"/>
  <c r="M810" i="2" a="1"/>
  <c r="M811" i="2" a="1"/>
  <c r="M812" i="2" a="1"/>
  <c r="M813" i="2" a="1"/>
  <c r="M814" i="2" a="1"/>
  <c r="M815" i="2" a="1"/>
  <c r="M816" i="2" a="1"/>
  <c r="M817" i="2" a="1"/>
  <c r="M818" i="2" a="1"/>
  <c r="M819" i="2" a="1"/>
  <c r="M820" i="2" a="1"/>
  <c r="M821" i="2" a="1"/>
  <c r="M822" i="2" a="1"/>
  <c r="M823" i="2" a="1"/>
  <c r="M824" i="2" a="1"/>
  <c r="M825" i="2" a="1"/>
  <c r="M826" i="2" a="1"/>
  <c r="M827" i="2" a="1"/>
  <c r="M828" i="2" a="1"/>
  <c r="M829" i="2" a="1"/>
  <c r="M830" i="2" a="1"/>
  <c r="M831" i="2" a="1"/>
  <c r="M832" i="2" a="1"/>
  <c r="M833" i="2" a="1"/>
  <c r="M834" i="2" a="1"/>
  <c r="M835" i="2" a="1"/>
  <c r="M836" i="2" a="1"/>
  <c r="M837" i="2" a="1"/>
  <c r="M838" i="2" a="1"/>
  <c r="M839" i="2" a="1"/>
  <c r="M840" i="2" a="1"/>
  <c r="M841" i="2" a="1"/>
  <c r="M842" i="2" a="1"/>
  <c r="M843" i="2" a="1"/>
  <c r="M844" i="2" a="1"/>
  <c r="M845" i="2" a="1"/>
  <c r="M846" i="2" a="1"/>
  <c r="M847" i="2" a="1"/>
  <c r="M848" i="2" a="1"/>
  <c r="M849" i="2" a="1"/>
  <c r="M850" i="2" a="1"/>
  <c r="M851" i="2" a="1"/>
  <c r="M852" i="2" a="1"/>
  <c r="M853" i="2" a="1"/>
  <c r="M854" i="2" a="1"/>
  <c r="M855" i="2" a="1"/>
  <c r="M856" i="2" a="1"/>
  <c r="M857" i="2" a="1"/>
  <c r="M858" i="2" a="1"/>
  <c r="M859" i="2" a="1"/>
  <c r="M860" i="2" a="1"/>
  <c r="M861" i="2" a="1"/>
  <c r="M862" i="2" a="1"/>
  <c r="M863" i="2" a="1"/>
  <c r="M864" i="2" a="1"/>
  <c r="M865" i="2" a="1"/>
  <c r="M866" i="2" a="1"/>
  <c r="M867" i="2" a="1"/>
  <c r="M868" i="2" a="1"/>
  <c r="M869" i="2" a="1"/>
  <c r="M870" i="2" a="1"/>
  <c r="M871" i="2" a="1"/>
  <c r="M872" i="2" a="1"/>
  <c r="M873" i="2" a="1"/>
  <c r="M874" i="2" a="1"/>
  <c r="M875" i="2" a="1"/>
  <c r="M876" i="2" a="1"/>
  <c r="M877" i="2" a="1"/>
  <c r="M878" i="2" a="1"/>
  <c r="M879" i="2" a="1"/>
  <c r="M880" i="2" a="1"/>
  <c r="M881" i="2" a="1"/>
  <c r="M882" i="2" a="1"/>
  <c r="M883" i="2" a="1"/>
  <c r="M884" i="2" a="1"/>
  <c r="M885" i="2" a="1"/>
  <c r="M886" i="2" a="1"/>
  <c r="M887" i="2" a="1"/>
  <c r="M888" i="2" a="1"/>
  <c r="M889" i="2" a="1"/>
  <c r="M890" i="2" a="1"/>
  <c r="M891" i="2" a="1"/>
  <c r="M892" i="2" a="1"/>
  <c r="M893" i="2" a="1"/>
  <c r="M894" i="2" a="1"/>
  <c r="M895" i="2" a="1"/>
  <c r="M896" i="2" a="1"/>
  <c r="M897" i="2" a="1"/>
  <c r="M898" i="2" a="1"/>
  <c r="M899" i="2" a="1"/>
  <c r="M900" i="2" a="1"/>
  <c r="M901" i="2" a="1"/>
  <c r="M902" i="2" a="1"/>
  <c r="M903" i="2" a="1"/>
  <c r="M904" i="2" a="1"/>
  <c r="M905" i="2" a="1"/>
  <c r="M906" i="2" a="1"/>
  <c r="M907" i="2" a="1"/>
  <c r="M908" i="2" a="1"/>
  <c r="M909" i="2" a="1"/>
  <c r="M910" i="2" a="1"/>
  <c r="M911" i="2" a="1"/>
  <c r="M912" i="2" a="1"/>
  <c r="M913" i="2" a="1"/>
  <c r="M914" i="2" a="1"/>
  <c r="M915" i="2" a="1"/>
  <c r="M916" i="2" a="1"/>
  <c r="M917" i="2" a="1"/>
  <c r="M918" i="2" a="1"/>
  <c r="M919" i="2" a="1"/>
  <c r="M920" i="2" a="1"/>
  <c r="M921" i="2" a="1"/>
  <c r="M922" i="2" a="1"/>
  <c r="M923" i="2" a="1"/>
  <c r="M924" i="2" a="1"/>
  <c r="M925" i="2" a="1"/>
  <c r="M926" i="2" a="1"/>
  <c r="M927" i="2" a="1"/>
  <c r="M928" i="2" a="1"/>
  <c r="M929" i="2" a="1"/>
  <c r="M930" i="2" a="1"/>
  <c r="M931" i="2" a="1"/>
  <c r="M932" i="2" a="1"/>
  <c r="M933" i="2" a="1"/>
  <c r="M934" i="2" a="1"/>
  <c r="M935" i="2" a="1"/>
  <c r="M936" i="2" a="1"/>
  <c r="M937" i="2" a="1"/>
  <c r="M938" i="2" a="1"/>
  <c r="M939" i="2" a="1"/>
  <c r="M940" i="2" a="1"/>
  <c r="M941" i="2" a="1"/>
  <c r="M942" i="2" a="1"/>
  <c r="M943" i="2" a="1"/>
  <c r="M944" i="2" a="1"/>
  <c r="M945" i="2" a="1"/>
  <c r="M946" i="2" a="1"/>
  <c r="M947" i="2" a="1"/>
  <c r="M948" i="2" a="1"/>
  <c r="M949" i="2" a="1"/>
  <c r="M950" i="2" a="1"/>
  <c r="M951" i="2" a="1"/>
  <c r="M952" i="2" a="1"/>
  <c r="M953" i="2" a="1"/>
  <c r="M954" i="2" a="1"/>
  <c r="M955" i="2" a="1"/>
  <c r="M956" i="2" a="1"/>
  <c r="M957" i="2" a="1"/>
  <c r="M958" i="2" a="1"/>
  <c r="M959" i="2" a="1"/>
  <c r="M960" i="2" a="1"/>
  <c r="M961" i="2" a="1"/>
  <c r="M962" i="2" a="1"/>
  <c r="M963" i="2" a="1"/>
  <c r="M964" i="2" a="1"/>
  <c r="M965" i="2" a="1"/>
  <c r="M966" i="2" a="1"/>
  <c r="M967" i="2" a="1"/>
  <c r="M968" i="2" a="1"/>
  <c r="M969" i="2" a="1"/>
  <c r="M970" i="2" a="1"/>
  <c r="M971" i="2" a="1"/>
  <c r="M972" i="2" a="1"/>
  <c r="M973" i="2" a="1"/>
  <c r="M974" i="2" a="1"/>
  <c r="M975" i="2" a="1"/>
  <c r="M976" i="2" a="1"/>
  <c r="M977" i="2" a="1"/>
  <c r="M978" i="2" a="1"/>
  <c r="M979" i="2" a="1"/>
  <c r="M980" i="2" a="1"/>
  <c r="M981" i="2" a="1"/>
  <c r="M982" i="2" a="1"/>
  <c r="M983" i="2" a="1"/>
  <c r="M984" i="2" a="1"/>
  <c r="M985" i="2" a="1"/>
  <c r="M986" i="2" a="1"/>
  <c r="M987" i="2" a="1"/>
  <c r="M988" i="2" a="1"/>
  <c r="M989" i="2" a="1"/>
  <c r="M990" i="2" a="1"/>
  <c r="M991" i="2" a="1"/>
  <c r="M992" i="2" a="1"/>
  <c r="M993" i="2" a="1"/>
  <c r="M994" i="2" a="1"/>
  <c r="M995" i="2" a="1"/>
  <c r="M996" i="2" a="1"/>
  <c r="M997" i="2" a="1"/>
  <c r="M998" i="2" a="1"/>
  <c r="M999" i="2" a="1"/>
  <c r="M1000" i="2" a="1"/>
  <c r="M1001" i="2" a="1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C851" i="2" s="1"/>
  <c r="K851" i="2" s="1"/>
  <c r="I852" i="2"/>
  <c r="C852" i="2" s="1"/>
  <c r="K852" i="2" s="1"/>
  <c r="I853" i="2"/>
  <c r="C853" i="2" s="1"/>
  <c r="K853" i="2" s="1"/>
  <c r="I854" i="2"/>
  <c r="C854" i="2" s="1"/>
  <c r="K854" i="2" s="1"/>
  <c r="I855" i="2"/>
  <c r="C855" i="2" s="1"/>
  <c r="K855" i="2" s="1"/>
  <c r="I856" i="2"/>
  <c r="C856" i="2" s="1"/>
  <c r="K856" i="2" s="1"/>
  <c r="I857" i="2"/>
  <c r="C857" i="2" s="1"/>
  <c r="K857" i="2" s="1"/>
  <c r="I858" i="2"/>
  <c r="C858" i="2" s="1"/>
  <c r="K858" i="2" s="1"/>
  <c r="I859" i="2"/>
  <c r="C859" i="2" s="1"/>
  <c r="K859" i="2" s="1"/>
  <c r="I860" i="2"/>
  <c r="C860" i="2" s="1"/>
  <c r="K860" i="2" s="1"/>
  <c r="I861" i="2"/>
  <c r="C861" i="2" s="1"/>
  <c r="K861" i="2" s="1"/>
  <c r="I862" i="2"/>
  <c r="C862" i="2" s="1"/>
  <c r="K862" i="2" s="1"/>
  <c r="I863" i="2"/>
  <c r="C863" i="2" s="1"/>
  <c r="K863" i="2" s="1"/>
  <c r="I864" i="2"/>
  <c r="C864" i="2" s="1"/>
  <c r="K864" i="2" s="1"/>
  <c r="I865" i="2"/>
  <c r="C865" i="2" s="1"/>
  <c r="K865" i="2" s="1"/>
  <c r="I866" i="2"/>
  <c r="C866" i="2" s="1"/>
  <c r="K866" i="2" s="1"/>
  <c r="I867" i="2"/>
  <c r="C867" i="2" s="1"/>
  <c r="K867" i="2" s="1"/>
  <c r="I868" i="2"/>
  <c r="C868" i="2" s="1"/>
  <c r="K868" i="2" s="1"/>
  <c r="I869" i="2"/>
  <c r="C869" i="2" s="1"/>
  <c r="K869" i="2" s="1"/>
  <c r="I870" i="2"/>
  <c r="C870" i="2" s="1"/>
  <c r="K870" i="2" s="1"/>
  <c r="I871" i="2"/>
  <c r="C871" i="2" s="1"/>
  <c r="K871" i="2" s="1"/>
  <c r="I872" i="2"/>
  <c r="C872" i="2" s="1"/>
  <c r="K872" i="2" s="1"/>
  <c r="I873" i="2"/>
  <c r="C873" i="2" s="1"/>
  <c r="K873" i="2" s="1"/>
  <c r="I874" i="2"/>
  <c r="C874" i="2" s="1"/>
  <c r="K874" i="2" s="1"/>
  <c r="I875" i="2"/>
  <c r="C875" i="2" s="1"/>
  <c r="K875" i="2" s="1"/>
  <c r="I876" i="2"/>
  <c r="C876" i="2" s="1"/>
  <c r="K876" i="2" s="1"/>
  <c r="I877" i="2"/>
  <c r="C877" i="2" s="1"/>
  <c r="K877" i="2" s="1"/>
  <c r="I878" i="2"/>
  <c r="C878" i="2" s="1"/>
  <c r="K878" i="2" s="1"/>
  <c r="I879" i="2"/>
  <c r="C879" i="2" s="1"/>
  <c r="K879" i="2" s="1"/>
  <c r="I880" i="2"/>
  <c r="C880" i="2" s="1"/>
  <c r="K880" i="2" s="1"/>
  <c r="I881" i="2"/>
  <c r="C881" i="2" s="1"/>
  <c r="K881" i="2" s="1"/>
  <c r="I882" i="2"/>
  <c r="C882" i="2" s="1"/>
  <c r="K882" i="2" s="1"/>
  <c r="I883" i="2"/>
  <c r="C883" i="2" s="1"/>
  <c r="K883" i="2" s="1"/>
  <c r="I884" i="2"/>
  <c r="C884" i="2" s="1"/>
  <c r="K884" i="2" s="1"/>
  <c r="I885" i="2"/>
  <c r="C885" i="2" s="1"/>
  <c r="K885" i="2" s="1"/>
  <c r="I886" i="2"/>
  <c r="C886" i="2" s="1"/>
  <c r="K886" i="2" s="1"/>
  <c r="I887" i="2"/>
  <c r="C887" i="2" s="1"/>
  <c r="K887" i="2" s="1"/>
  <c r="I888" i="2"/>
  <c r="C888" i="2" s="1"/>
  <c r="K888" i="2" s="1"/>
  <c r="I889" i="2"/>
  <c r="C889" i="2" s="1"/>
  <c r="K889" i="2" s="1"/>
  <c r="I890" i="2"/>
  <c r="C890" i="2" s="1"/>
  <c r="K890" i="2" s="1"/>
  <c r="I891" i="2"/>
  <c r="C891" i="2" s="1"/>
  <c r="K891" i="2" s="1"/>
  <c r="I892" i="2"/>
  <c r="C892" i="2" s="1"/>
  <c r="K892" i="2" s="1"/>
  <c r="I893" i="2"/>
  <c r="C893" i="2" s="1"/>
  <c r="K893" i="2" s="1"/>
  <c r="I894" i="2"/>
  <c r="C894" i="2" s="1"/>
  <c r="K894" i="2" s="1"/>
  <c r="I895" i="2"/>
  <c r="C895" i="2" s="1"/>
  <c r="K895" i="2" s="1"/>
  <c r="I896" i="2"/>
  <c r="C896" i="2" s="1"/>
  <c r="K896" i="2" s="1"/>
  <c r="I897" i="2"/>
  <c r="C897" i="2" s="1"/>
  <c r="K897" i="2" s="1"/>
  <c r="I898" i="2"/>
  <c r="C898" i="2" s="1"/>
  <c r="K898" i="2" s="1"/>
  <c r="I899" i="2"/>
  <c r="C899" i="2" s="1"/>
  <c r="K899" i="2" s="1"/>
  <c r="I900" i="2"/>
  <c r="C900" i="2" s="1"/>
  <c r="K900" i="2" s="1"/>
  <c r="I901" i="2"/>
  <c r="C901" i="2" s="1"/>
  <c r="K901" i="2" s="1"/>
  <c r="I902" i="2"/>
  <c r="C902" i="2" s="1"/>
  <c r="K902" i="2" s="1"/>
  <c r="I903" i="2"/>
  <c r="C903" i="2" s="1"/>
  <c r="K903" i="2" s="1"/>
  <c r="I904" i="2"/>
  <c r="C904" i="2" s="1"/>
  <c r="K904" i="2" s="1"/>
  <c r="I905" i="2"/>
  <c r="C905" i="2" s="1"/>
  <c r="K905" i="2" s="1"/>
  <c r="I906" i="2"/>
  <c r="C906" i="2" s="1"/>
  <c r="K906" i="2" s="1"/>
  <c r="I907" i="2"/>
  <c r="C907" i="2" s="1"/>
  <c r="K907" i="2" s="1"/>
  <c r="I908" i="2"/>
  <c r="C908" i="2" s="1"/>
  <c r="K908" i="2" s="1"/>
  <c r="I909" i="2"/>
  <c r="C909" i="2" s="1"/>
  <c r="K909" i="2" s="1"/>
  <c r="I910" i="2"/>
  <c r="C910" i="2" s="1"/>
  <c r="K910" i="2" s="1"/>
  <c r="I911" i="2"/>
  <c r="C911" i="2" s="1"/>
  <c r="K911" i="2" s="1"/>
  <c r="I912" i="2"/>
  <c r="C912" i="2" s="1"/>
  <c r="K912" i="2" s="1"/>
  <c r="I913" i="2"/>
  <c r="C913" i="2" s="1"/>
  <c r="K913" i="2" s="1"/>
  <c r="I914" i="2"/>
  <c r="C914" i="2" s="1"/>
  <c r="K914" i="2" s="1"/>
  <c r="I915" i="2"/>
  <c r="C915" i="2" s="1"/>
  <c r="K915" i="2" s="1"/>
  <c r="I916" i="2"/>
  <c r="C916" i="2" s="1"/>
  <c r="K916" i="2" s="1"/>
  <c r="I917" i="2"/>
  <c r="C917" i="2" s="1"/>
  <c r="K917" i="2" s="1"/>
  <c r="I918" i="2"/>
  <c r="C918" i="2" s="1"/>
  <c r="K918" i="2" s="1"/>
  <c r="I919" i="2"/>
  <c r="C919" i="2" s="1"/>
  <c r="K919" i="2" s="1"/>
  <c r="I920" i="2"/>
  <c r="C920" i="2" s="1"/>
  <c r="K920" i="2" s="1"/>
  <c r="I921" i="2"/>
  <c r="C921" i="2" s="1"/>
  <c r="K921" i="2" s="1"/>
  <c r="I922" i="2"/>
  <c r="C922" i="2" s="1"/>
  <c r="K922" i="2" s="1"/>
  <c r="I923" i="2"/>
  <c r="C923" i="2" s="1"/>
  <c r="K923" i="2" s="1"/>
  <c r="I924" i="2"/>
  <c r="C924" i="2" s="1"/>
  <c r="K924" i="2" s="1"/>
  <c r="I925" i="2"/>
  <c r="C925" i="2" s="1"/>
  <c r="K925" i="2" s="1"/>
  <c r="I926" i="2"/>
  <c r="C926" i="2" s="1"/>
  <c r="K926" i="2" s="1"/>
  <c r="I927" i="2"/>
  <c r="C927" i="2" s="1"/>
  <c r="K927" i="2" s="1"/>
  <c r="I928" i="2"/>
  <c r="C928" i="2" s="1"/>
  <c r="K928" i="2" s="1"/>
  <c r="I929" i="2"/>
  <c r="C929" i="2" s="1"/>
  <c r="K929" i="2" s="1"/>
  <c r="I930" i="2"/>
  <c r="C930" i="2" s="1"/>
  <c r="K930" i="2" s="1"/>
  <c r="I931" i="2"/>
  <c r="C931" i="2" s="1"/>
  <c r="K931" i="2" s="1"/>
  <c r="I932" i="2"/>
  <c r="C932" i="2" s="1"/>
  <c r="K932" i="2" s="1"/>
  <c r="I933" i="2"/>
  <c r="C933" i="2" s="1"/>
  <c r="K933" i="2" s="1"/>
  <c r="I934" i="2"/>
  <c r="C934" i="2" s="1"/>
  <c r="K934" i="2" s="1"/>
  <c r="I935" i="2"/>
  <c r="C935" i="2" s="1"/>
  <c r="K935" i="2" s="1"/>
  <c r="I936" i="2"/>
  <c r="C936" i="2" s="1"/>
  <c r="K936" i="2" s="1"/>
  <c r="I937" i="2"/>
  <c r="C937" i="2" s="1"/>
  <c r="K937" i="2" s="1"/>
  <c r="I938" i="2"/>
  <c r="C938" i="2" s="1"/>
  <c r="K938" i="2" s="1"/>
  <c r="I939" i="2"/>
  <c r="C939" i="2" s="1"/>
  <c r="K939" i="2" s="1"/>
  <c r="I940" i="2"/>
  <c r="C940" i="2" s="1"/>
  <c r="K940" i="2" s="1"/>
  <c r="I941" i="2"/>
  <c r="C941" i="2" s="1"/>
  <c r="K941" i="2" s="1"/>
  <c r="I942" i="2"/>
  <c r="C942" i="2" s="1"/>
  <c r="K942" i="2" s="1"/>
  <c r="I943" i="2"/>
  <c r="C943" i="2" s="1"/>
  <c r="K943" i="2" s="1"/>
  <c r="I944" i="2"/>
  <c r="C944" i="2" s="1"/>
  <c r="K944" i="2" s="1"/>
  <c r="I945" i="2"/>
  <c r="C945" i="2" s="1"/>
  <c r="K945" i="2" s="1"/>
  <c r="I946" i="2"/>
  <c r="C946" i="2" s="1"/>
  <c r="K946" i="2" s="1"/>
  <c r="I947" i="2"/>
  <c r="C947" i="2" s="1"/>
  <c r="K947" i="2" s="1"/>
  <c r="I948" i="2"/>
  <c r="C948" i="2" s="1"/>
  <c r="K948" i="2" s="1"/>
  <c r="I949" i="2"/>
  <c r="C949" i="2" s="1"/>
  <c r="K949" i="2" s="1"/>
  <c r="I950" i="2"/>
  <c r="C950" i="2" s="1"/>
  <c r="K950" i="2" s="1"/>
  <c r="I951" i="2"/>
  <c r="C951" i="2" s="1"/>
  <c r="K951" i="2" s="1"/>
  <c r="I952" i="2"/>
  <c r="C952" i="2" s="1"/>
  <c r="K952" i="2" s="1"/>
  <c r="I953" i="2"/>
  <c r="C953" i="2" s="1"/>
  <c r="K953" i="2" s="1"/>
  <c r="I954" i="2"/>
  <c r="C954" i="2" s="1"/>
  <c r="K954" i="2" s="1"/>
  <c r="I955" i="2"/>
  <c r="C955" i="2" s="1"/>
  <c r="K955" i="2" s="1"/>
  <c r="I956" i="2"/>
  <c r="C956" i="2" s="1"/>
  <c r="K956" i="2" s="1"/>
  <c r="I957" i="2"/>
  <c r="C957" i="2" s="1"/>
  <c r="K957" i="2" s="1"/>
  <c r="I958" i="2"/>
  <c r="C958" i="2" s="1"/>
  <c r="K958" i="2" s="1"/>
  <c r="I959" i="2"/>
  <c r="C959" i="2" s="1"/>
  <c r="K959" i="2" s="1"/>
  <c r="I960" i="2"/>
  <c r="C960" i="2" s="1"/>
  <c r="K960" i="2" s="1"/>
  <c r="I961" i="2"/>
  <c r="C961" i="2" s="1"/>
  <c r="K961" i="2" s="1"/>
  <c r="I962" i="2"/>
  <c r="C962" i="2" s="1"/>
  <c r="K962" i="2" s="1"/>
  <c r="I963" i="2"/>
  <c r="C963" i="2" s="1"/>
  <c r="K963" i="2" s="1"/>
  <c r="I964" i="2"/>
  <c r="C964" i="2" s="1"/>
  <c r="K964" i="2" s="1"/>
  <c r="I965" i="2"/>
  <c r="C965" i="2" s="1"/>
  <c r="K965" i="2" s="1"/>
  <c r="I966" i="2"/>
  <c r="C966" i="2" s="1"/>
  <c r="K966" i="2" s="1"/>
  <c r="I967" i="2"/>
  <c r="C967" i="2" s="1"/>
  <c r="K967" i="2" s="1"/>
  <c r="I968" i="2"/>
  <c r="C968" i="2" s="1"/>
  <c r="K968" i="2" s="1"/>
  <c r="I969" i="2"/>
  <c r="C969" i="2" s="1"/>
  <c r="K969" i="2" s="1"/>
  <c r="I970" i="2"/>
  <c r="C970" i="2" s="1"/>
  <c r="K970" i="2" s="1"/>
  <c r="I971" i="2"/>
  <c r="C971" i="2" s="1"/>
  <c r="K971" i="2" s="1"/>
  <c r="I972" i="2"/>
  <c r="C972" i="2" s="1"/>
  <c r="K972" i="2" s="1"/>
  <c r="I973" i="2"/>
  <c r="C973" i="2" s="1"/>
  <c r="K973" i="2" s="1"/>
  <c r="I974" i="2"/>
  <c r="C974" i="2" s="1"/>
  <c r="K974" i="2" s="1"/>
  <c r="I975" i="2"/>
  <c r="C975" i="2" s="1"/>
  <c r="K975" i="2" s="1"/>
  <c r="I976" i="2"/>
  <c r="C976" i="2" s="1"/>
  <c r="K976" i="2" s="1"/>
  <c r="I977" i="2"/>
  <c r="C977" i="2" s="1"/>
  <c r="K977" i="2" s="1"/>
  <c r="I978" i="2"/>
  <c r="C978" i="2" s="1"/>
  <c r="K978" i="2" s="1"/>
  <c r="I979" i="2"/>
  <c r="C979" i="2" s="1"/>
  <c r="K979" i="2" s="1"/>
  <c r="I980" i="2"/>
  <c r="C980" i="2" s="1"/>
  <c r="K980" i="2" s="1"/>
  <c r="I981" i="2"/>
  <c r="C981" i="2" s="1"/>
  <c r="K981" i="2" s="1"/>
  <c r="I982" i="2"/>
  <c r="C982" i="2" s="1"/>
  <c r="K982" i="2" s="1"/>
  <c r="I983" i="2"/>
  <c r="C983" i="2" s="1"/>
  <c r="K983" i="2" s="1"/>
  <c r="I984" i="2"/>
  <c r="C984" i="2" s="1"/>
  <c r="K984" i="2" s="1"/>
  <c r="I985" i="2"/>
  <c r="C985" i="2" s="1"/>
  <c r="K985" i="2" s="1"/>
  <c r="I986" i="2"/>
  <c r="C986" i="2" s="1"/>
  <c r="K986" i="2" s="1"/>
  <c r="I987" i="2"/>
  <c r="C987" i="2" s="1"/>
  <c r="K987" i="2" s="1"/>
  <c r="I988" i="2"/>
  <c r="C988" i="2" s="1"/>
  <c r="K988" i="2" s="1"/>
  <c r="I989" i="2"/>
  <c r="C989" i="2" s="1"/>
  <c r="K989" i="2" s="1"/>
  <c r="I990" i="2"/>
  <c r="C990" i="2" s="1"/>
  <c r="K990" i="2" s="1"/>
  <c r="I991" i="2"/>
  <c r="C991" i="2" s="1"/>
  <c r="K991" i="2" s="1"/>
  <c r="I992" i="2"/>
  <c r="C992" i="2" s="1"/>
  <c r="K992" i="2" s="1"/>
  <c r="I993" i="2"/>
  <c r="C993" i="2" s="1"/>
  <c r="K993" i="2" s="1"/>
  <c r="I994" i="2"/>
  <c r="C994" i="2" s="1"/>
  <c r="K994" i="2" s="1"/>
  <c r="I995" i="2"/>
  <c r="C995" i="2" s="1"/>
  <c r="K995" i="2" s="1"/>
  <c r="I996" i="2"/>
  <c r="C996" i="2" s="1"/>
  <c r="K996" i="2" s="1"/>
  <c r="I997" i="2"/>
  <c r="C997" i="2" s="1"/>
  <c r="K997" i="2" s="1"/>
  <c r="I998" i="2"/>
  <c r="C998" i="2" s="1"/>
  <c r="K998" i="2" s="1"/>
  <c r="I999" i="2"/>
  <c r="C999" i="2" s="1"/>
  <c r="K999" i="2" s="1"/>
  <c r="I1000" i="2"/>
  <c r="C1000" i="2" s="1"/>
  <c r="K1000" i="2" s="1"/>
  <c r="I1001" i="2"/>
  <c r="C1001" i="2" s="1"/>
  <c r="K1001" i="2" s="1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A630" i="2" s="1"/>
  <c r="G631" i="2"/>
  <c r="A631" i="2" s="1"/>
  <c r="G632" i="2"/>
  <c r="A632" i="2" s="1"/>
  <c r="G633" i="2"/>
  <c r="A633" i="2" s="1"/>
  <c r="G634" i="2"/>
  <c r="A634" i="2" s="1"/>
  <c r="G635" i="2"/>
  <c r="A635" i="2" s="1"/>
  <c r="G636" i="2"/>
  <c r="A636" i="2" s="1"/>
  <c r="G637" i="2"/>
  <c r="A637" i="2" s="1"/>
  <c r="G638" i="2"/>
  <c r="A638" i="2" s="1"/>
  <c r="G639" i="2"/>
  <c r="A639" i="2" s="1"/>
  <c r="G640" i="2"/>
  <c r="A640" i="2" s="1"/>
  <c r="G641" i="2"/>
  <c r="A641" i="2" s="1"/>
  <c r="G642" i="2"/>
  <c r="A642" i="2" s="1"/>
  <c r="G643" i="2"/>
  <c r="A643" i="2" s="1"/>
  <c r="G644" i="2"/>
  <c r="A644" i="2" s="1"/>
  <c r="G645" i="2"/>
  <c r="A645" i="2" s="1"/>
  <c r="G646" i="2"/>
  <c r="A646" i="2" s="1"/>
  <c r="G647" i="2"/>
  <c r="A647" i="2" s="1"/>
  <c r="G648" i="2"/>
  <c r="A648" i="2" s="1"/>
  <c r="G649" i="2"/>
  <c r="A649" i="2" s="1"/>
  <c r="G650" i="2"/>
  <c r="A650" i="2" s="1"/>
  <c r="G651" i="2"/>
  <c r="A651" i="2" s="1"/>
  <c r="G652" i="2"/>
  <c r="A652" i="2" s="1"/>
  <c r="G653" i="2"/>
  <c r="A653" i="2" s="1"/>
  <c r="G654" i="2"/>
  <c r="A654" i="2" s="1"/>
  <c r="G655" i="2"/>
  <c r="A655" i="2" s="1"/>
  <c r="G656" i="2"/>
  <c r="A656" i="2" s="1"/>
  <c r="G657" i="2"/>
  <c r="A657" i="2" s="1"/>
  <c r="G658" i="2"/>
  <c r="A658" i="2" s="1"/>
  <c r="G659" i="2"/>
  <c r="A659" i="2" s="1"/>
  <c r="G660" i="2"/>
  <c r="A660" i="2" s="1"/>
  <c r="G661" i="2"/>
  <c r="A661" i="2" s="1"/>
  <c r="G662" i="2"/>
  <c r="A662" i="2" s="1"/>
  <c r="G663" i="2"/>
  <c r="A663" i="2" s="1"/>
  <c r="G664" i="2"/>
  <c r="A664" i="2" s="1"/>
  <c r="G665" i="2"/>
  <c r="A665" i="2" s="1"/>
  <c r="G666" i="2"/>
  <c r="A666" i="2" s="1"/>
  <c r="G667" i="2"/>
  <c r="A667" i="2" s="1"/>
  <c r="G668" i="2"/>
  <c r="A668" i="2" s="1"/>
  <c r="G669" i="2"/>
  <c r="A669" i="2" s="1"/>
  <c r="G670" i="2"/>
  <c r="A670" i="2" s="1"/>
  <c r="G671" i="2"/>
  <c r="A671" i="2" s="1"/>
  <c r="G672" i="2"/>
  <c r="A672" i="2" s="1"/>
  <c r="G673" i="2"/>
  <c r="A673" i="2" s="1"/>
  <c r="G674" i="2"/>
  <c r="A674" i="2" s="1"/>
  <c r="G675" i="2"/>
  <c r="A675" i="2" s="1"/>
  <c r="G676" i="2"/>
  <c r="A676" i="2" s="1"/>
  <c r="G677" i="2"/>
  <c r="A677" i="2" s="1"/>
  <c r="G678" i="2"/>
  <c r="A678" i="2" s="1"/>
  <c r="G679" i="2"/>
  <c r="A679" i="2" s="1"/>
  <c r="G680" i="2"/>
  <c r="A680" i="2" s="1"/>
  <c r="G681" i="2"/>
  <c r="A681" i="2" s="1"/>
  <c r="G682" i="2"/>
  <c r="A682" i="2" s="1"/>
  <c r="G683" i="2"/>
  <c r="A683" i="2" s="1"/>
  <c r="G684" i="2"/>
  <c r="A684" i="2" s="1"/>
  <c r="G685" i="2"/>
  <c r="A685" i="2" s="1"/>
  <c r="G686" i="2"/>
  <c r="A686" i="2" s="1"/>
  <c r="G687" i="2"/>
  <c r="A687" i="2" s="1"/>
  <c r="G688" i="2"/>
  <c r="A688" i="2" s="1"/>
  <c r="G689" i="2"/>
  <c r="A689" i="2" s="1"/>
  <c r="G690" i="2"/>
  <c r="A690" i="2" s="1"/>
  <c r="G691" i="2"/>
  <c r="A691" i="2" s="1"/>
  <c r="G692" i="2"/>
  <c r="A692" i="2" s="1"/>
  <c r="G693" i="2"/>
  <c r="A693" i="2" s="1"/>
  <c r="G694" i="2"/>
  <c r="A694" i="2" s="1"/>
  <c r="G695" i="2"/>
  <c r="A695" i="2" s="1"/>
  <c r="G696" i="2"/>
  <c r="A696" i="2" s="1"/>
  <c r="G697" i="2"/>
  <c r="A697" i="2" s="1"/>
  <c r="G698" i="2"/>
  <c r="A698" i="2" s="1"/>
  <c r="G699" i="2"/>
  <c r="A699" i="2" s="1"/>
  <c r="G700" i="2"/>
  <c r="A700" i="2" s="1"/>
  <c r="G701" i="2"/>
  <c r="A701" i="2" s="1"/>
  <c r="G702" i="2"/>
  <c r="A702" i="2" s="1"/>
  <c r="G703" i="2"/>
  <c r="A703" i="2" s="1"/>
  <c r="G704" i="2"/>
  <c r="A704" i="2" s="1"/>
  <c r="G705" i="2"/>
  <c r="A705" i="2" s="1"/>
  <c r="G706" i="2"/>
  <c r="A706" i="2" s="1"/>
  <c r="G707" i="2"/>
  <c r="A707" i="2" s="1"/>
  <c r="G708" i="2"/>
  <c r="A708" i="2" s="1"/>
  <c r="G709" i="2"/>
  <c r="A709" i="2" s="1"/>
  <c r="G710" i="2"/>
  <c r="A710" i="2" s="1"/>
  <c r="G711" i="2"/>
  <c r="A711" i="2" s="1"/>
  <c r="G712" i="2"/>
  <c r="A712" i="2" s="1"/>
  <c r="G713" i="2"/>
  <c r="A713" i="2" s="1"/>
  <c r="G714" i="2"/>
  <c r="A714" i="2" s="1"/>
  <c r="G715" i="2"/>
  <c r="A715" i="2" s="1"/>
  <c r="G716" i="2"/>
  <c r="A716" i="2" s="1"/>
  <c r="G717" i="2"/>
  <c r="A717" i="2" s="1"/>
  <c r="G718" i="2"/>
  <c r="A718" i="2" s="1"/>
  <c r="G719" i="2"/>
  <c r="A719" i="2" s="1"/>
  <c r="G720" i="2"/>
  <c r="A720" i="2" s="1"/>
  <c r="G721" i="2"/>
  <c r="A721" i="2" s="1"/>
  <c r="G722" i="2"/>
  <c r="A722" i="2" s="1"/>
  <c r="G723" i="2"/>
  <c r="A723" i="2" s="1"/>
  <c r="G724" i="2"/>
  <c r="A724" i="2" s="1"/>
  <c r="G725" i="2"/>
  <c r="A725" i="2" s="1"/>
  <c r="G726" i="2"/>
  <c r="A726" i="2" s="1"/>
  <c r="G727" i="2"/>
  <c r="A727" i="2" s="1"/>
  <c r="G728" i="2"/>
  <c r="A728" i="2" s="1"/>
  <c r="G729" i="2"/>
  <c r="A729" i="2" s="1"/>
  <c r="G730" i="2"/>
  <c r="A730" i="2" s="1"/>
  <c r="G731" i="2"/>
  <c r="A731" i="2" s="1"/>
  <c r="G732" i="2"/>
  <c r="A732" i="2" s="1"/>
  <c r="G733" i="2"/>
  <c r="A733" i="2" s="1"/>
  <c r="G734" i="2"/>
  <c r="A734" i="2" s="1"/>
  <c r="G735" i="2"/>
  <c r="A735" i="2" s="1"/>
  <c r="G736" i="2"/>
  <c r="A736" i="2" s="1"/>
  <c r="G737" i="2"/>
  <c r="A737" i="2" s="1"/>
  <c r="G738" i="2"/>
  <c r="A738" i="2" s="1"/>
  <c r="G739" i="2"/>
  <c r="A739" i="2" s="1"/>
  <c r="G740" i="2"/>
  <c r="A740" i="2" s="1"/>
  <c r="G741" i="2"/>
  <c r="A741" i="2" s="1"/>
  <c r="G742" i="2"/>
  <c r="A742" i="2" s="1"/>
  <c r="G743" i="2"/>
  <c r="A743" i="2" s="1"/>
  <c r="G744" i="2"/>
  <c r="A744" i="2" s="1"/>
  <c r="G745" i="2"/>
  <c r="A745" i="2" s="1"/>
  <c r="G746" i="2"/>
  <c r="A746" i="2" s="1"/>
  <c r="G747" i="2"/>
  <c r="A747" i="2" s="1"/>
  <c r="G748" i="2"/>
  <c r="A748" i="2" s="1"/>
  <c r="G749" i="2"/>
  <c r="A749" i="2" s="1"/>
  <c r="G750" i="2"/>
  <c r="A750" i="2" s="1"/>
  <c r="G751" i="2"/>
  <c r="A751" i="2" s="1"/>
  <c r="G752" i="2"/>
  <c r="A752" i="2" s="1"/>
  <c r="G753" i="2"/>
  <c r="A753" i="2" s="1"/>
  <c r="G754" i="2"/>
  <c r="A754" i="2" s="1"/>
  <c r="G755" i="2"/>
  <c r="A755" i="2" s="1"/>
  <c r="G756" i="2"/>
  <c r="A756" i="2" s="1"/>
  <c r="G757" i="2"/>
  <c r="A757" i="2" s="1"/>
  <c r="G758" i="2"/>
  <c r="A758" i="2" s="1"/>
  <c r="G759" i="2"/>
  <c r="A759" i="2" s="1"/>
  <c r="G760" i="2"/>
  <c r="A760" i="2" s="1"/>
  <c r="G761" i="2"/>
  <c r="A761" i="2" s="1"/>
  <c r="G762" i="2"/>
  <c r="A762" i="2" s="1"/>
  <c r="G763" i="2"/>
  <c r="A763" i="2" s="1"/>
  <c r="G764" i="2"/>
  <c r="A764" i="2" s="1"/>
  <c r="G765" i="2"/>
  <c r="A765" i="2" s="1"/>
  <c r="G766" i="2"/>
  <c r="A766" i="2" s="1"/>
  <c r="G767" i="2"/>
  <c r="A767" i="2" s="1"/>
  <c r="G768" i="2"/>
  <c r="A768" i="2" s="1"/>
  <c r="G769" i="2"/>
  <c r="A769" i="2" s="1"/>
  <c r="G770" i="2"/>
  <c r="A770" i="2" s="1"/>
  <c r="G771" i="2"/>
  <c r="A771" i="2" s="1"/>
  <c r="G772" i="2"/>
  <c r="A772" i="2" s="1"/>
  <c r="G773" i="2"/>
  <c r="A773" i="2" s="1"/>
  <c r="G774" i="2"/>
  <c r="A774" i="2" s="1"/>
  <c r="G775" i="2"/>
  <c r="A775" i="2" s="1"/>
  <c r="G776" i="2"/>
  <c r="A776" i="2" s="1"/>
  <c r="G777" i="2"/>
  <c r="A777" i="2" s="1"/>
  <c r="G778" i="2"/>
  <c r="A778" i="2" s="1"/>
  <c r="G779" i="2"/>
  <c r="A779" i="2" s="1"/>
  <c r="G780" i="2"/>
  <c r="A780" i="2" s="1"/>
  <c r="G781" i="2"/>
  <c r="A781" i="2" s="1"/>
  <c r="G782" i="2"/>
  <c r="A782" i="2" s="1"/>
  <c r="G783" i="2"/>
  <c r="A783" i="2" s="1"/>
  <c r="G784" i="2"/>
  <c r="A784" i="2" s="1"/>
  <c r="G785" i="2"/>
  <c r="A785" i="2" s="1"/>
  <c r="G786" i="2"/>
  <c r="A786" i="2" s="1"/>
  <c r="G787" i="2"/>
  <c r="A787" i="2" s="1"/>
  <c r="G788" i="2"/>
  <c r="A788" i="2" s="1"/>
  <c r="G789" i="2"/>
  <c r="A789" i="2" s="1"/>
  <c r="G790" i="2"/>
  <c r="A790" i="2" s="1"/>
  <c r="G791" i="2"/>
  <c r="A791" i="2" s="1"/>
  <c r="G792" i="2"/>
  <c r="A792" i="2" s="1"/>
  <c r="G793" i="2"/>
  <c r="A793" i="2" s="1"/>
  <c r="G794" i="2"/>
  <c r="A794" i="2" s="1"/>
  <c r="G795" i="2"/>
  <c r="A795" i="2" s="1"/>
  <c r="G796" i="2"/>
  <c r="A796" i="2" s="1"/>
  <c r="G797" i="2"/>
  <c r="A797" i="2" s="1"/>
  <c r="G798" i="2"/>
  <c r="A798" i="2" s="1"/>
  <c r="G799" i="2"/>
  <c r="A799" i="2" s="1"/>
  <c r="G800" i="2"/>
  <c r="A800" i="2" s="1"/>
  <c r="G801" i="2"/>
  <c r="A801" i="2" s="1"/>
  <c r="G802" i="2"/>
  <c r="A802" i="2" s="1"/>
  <c r="G803" i="2"/>
  <c r="A803" i="2" s="1"/>
  <c r="G804" i="2"/>
  <c r="A804" i="2" s="1"/>
  <c r="G805" i="2"/>
  <c r="A805" i="2" s="1"/>
  <c r="G806" i="2"/>
  <c r="A806" i="2" s="1"/>
  <c r="G807" i="2"/>
  <c r="A807" i="2" s="1"/>
  <c r="G808" i="2"/>
  <c r="A808" i="2" s="1"/>
  <c r="G809" i="2"/>
  <c r="A809" i="2" s="1"/>
  <c r="G810" i="2"/>
  <c r="A810" i="2" s="1"/>
  <c r="G811" i="2"/>
  <c r="A811" i="2" s="1"/>
  <c r="G812" i="2"/>
  <c r="A812" i="2" s="1"/>
  <c r="G813" i="2"/>
  <c r="A813" i="2" s="1"/>
  <c r="G814" i="2"/>
  <c r="A814" i="2" s="1"/>
  <c r="G815" i="2"/>
  <c r="A815" i="2" s="1"/>
  <c r="G816" i="2"/>
  <c r="A816" i="2" s="1"/>
  <c r="G817" i="2"/>
  <c r="A817" i="2" s="1"/>
  <c r="G818" i="2"/>
  <c r="A818" i="2" s="1"/>
  <c r="G819" i="2"/>
  <c r="A819" i="2" s="1"/>
  <c r="G820" i="2"/>
  <c r="A820" i="2" s="1"/>
  <c r="G821" i="2"/>
  <c r="A821" i="2" s="1"/>
  <c r="G822" i="2"/>
  <c r="A822" i="2" s="1"/>
  <c r="G823" i="2"/>
  <c r="A823" i="2" s="1"/>
  <c r="G824" i="2"/>
  <c r="A824" i="2" s="1"/>
  <c r="G825" i="2"/>
  <c r="A825" i="2" s="1"/>
  <c r="G826" i="2"/>
  <c r="A826" i="2" s="1"/>
  <c r="G827" i="2"/>
  <c r="A827" i="2" s="1"/>
  <c r="G828" i="2"/>
  <c r="A828" i="2" s="1"/>
  <c r="G829" i="2"/>
  <c r="A829" i="2" s="1"/>
  <c r="G830" i="2"/>
  <c r="A830" i="2" s="1"/>
  <c r="G831" i="2"/>
  <c r="A831" i="2" s="1"/>
  <c r="G832" i="2"/>
  <c r="A832" i="2" s="1"/>
  <c r="G833" i="2"/>
  <c r="A833" i="2" s="1"/>
  <c r="G834" i="2"/>
  <c r="A834" i="2" s="1"/>
  <c r="G835" i="2"/>
  <c r="A835" i="2" s="1"/>
  <c r="G836" i="2"/>
  <c r="A836" i="2" s="1"/>
  <c r="G837" i="2"/>
  <c r="A837" i="2" s="1"/>
  <c r="G838" i="2"/>
  <c r="A838" i="2" s="1"/>
  <c r="G839" i="2"/>
  <c r="A839" i="2" s="1"/>
  <c r="G840" i="2"/>
  <c r="A840" i="2" s="1"/>
  <c r="G841" i="2"/>
  <c r="A841" i="2" s="1"/>
  <c r="G842" i="2"/>
  <c r="A842" i="2" s="1"/>
  <c r="G843" i="2"/>
  <c r="A843" i="2" s="1"/>
  <c r="G844" i="2"/>
  <c r="A844" i="2" s="1"/>
  <c r="G845" i="2"/>
  <c r="A845" i="2" s="1"/>
  <c r="G846" i="2"/>
  <c r="A846" i="2" s="1"/>
  <c r="G847" i="2"/>
  <c r="A847" i="2" s="1"/>
  <c r="G848" i="2"/>
  <c r="A848" i="2" s="1"/>
  <c r="G849" i="2"/>
  <c r="A849" i="2" s="1"/>
  <c r="G850" i="2"/>
  <c r="A850" i="2" s="1"/>
  <c r="G851" i="2"/>
  <c r="A851" i="2" s="1"/>
  <c r="G852" i="2"/>
  <c r="A852" i="2" s="1"/>
  <c r="G853" i="2"/>
  <c r="A853" i="2" s="1"/>
  <c r="G854" i="2"/>
  <c r="A854" i="2" s="1"/>
  <c r="G855" i="2"/>
  <c r="A855" i="2" s="1"/>
  <c r="G856" i="2"/>
  <c r="A856" i="2" s="1"/>
  <c r="G857" i="2"/>
  <c r="A857" i="2" s="1"/>
  <c r="G858" i="2"/>
  <c r="A858" i="2" s="1"/>
  <c r="G859" i="2"/>
  <c r="A859" i="2" s="1"/>
  <c r="G860" i="2"/>
  <c r="A860" i="2" s="1"/>
  <c r="G861" i="2"/>
  <c r="A861" i="2" s="1"/>
  <c r="G862" i="2"/>
  <c r="A862" i="2" s="1"/>
  <c r="G863" i="2"/>
  <c r="A863" i="2" s="1"/>
  <c r="G864" i="2"/>
  <c r="A864" i="2" s="1"/>
  <c r="G865" i="2"/>
  <c r="A865" i="2" s="1"/>
  <c r="G866" i="2"/>
  <c r="A866" i="2" s="1"/>
  <c r="G867" i="2"/>
  <c r="A867" i="2" s="1"/>
  <c r="G868" i="2"/>
  <c r="A868" i="2" s="1"/>
  <c r="G869" i="2"/>
  <c r="A869" i="2" s="1"/>
  <c r="G870" i="2"/>
  <c r="A870" i="2" s="1"/>
  <c r="G871" i="2"/>
  <c r="A871" i="2" s="1"/>
  <c r="G872" i="2"/>
  <c r="A872" i="2" s="1"/>
  <c r="G873" i="2"/>
  <c r="A873" i="2" s="1"/>
  <c r="G874" i="2"/>
  <c r="A874" i="2" s="1"/>
  <c r="G875" i="2"/>
  <c r="A875" i="2" s="1"/>
  <c r="G876" i="2"/>
  <c r="A876" i="2" s="1"/>
  <c r="G877" i="2"/>
  <c r="A877" i="2" s="1"/>
  <c r="G878" i="2"/>
  <c r="A878" i="2" s="1"/>
  <c r="G879" i="2"/>
  <c r="A879" i="2" s="1"/>
  <c r="G880" i="2"/>
  <c r="A880" i="2" s="1"/>
  <c r="G881" i="2"/>
  <c r="A881" i="2" s="1"/>
  <c r="G882" i="2"/>
  <c r="A882" i="2" s="1"/>
  <c r="G883" i="2"/>
  <c r="A883" i="2" s="1"/>
  <c r="G884" i="2"/>
  <c r="A884" i="2" s="1"/>
  <c r="G885" i="2"/>
  <c r="A885" i="2" s="1"/>
  <c r="G886" i="2"/>
  <c r="A886" i="2" s="1"/>
  <c r="G887" i="2"/>
  <c r="A887" i="2" s="1"/>
  <c r="G888" i="2"/>
  <c r="A888" i="2" s="1"/>
  <c r="G889" i="2"/>
  <c r="A889" i="2" s="1"/>
  <c r="G890" i="2"/>
  <c r="A890" i="2" s="1"/>
  <c r="G891" i="2"/>
  <c r="A891" i="2" s="1"/>
  <c r="G892" i="2"/>
  <c r="A892" i="2" s="1"/>
  <c r="G893" i="2"/>
  <c r="A893" i="2" s="1"/>
  <c r="G894" i="2"/>
  <c r="A894" i="2" s="1"/>
  <c r="G895" i="2"/>
  <c r="A895" i="2" s="1"/>
  <c r="G896" i="2"/>
  <c r="A896" i="2" s="1"/>
  <c r="G897" i="2"/>
  <c r="A897" i="2" s="1"/>
  <c r="G898" i="2"/>
  <c r="A898" i="2" s="1"/>
  <c r="G899" i="2"/>
  <c r="A899" i="2" s="1"/>
  <c r="G900" i="2"/>
  <c r="A900" i="2" s="1"/>
  <c r="G901" i="2"/>
  <c r="A901" i="2" s="1"/>
  <c r="G902" i="2"/>
  <c r="A902" i="2" s="1"/>
  <c r="G903" i="2"/>
  <c r="A903" i="2" s="1"/>
  <c r="G904" i="2"/>
  <c r="A904" i="2" s="1"/>
  <c r="G905" i="2"/>
  <c r="A905" i="2" s="1"/>
  <c r="G906" i="2"/>
  <c r="A906" i="2" s="1"/>
  <c r="G907" i="2"/>
  <c r="A907" i="2" s="1"/>
  <c r="G908" i="2"/>
  <c r="A908" i="2" s="1"/>
  <c r="G909" i="2"/>
  <c r="A909" i="2" s="1"/>
  <c r="G910" i="2"/>
  <c r="A910" i="2" s="1"/>
  <c r="G911" i="2"/>
  <c r="A911" i="2" s="1"/>
  <c r="G912" i="2"/>
  <c r="A912" i="2" s="1"/>
  <c r="G913" i="2"/>
  <c r="A913" i="2" s="1"/>
  <c r="G914" i="2"/>
  <c r="A914" i="2" s="1"/>
  <c r="G915" i="2"/>
  <c r="A915" i="2" s="1"/>
  <c r="G916" i="2"/>
  <c r="A916" i="2" s="1"/>
  <c r="G917" i="2"/>
  <c r="A917" i="2" s="1"/>
  <c r="G918" i="2"/>
  <c r="A918" i="2" s="1"/>
  <c r="G919" i="2"/>
  <c r="A919" i="2" s="1"/>
  <c r="G920" i="2"/>
  <c r="A920" i="2" s="1"/>
  <c r="G921" i="2"/>
  <c r="A921" i="2" s="1"/>
  <c r="G922" i="2"/>
  <c r="A922" i="2" s="1"/>
  <c r="G923" i="2"/>
  <c r="A923" i="2" s="1"/>
  <c r="G924" i="2"/>
  <c r="A924" i="2" s="1"/>
  <c r="G925" i="2"/>
  <c r="A925" i="2" s="1"/>
  <c r="G926" i="2"/>
  <c r="A926" i="2" s="1"/>
  <c r="G927" i="2"/>
  <c r="A927" i="2" s="1"/>
  <c r="G928" i="2"/>
  <c r="A928" i="2" s="1"/>
  <c r="G929" i="2"/>
  <c r="A929" i="2" s="1"/>
  <c r="G930" i="2"/>
  <c r="A930" i="2" s="1"/>
  <c r="G931" i="2"/>
  <c r="A931" i="2" s="1"/>
  <c r="G932" i="2"/>
  <c r="A932" i="2" s="1"/>
  <c r="G933" i="2"/>
  <c r="A933" i="2" s="1"/>
  <c r="G934" i="2"/>
  <c r="A934" i="2" s="1"/>
  <c r="G935" i="2"/>
  <c r="A935" i="2" s="1"/>
  <c r="G936" i="2"/>
  <c r="A936" i="2" s="1"/>
  <c r="G937" i="2"/>
  <c r="A937" i="2" s="1"/>
  <c r="G938" i="2"/>
  <c r="A938" i="2" s="1"/>
  <c r="G939" i="2"/>
  <c r="A939" i="2" s="1"/>
  <c r="G940" i="2"/>
  <c r="A940" i="2" s="1"/>
  <c r="G941" i="2"/>
  <c r="A941" i="2" s="1"/>
  <c r="G942" i="2"/>
  <c r="A942" i="2" s="1"/>
  <c r="G943" i="2"/>
  <c r="A943" i="2" s="1"/>
  <c r="G944" i="2"/>
  <c r="A944" i="2" s="1"/>
  <c r="G945" i="2"/>
  <c r="A945" i="2" s="1"/>
  <c r="G946" i="2"/>
  <c r="A946" i="2" s="1"/>
  <c r="G947" i="2"/>
  <c r="A947" i="2" s="1"/>
  <c r="G948" i="2"/>
  <c r="A948" i="2" s="1"/>
  <c r="G949" i="2"/>
  <c r="A949" i="2" s="1"/>
  <c r="G950" i="2"/>
  <c r="A950" i="2" s="1"/>
  <c r="G951" i="2"/>
  <c r="A951" i="2" s="1"/>
  <c r="G952" i="2"/>
  <c r="A952" i="2" s="1"/>
  <c r="G953" i="2"/>
  <c r="A953" i="2" s="1"/>
  <c r="G954" i="2"/>
  <c r="A954" i="2" s="1"/>
  <c r="G955" i="2"/>
  <c r="A955" i="2" s="1"/>
  <c r="G956" i="2"/>
  <c r="A956" i="2" s="1"/>
  <c r="G957" i="2"/>
  <c r="A957" i="2" s="1"/>
  <c r="G958" i="2"/>
  <c r="A958" i="2" s="1"/>
  <c r="G959" i="2"/>
  <c r="A959" i="2" s="1"/>
  <c r="G960" i="2"/>
  <c r="A960" i="2" s="1"/>
  <c r="G961" i="2"/>
  <c r="A961" i="2" s="1"/>
  <c r="G962" i="2"/>
  <c r="A962" i="2" s="1"/>
  <c r="G963" i="2"/>
  <c r="A963" i="2" s="1"/>
  <c r="G964" i="2"/>
  <c r="A964" i="2" s="1"/>
  <c r="G965" i="2"/>
  <c r="A965" i="2" s="1"/>
  <c r="G966" i="2"/>
  <c r="A966" i="2" s="1"/>
  <c r="G967" i="2"/>
  <c r="A967" i="2" s="1"/>
  <c r="G968" i="2"/>
  <c r="A968" i="2" s="1"/>
  <c r="G969" i="2"/>
  <c r="A969" i="2" s="1"/>
  <c r="G970" i="2"/>
  <c r="A970" i="2" s="1"/>
  <c r="G971" i="2"/>
  <c r="A971" i="2" s="1"/>
  <c r="G972" i="2"/>
  <c r="A972" i="2" s="1"/>
  <c r="G973" i="2"/>
  <c r="A973" i="2" s="1"/>
  <c r="G974" i="2"/>
  <c r="A974" i="2" s="1"/>
  <c r="G975" i="2"/>
  <c r="A975" i="2" s="1"/>
  <c r="G976" i="2"/>
  <c r="A976" i="2" s="1"/>
  <c r="G977" i="2"/>
  <c r="A977" i="2" s="1"/>
  <c r="G978" i="2"/>
  <c r="A978" i="2" s="1"/>
  <c r="G979" i="2"/>
  <c r="A979" i="2" s="1"/>
  <c r="G980" i="2"/>
  <c r="A980" i="2" s="1"/>
  <c r="G981" i="2"/>
  <c r="A981" i="2" s="1"/>
  <c r="G982" i="2"/>
  <c r="A982" i="2" s="1"/>
  <c r="G983" i="2"/>
  <c r="A983" i="2" s="1"/>
  <c r="G984" i="2"/>
  <c r="A984" i="2" s="1"/>
  <c r="G985" i="2"/>
  <c r="A985" i="2" s="1"/>
  <c r="G986" i="2"/>
  <c r="A986" i="2" s="1"/>
  <c r="G987" i="2"/>
  <c r="A987" i="2" s="1"/>
  <c r="G988" i="2"/>
  <c r="A988" i="2" s="1"/>
  <c r="G989" i="2"/>
  <c r="A989" i="2" s="1"/>
  <c r="G990" i="2"/>
  <c r="A990" i="2" s="1"/>
  <c r="G991" i="2"/>
  <c r="A991" i="2" s="1"/>
  <c r="G992" i="2"/>
  <c r="A992" i="2" s="1"/>
  <c r="G993" i="2"/>
  <c r="A993" i="2" s="1"/>
  <c r="G994" i="2"/>
  <c r="A994" i="2" s="1"/>
  <c r="G995" i="2"/>
  <c r="A995" i="2" s="1"/>
  <c r="G996" i="2"/>
  <c r="A996" i="2" s="1"/>
  <c r="G997" i="2"/>
  <c r="A997" i="2" s="1"/>
  <c r="G998" i="2"/>
  <c r="A998" i="2" s="1"/>
  <c r="G999" i="2"/>
  <c r="A999" i="2" s="1"/>
  <c r="G1000" i="2"/>
  <c r="A1000" i="2" s="1"/>
  <c r="G1001" i="2"/>
  <c r="A1001" i="2" s="1"/>
  <c r="E630" i="2" a="1"/>
  <c r="E631" i="2" a="1"/>
  <c r="E632" i="2" a="1"/>
  <c r="E633" i="2" a="1"/>
  <c r="E634" i="2" a="1"/>
  <c r="E635" i="2" a="1"/>
  <c r="E636" i="2" a="1"/>
  <c r="E637" i="2" a="1"/>
  <c r="E638" i="2" a="1"/>
  <c r="E639" i="2" a="1"/>
  <c r="E640" i="2" a="1"/>
  <c r="E641" i="2" a="1"/>
  <c r="E642" i="2" a="1"/>
  <c r="E643" i="2" a="1"/>
  <c r="E644" i="2" a="1"/>
  <c r="E645" i="2" a="1"/>
  <c r="E646" i="2" a="1"/>
  <c r="E647" i="2" a="1"/>
  <c r="E648" i="2" a="1"/>
  <c r="E649" i="2" a="1"/>
  <c r="E650" i="2" a="1"/>
  <c r="E651" i="2" a="1"/>
  <c r="E652" i="2" a="1"/>
  <c r="E653" i="2" a="1"/>
  <c r="E654" i="2" a="1"/>
  <c r="E655" i="2" a="1"/>
  <c r="E656" i="2" a="1"/>
  <c r="E657" i="2" a="1"/>
  <c r="E658" i="2" a="1"/>
  <c r="E659" i="2" a="1"/>
  <c r="E660" i="2" a="1"/>
  <c r="E661" i="2" a="1"/>
  <c r="E662" i="2" a="1"/>
  <c r="E663" i="2" a="1"/>
  <c r="E664" i="2" a="1"/>
  <c r="E665" i="2" a="1"/>
  <c r="E666" i="2" a="1"/>
  <c r="E667" i="2" a="1"/>
  <c r="E668" i="2" a="1"/>
  <c r="E669" i="2" a="1"/>
  <c r="E670" i="2" a="1"/>
  <c r="E671" i="2" a="1"/>
  <c r="E672" i="2" a="1"/>
  <c r="E673" i="2" a="1"/>
  <c r="E674" i="2" a="1"/>
  <c r="E675" i="2" a="1"/>
  <c r="E676" i="2" a="1"/>
  <c r="E677" i="2" a="1"/>
  <c r="E678" i="2" a="1"/>
  <c r="E679" i="2" a="1"/>
  <c r="E680" i="2" a="1"/>
  <c r="E681" i="2" a="1"/>
  <c r="E682" i="2" a="1"/>
  <c r="E683" i="2" a="1"/>
  <c r="E684" i="2" a="1"/>
  <c r="E685" i="2" a="1"/>
  <c r="E686" i="2" a="1"/>
  <c r="E687" i="2" a="1"/>
  <c r="E688" i="2" a="1"/>
  <c r="E689" i="2" a="1"/>
  <c r="E690" i="2" a="1"/>
  <c r="E691" i="2" a="1"/>
  <c r="E692" i="2" a="1"/>
  <c r="E693" i="2" a="1"/>
  <c r="E694" i="2" a="1"/>
  <c r="E695" i="2" a="1"/>
  <c r="E696" i="2" a="1"/>
  <c r="E697" i="2" a="1"/>
  <c r="E698" i="2" a="1"/>
  <c r="E699" i="2" a="1"/>
  <c r="E700" i="2" a="1"/>
  <c r="E701" i="2" a="1"/>
  <c r="E702" i="2" a="1"/>
  <c r="E703" i="2" a="1"/>
  <c r="E704" i="2" a="1"/>
  <c r="E705" i="2" a="1"/>
  <c r="E706" i="2" a="1"/>
  <c r="E707" i="2" a="1"/>
  <c r="E708" i="2" a="1"/>
  <c r="E709" i="2" a="1"/>
  <c r="E710" i="2" a="1"/>
  <c r="E711" i="2" a="1"/>
  <c r="E712" i="2" a="1"/>
  <c r="E713" i="2" a="1"/>
  <c r="E714" i="2" a="1"/>
  <c r="E715" i="2" a="1"/>
  <c r="E716" i="2" a="1"/>
  <c r="E717" i="2" a="1"/>
  <c r="E718" i="2" a="1"/>
  <c r="E719" i="2" a="1"/>
  <c r="E720" i="2" a="1"/>
  <c r="E721" i="2" a="1"/>
  <c r="E722" i="2" a="1"/>
  <c r="E723" i="2" a="1"/>
  <c r="E724" i="2" a="1"/>
  <c r="E725" i="2" a="1"/>
  <c r="E726" i="2" a="1"/>
  <c r="E727" i="2" a="1"/>
  <c r="E728" i="2" a="1"/>
  <c r="E729" i="2" a="1"/>
  <c r="E730" i="2" a="1"/>
  <c r="E731" i="2" a="1"/>
  <c r="E732" i="2" a="1"/>
  <c r="E733" i="2" a="1"/>
  <c r="E734" i="2" a="1"/>
  <c r="E735" i="2" a="1"/>
  <c r="E736" i="2" a="1"/>
  <c r="E737" i="2" a="1"/>
  <c r="E738" i="2" a="1"/>
  <c r="E739" i="2" a="1"/>
  <c r="E740" i="2" a="1"/>
  <c r="E741" i="2" a="1"/>
  <c r="E742" i="2" a="1"/>
  <c r="E743" i="2" a="1"/>
  <c r="E744" i="2" a="1"/>
  <c r="E745" i="2" a="1"/>
  <c r="E746" i="2" a="1"/>
  <c r="E747" i="2" a="1"/>
  <c r="E748" i="2" a="1"/>
  <c r="E749" i="2" a="1"/>
  <c r="E750" i="2" a="1"/>
  <c r="E751" i="2" a="1"/>
  <c r="E752" i="2" a="1"/>
  <c r="E753" i="2" a="1"/>
  <c r="E754" i="2" a="1"/>
  <c r="E755" i="2" a="1"/>
  <c r="E756" i="2" a="1"/>
  <c r="E757" i="2" a="1"/>
  <c r="E758" i="2" a="1"/>
  <c r="E759" i="2" a="1"/>
  <c r="E760" i="2" a="1"/>
  <c r="E761" i="2" a="1"/>
  <c r="E762" i="2" a="1"/>
  <c r="E763" i="2" a="1"/>
  <c r="E764" i="2" a="1"/>
  <c r="E765" i="2" a="1"/>
  <c r="E766" i="2" a="1"/>
  <c r="E767" i="2" a="1"/>
  <c r="E768" i="2" a="1"/>
  <c r="E769" i="2" a="1"/>
  <c r="E770" i="2" a="1"/>
  <c r="E771" i="2" a="1"/>
  <c r="E772" i="2" a="1"/>
  <c r="E773" i="2" a="1"/>
  <c r="E774" i="2" a="1"/>
  <c r="E775" i="2" a="1"/>
  <c r="E776" i="2" a="1"/>
  <c r="E777" i="2" a="1"/>
  <c r="E778" i="2" a="1"/>
  <c r="E779" i="2" a="1"/>
  <c r="E780" i="2" a="1"/>
  <c r="E781" i="2" a="1"/>
  <c r="E782" i="2" a="1"/>
  <c r="E783" i="2" a="1"/>
  <c r="E784" i="2" a="1"/>
  <c r="E785" i="2" a="1"/>
  <c r="E786" i="2" a="1"/>
  <c r="E787" i="2" a="1"/>
  <c r="E788" i="2" a="1"/>
  <c r="E789" i="2" a="1"/>
  <c r="E790" i="2" a="1"/>
  <c r="E791" i="2" a="1"/>
  <c r="E792" i="2" a="1"/>
  <c r="E793" i="2" a="1"/>
  <c r="E794" i="2" a="1"/>
  <c r="E795" i="2" a="1"/>
  <c r="E796" i="2" a="1"/>
  <c r="E797" i="2" a="1"/>
  <c r="E798" i="2" a="1"/>
  <c r="E799" i="2" a="1"/>
  <c r="E800" i="2" a="1"/>
  <c r="E801" i="2" a="1"/>
  <c r="E802" i="2" a="1"/>
  <c r="E803" i="2" a="1"/>
  <c r="E804" i="2" a="1"/>
  <c r="E805" i="2" a="1"/>
  <c r="E806" i="2" a="1"/>
  <c r="E807" i="2" a="1"/>
  <c r="E808" i="2" a="1"/>
  <c r="E809" i="2" a="1"/>
  <c r="E810" i="2" a="1"/>
  <c r="E811" i="2" a="1"/>
  <c r="E812" i="2" a="1"/>
  <c r="E813" i="2" a="1"/>
  <c r="E814" i="2" a="1"/>
  <c r="E815" i="2" a="1"/>
  <c r="E816" i="2" a="1"/>
  <c r="E817" i="2" a="1"/>
  <c r="E818" i="2" a="1"/>
  <c r="E819" i="2" a="1"/>
  <c r="E820" i="2" a="1"/>
  <c r="E821" i="2" a="1"/>
  <c r="E822" i="2" a="1"/>
  <c r="E823" i="2" a="1"/>
  <c r="E824" i="2" a="1"/>
  <c r="E825" i="2" a="1"/>
  <c r="E826" i="2" a="1"/>
  <c r="E827" i="2" a="1"/>
  <c r="E828" i="2" a="1"/>
  <c r="E829" i="2" a="1"/>
  <c r="E830" i="2" a="1"/>
  <c r="E831" i="2" a="1"/>
  <c r="E832" i="2" a="1"/>
  <c r="E833" i="2" a="1"/>
  <c r="E834" i="2" a="1"/>
  <c r="E835" i="2" a="1"/>
  <c r="E836" i="2" a="1"/>
  <c r="E837" i="2" a="1"/>
  <c r="E838" i="2" a="1"/>
  <c r="E839" i="2" a="1"/>
  <c r="E840" i="2" a="1"/>
  <c r="E841" i="2" a="1"/>
  <c r="E842" i="2" a="1"/>
  <c r="E843" i="2" a="1"/>
  <c r="E844" i="2" a="1"/>
  <c r="E845" i="2" a="1"/>
  <c r="E846" i="2" a="1"/>
  <c r="E847" i="2" a="1"/>
  <c r="E848" i="2" a="1"/>
  <c r="E849" i="2" a="1"/>
  <c r="E850" i="2" a="1"/>
  <c r="E851" i="2" a="1"/>
  <c r="E852" i="2" a="1"/>
  <c r="E853" i="2" a="1"/>
  <c r="E854" i="2" a="1"/>
  <c r="E855" i="2" a="1"/>
  <c r="E856" i="2" a="1"/>
  <c r="E857" i="2" a="1"/>
  <c r="E858" i="2" a="1"/>
  <c r="E859" i="2" a="1"/>
  <c r="E860" i="2" a="1"/>
  <c r="E861" i="2" a="1"/>
  <c r="E862" i="2" a="1"/>
  <c r="E863" i="2" a="1"/>
  <c r="E864" i="2" a="1"/>
  <c r="E865" i="2" a="1"/>
  <c r="E866" i="2" a="1"/>
  <c r="E867" i="2" a="1"/>
  <c r="E868" i="2" a="1"/>
  <c r="E869" i="2" a="1"/>
  <c r="E870" i="2" a="1"/>
  <c r="E871" i="2" a="1"/>
  <c r="E872" i="2" a="1"/>
  <c r="E873" i="2" a="1"/>
  <c r="E874" i="2" a="1"/>
  <c r="E875" i="2" a="1"/>
  <c r="E876" i="2" a="1"/>
  <c r="E877" i="2" a="1"/>
  <c r="E878" i="2" a="1"/>
  <c r="E879" i="2" a="1"/>
  <c r="E880" i="2" a="1"/>
  <c r="E881" i="2" a="1"/>
  <c r="E882" i="2" a="1"/>
  <c r="E883" i="2" a="1"/>
  <c r="E884" i="2" a="1"/>
  <c r="E885" i="2" a="1"/>
  <c r="E886" i="2" a="1"/>
  <c r="E887" i="2" a="1"/>
  <c r="E888" i="2" a="1"/>
  <c r="E889" i="2" a="1"/>
  <c r="E890" i="2" a="1"/>
  <c r="E891" i="2" a="1"/>
  <c r="E892" i="2" a="1"/>
  <c r="E893" i="2" a="1"/>
  <c r="E894" i="2" a="1"/>
  <c r="E895" i="2" a="1"/>
  <c r="E896" i="2" a="1"/>
  <c r="E897" i="2" a="1"/>
  <c r="E898" i="2" a="1"/>
  <c r="E899" i="2" a="1"/>
  <c r="E900" i="2" a="1"/>
  <c r="E901" i="2" a="1"/>
  <c r="E902" i="2" a="1"/>
  <c r="E903" i="2" a="1"/>
  <c r="E904" i="2" a="1"/>
  <c r="E905" i="2" a="1"/>
  <c r="E906" i="2" a="1"/>
  <c r="E907" i="2" a="1"/>
  <c r="E908" i="2" a="1"/>
  <c r="E909" i="2" a="1"/>
  <c r="E910" i="2" a="1"/>
  <c r="E911" i="2" a="1"/>
  <c r="E912" i="2" a="1"/>
  <c r="E913" i="2" a="1"/>
  <c r="E914" i="2" a="1"/>
  <c r="E915" i="2" a="1"/>
  <c r="E916" i="2" a="1"/>
  <c r="E917" i="2" a="1"/>
  <c r="E918" i="2" a="1"/>
  <c r="E919" i="2" a="1"/>
  <c r="E920" i="2" a="1"/>
  <c r="E921" i="2" a="1"/>
  <c r="E922" i="2" a="1"/>
  <c r="E923" i="2" a="1"/>
  <c r="E924" i="2" a="1"/>
  <c r="E925" i="2" a="1"/>
  <c r="E926" i="2" a="1"/>
  <c r="E927" i="2" a="1"/>
  <c r="E928" i="2" a="1"/>
  <c r="E929" i="2" a="1"/>
  <c r="E930" i="2" a="1"/>
  <c r="E931" i="2" a="1"/>
  <c r="E932" i="2" a="1"/>
  <c r="E933" i="2" a="1"/>
  <c r="E934" i="2" a="1"/>
  <c r="E935" i="2" a="1"/>
  <c r="E936" i="2" a="1"/>
  <c r="E937" i="2" a="1"/>
  <c r="E938" i="2" a="1"/>
  <c r="E939" i="2" a="1"/>
  <c r="E940" i="2" a="1"/>
  <c r="E941" i="2" a="1"/>
  <c r="E942" i="2" a="1"/>
  <c r="E943" i="2" a="1"/>
  <c r="E944" i="2" a="1"/>
  <c r="E945" i="2" a="1"/>
  <c r="E946" i="2" a="1"/>
  <c r="E947" i="2" a="1"/>
  <c r="E948" i="2" a="1"/>
  <c r="E949" i="2" a="1"/>
  <c r="E950" i="2" a="1"/>
  <c r="E951" i="2" a="1"/>
  <c r="E952" i="2" a="1"/>
  <c r="E953" i="2" a="1"/>
  <c r="E954" i="2" a="1"/>
  <c r="E955" i="2" a="1"/>
  <c r="E956" i="2" a="1"/>
  <c r="E957" i="2" a="1"/>
  <c r="E958" i="2" a="1"/>
  <c r="E959" i="2" a="1"/>
  <c r="E960" i="2" a="1"/>
  <c r="E961" i="2" a="1"/>
  <c r="E962" i="2" a="1"/>
  <c r="E963" i="2" a="1"/>
  <c r="E964" i="2" a="1"/>
  <c r="E965" i="2" a="1"/>
  <c r="E966" i="2" a="1"/>
  <c r="E967" i="2" a="1"/>
  <c r="E968" i="2" a="1"/>
  <c r="E969" i="2" a="1"/>
  <c r="E970" i="2" a="1"/>
  <c r="E971" i="2" a="1"/>
  <c r="E972" i="2" a="1"/>
  <c r="E973" i="2" a="1"/>
  <c r="E974" i="2" a="1"/>
  <c r="E975" i="2" a="1"/>
  <c r="E976" i="2" a="1"/>
  <c r="E977" i="2" a="1"/>
  <c r="E978" i="2" a="1"/>
  <c r="E979" i="2" a="1"/>
  <c r="E980" i="2" a="1"/>
  <c r="E981" i="2" a="1"/>
  <c r="E982" i="2" a="1"/>
  <c r="E983" i="2" a="1"/>
  <c r="E984" i="2" a="1"/>
  <c r="E985" i="2" a="1"/>
  <c r="E986" i="2" a="1"/>
  <c r="E987" i="2" a="1"/>
  <c r="E988" i="2" a="1"/>
  <c r="E989" i="2" a="1"/>
  <c r="E990" i="2" a="1"/>
  <c r="E991" i="2" a="1"/>
  <c r="E992" i="2" a="1"/>
  <c r="E993" i="2" a="1"/>
  <c r="E994" i="2" a="1"/>
  <c r="E995" i="2" a="1"/>
  <c r="E996" i="2" a="1"/>
  <c r="E997" i="2" a="1"/>
  <c r="E998" i="2" a="1"/>
  <c r="E999" i="2" a="1"/>
  <c r="E1000" i="2" a="1"/>
  <c r="E1001" i="2" a="1"/>
  <c r="D2" i="2" a="1"/>
  <c r="D3" i="2" a="1"/>
  <c r="D4" i="2" a="1"/>
  <c r="D5" i="2" a="1"/>
  <c r="D6" i="2" a="1"/>
  <c r="D7" i="2" a="1"/>
  <c r="D8" i="2" a="1"/>
  <c r="D9" i="2" a="1"/>
  <c r="D10" i="2" a="1"/>
  <c r="D11" i="2" a="1"/>
  <c r="D12" i="2" a="1"/>
  <c r="D13" i="2" a="1"/>
  <c r="D14" i="2" a="1"/>
  <c r="D15" i="2" a="1"/>
  <c r="D16" i="2" a="1"/>
  <c r="D17" i="2" a="1"/>
  <c r="D18" i="2" a="1"/>
  <c r="D19" i="2" a="1"/>
  <c r="D20" i="2" a="1"/>
  <c r="D21" i="2" a="1"/>
  <c r="D22" i="2" a="1"/>
  <c r="D23" i="2" a="1"/>
  <c r="D24" i="2" a="1"/>
  <c r="D25" i="2" a="1"/>
  <c r="D26" i="2" a="1"/>
  <c r="D27" i="2" a="1"/>
  <c r="D28" i="2" a="1"/>
  <c r="D29" i="2" a="1"/>
  <c r="D30" i="2" a="1"/>
  <c r="D31" i="2" a="1"/>
  <c r="D32" i="2" a="1"/>
  <c r="D33" i="2" a="1"/>
  <c r="D34" i="2" a="1"/>
  <c r="D35" i="2" a="1"/>
  <c r="D36" i="2" a="1"/>
  <c r="D37" i="2" a="1"/>
  <c r="D38" i="2" a="1"/>
  <c r="D39" i="2" a="1"/>
  <c r="D40" i="2" a="1"/>
  <c r="D41" i="2" a="1"/>
  <c r="D42" i="2" a="1"/>
  <c r="D43" i="2" a="1"/>
  <c r="D44" i="2" a="1"/>
  <c r="D45" i="2" a="1"/>
  <c r="D46" i="2" a="1"/>
  <c r="D47" i="2" a="1"/>
  <c r="D48" i="2" a="1"/>
  <c r="D49" i="2" a="1"/>
  <c r="D50" i="2" a="1"/>
  <c r="D51" i="2" a="1"/>
  <c r="D52" i="2" a="1"/>
  <c r="D53" i="2" a="1"/>
  <c r="D54" i="2" a="1"/>
  <c r="D55" i="2" a="1"/>
  <c r="D56" i="2" a="1"/>
  <c r="D57" i="2" a="1"/>
  <c r="D58" i="2" a="1"/>
  <c r="D59" i="2" a="1"/>
  <c r="D60" i="2" a="1"/>
  <c r="D61" i="2" a="1"/>
  <c r="D62" i="2" a="1"/>
  <c r="D63" i="2" a="1"/>
  <c r="D64" i="2" a="1"/>
  <c r="D65" i="2" a="1"/>
  <c r="D66" i="2" a="1"/>
  <c r="D67" i="2" a="1"/>
  <c r="D68" i="2" a="1"/>
  <c r="D69" i="2" a="1"/>
  <c r="D70" i="2" a="1"/>
  <c r="D71" i="2" a="1"/>
  <c r="D72" i="2" a="1"/>
  <c r="D73" i="2" a="1"/>
  <c r="D74" i="2" a="1"/>
  <c r="D75" i="2" a="1"/>
  <c r="D76" i="2" a="1"/>
  <c r="D77" i="2" a="1"/>
  <c r="D78" i="2" a="1"/>
  <c r="D79" i="2" a="1"/>
  <c r="D80" i="2" a="1"/>
  <c r="D81" i="2" a="1"/>
  <c r="D82" i="2" a="1"/>
  <c r="D83" i="2" a="1"/>
  <c r="D84" i="2" a="1"/>
  <c r="D85" i="2" a="1"/>
  <c r="D86" i="2" a="1"/>
  <c r="D87" i="2" a="1"/>
  <c r="D88" i="2" a="1"/>
  <c r="D89" i="2" a="1"/>
  <c r="D90" i="2" a="1"/>
  <c r="D91" i="2" a="1"/>
  <c r="D92" i="2" a="1"/>
  <c r="D93" i="2" a="1"/>
  <c r="D94" i="2" a="1"/>
  <c r="D95" i="2" a="1"/>
  <c r="D96" i="2" a="1"/>
  <c r="D97" i="2" a="1"/>
  <c r="D98" i="2" a="1"/>
  <c r="D99" i="2" a="1"/>
  <c r="D100" i="2" a="1"/>
  <c r="D101" i="2" a="1"/>
  <c r="D102" i="2" a="1"/>
  <c r="D103" i="2" a="1"/>
  <c r="D104" i="2" a="1"/>
  <c r="D105" i="2" a="1"/>
  <c r="D106" i="2" a="1"/>
  <c r="D107" i="2" a="1"/>
  <c r="D108" i="2" a="1"/>
  <c r="D109" i="2" a="1"/>
  <c r="D110" i="2" a="1"/>
  <c r="D111" i="2" a="1"/>
  <c r="D112" i="2" a="1"/>
  <c r="D113" i="2" a="1"/>
  <c r="D114" i="2" a="1"/>
  <c r="D115" i="2" a="1"/>
  <c r="D116" i="2" a="1"/>
  <c r="D117" i="2" a="1"/>
  <c r="D118" i="2" a="1"/>
  <c r="D119" i="2" a="1"/>
  <c r="D120" i="2" a="1"/>
  <c r="D121" i="2" a="1"/>
  <c r="D122" i="2" a="1"/>
  <c r="D123" i="2" a="1"/>
  <c r="D124" i="2" a="1"/>
  <c r="D125" i="2" a="1"/>
  <c r="D126" i="2" a="1"/>
  <c r="D127" i="2" a="1"/>
  <c r="D128" i="2" a="1"/>
  <c r="D129" i="2" a="1"/>
  <c r="D130" i="2" a="1"/>
  <c r="D131" i="2" a="1"/>
  <c r="D132" i="2" a="1"/>
  <c r="D133" i="2" a="1"/>
  <c r="D134" i="2" a="1"/>
  <c r="D135" i="2" a="1"/>
  <c r="D136" i="2" a="1"/>
  <c r="D137" i="2" a="1"/>
  <c r="D138" i="2" a="1"/>
  <c r="D139" i="2" a="1"/>
  <c r="D140" i="2" a="1"/>
  <c r="D141" i="2" a="1"/>
  <c r="D142" i="2" a="1"/>
  <c r="D143" i="2" a="1"/>
  <c r="D144" i="2" a="1"/>
  <c r="D145" i="2" a="1"/>
  <c r="D146" i="2" a="1"/>
  <c r="D147" i="2" a="1"/>
  <c r="D148" i="2" a="1"/>
  <c r="D149" i="2" a="1"/>
  <c r="D150" i="2" a="1"/>
  <c r="D151" i="2" a="1"/>
  <c r="D152" i="2" a="1"/>
  <c r="D153" i="2" a="1"/>
  <c r="D154" i="2" a="1"/>
  <c r="D155" i="2" a="1"/>
  <c r="D156" i="2" a="1"/>
  <c r="D157" i="2" a="1"/>
  <c r="D158" i="2" a="1"/>
  <c r="D159" i="2" a="1"/>
  <c r="D160" i="2" a="1"/>
  <c r="D161" i="2" a="1"/>
  <c r="D162" i="2" a="1"/>
  <c r="D163" i="2" a="1"/>
  <c r="D164" i="2" a="1"/>
  <c r="D165" i="2" a="1"/>
  <c r="D166" i="2" a="1"/>
  <c r="D167" i="2" a="1"/>
  <c r="D168" i="2" a="1"/>
  <c r="D169" i="2" a="1"/>
  <c r="D170" i="2" a="1"/>
  <c r="D171" i="2" a="1"/>
  <c r="D172" i="2" a="1"/>
  <c r="D173" i="2" a="1"/>
  <c r="D174" i="2" a="1"/>
  <c r="D175" i="2" a="1"/>
  <c r="D176" i="2" a="1"/>
  <c r="D177" i="2" a="1"/>
  <c r="D178" i="2" a="1"/>
  <c r="D179" i="2" a="1"/>
  <c r="D180" i="2" a="1"/>
  <c r="D181" i="2" a="1"/>
  <c r="D182" i="2" a="1"/>
  <c r="D183" i="2" a="1"/>
  <c r="D184" i="2" a="1"/>
  <c r="D185" i="2" a="1"/>
  <c r="D186" i="2" a="1"/>
  <c r="D187" i="2" a="1"/>
  <c r="D188" i="2" a="1"/>
  <c r="D189" i="2" a="1"/>
  <c r="D190" i="2" a="1"/>
  <c r="D191" i="2" a="1"/>
  <c r="D192" i="2" a="1"/>
  <c r="D193" i="2" a="1"/>
  <c r="D194" i="2" a="1"/>
  <c r="D195" i="2" a="1"/>
  <c r="D196" i="2" a="1"/>
  <c r="D197" i="2" a="1"/>
  <c r="D198" i="2" a="1"/>
  <c r="D199" i="2" a="1"/>
  <c r="D200" i="2" a="1"/>
  <c r="D201" i="2" a="1"/>
  <c r="D202" i="2" a="1"/>
  <c r="D203" i="2" a="1"/>
  <c r="D204" i="2" a="1"/>
  <c r="D205" i="2" a="1"/>
  <c r="D206" i="2" a="1"/>
  <c r="D207" i="2" a="1"/>
  <c r="D208" i="2" a="1"/>
  <c r="D209" i="2" a="1"/>
  <c r="D210" i="2" a="1"/>
  <c r="D211" i="2" a="1"/>
  <c r="D212" i="2" a="1"/>
  <c r="D213" i="2" a="1"/>
  <c r="D214" i="2" a="1"/>
  <c r="D215" i="2" a="1"/>
  <c r="D216" i="2" a="1"/>
  <c r="D217" i="2" a="1"/>
  <c r="D218" i="2" a="1"/>
  <c r="D219" i="2" a="1"/>
  <c r="D220" i="2" a="1"/>
  <c r="D221" i="2" a="1"/>
  <c r="D222" i="2" a="1"/>
  <c r="D223" i="2" a="1"/>
  <c r="D224" i="2" a="1"/>
  <c r="D225" i="2" a="1"/>
  <c r="D226" i="2" a="1"/>
  <c r="D227" i="2" a="1"/>
  <c r="D228" i="2" a="1"/>
  <c r="D229" i="2" a="1"/>
  <c r="D230" i="2" a="1"/>
  <c r="D231" i="2" a="1"/>
  <c r="D232" i="2" a="1"/>
  <c r="D233" i="2" a="1"/>
  <c r="D234" i="2" a="1"/>
  <c r="D235" i="2" a="1"/>
  <c r="D236" i="2" a="1"/>
  <c r="D237" i="2" a="1"/>
  <c r="D238" i="2" a="1"/>
  <c r="D239" i="2" a="1"/>
  <c r="D240" i="2" a="1"/>
  <c r="D241" i="2" a="1"/>
  <c r="D242" i="2" a="1"/>
  <c r="D243" i="2" a="1"/>
  <c r="D244" i="2" a="1"/>
  <c r="D245" i="2" a="1"/>
  <c r="D246" i="2" a="1"/>
  <c r="D247" i="2" a="1"/>
  <c r="D248" i="2" a="1"/>
  <c r="D249" i="2" a="1"/>
  <c r="D250" i="2" a="1"/>
  <c r="D251" i="2" a="1"/>
  <c r="D252" i="2" a="1"/>
  <c r="D253" i="2" a="1"/>
  <c r="D254" i="2" a="1"/>
  <c r="D255" i="2" a="1"/>
  <c r="D256" i="2" a="1"/>
  <c r="D257" i="2" a="1"/>
  <c r="D258" i="2" a="1"/>
  <c r="D259" i="2" a="1"/>
  <c r="D260" i="2" a="1"/>
  <c r="D261" i="2" a="1"/>
  <c r="D262" i="2" a="1"/>
  <c r="D263" i="2" a="1"/>
  <c r="D264" i="2" a="1"/>
  <c r="D265" i="2" a="1"/>
  <c r="D266" i="2" a="1"/>
  <c r="D267" i="2" a="1"/>
  <c r="D268" i="2" a="1"/>
  <c r="D269" i="2" a="1"/>
  <c r="D270" i="2" a="1"/>
  <c r="D271" i="2" a="1"/>
  <c r="D272" i="2" a="1"/>
  <c r="D273" i="2" a="1"/>
  <c r="D274" i="2" a="1"/>
  <c r="D275" i="2" a="1"/>
  <c r="D276" i="2" a="1"/>
  <c r="D277" i="2" a="1"/>
  <c r="D278" i="2" a="1"/>
  <c r="D279" i="2" a="1"/>
  <c r="D280" i="2" a="1"/>
  <c r="D281" i="2" a="1"/>
  <c r="D282" i="2" a="1"/>
  <c r="D283" i="2" a="1"/>
  <c r="D284" i="2" a="1"/>
  <c r="D285" i="2" a="1"/>
  <c r="D286" i="2" a="1"/>
  <c r="D287" i="2" a="1"/>
  <c r="D288" i="2" a="1"/>
  <c r="D289" i="2" a="1"/>
  <c r="D290" i="2" a="1"/>
  <c r="D291" i="2" a="1"/>
  <c r="D292" i="2" a="1"/>
  <c r="D293" i="2" a="1"/>
  <c r="D294" i="2" a="1"/>
  <c r="D295" i="2" a="1"/>
  <c r="D296" i="2" a="1"/>
  <c r="D297" i="2" a="1"/>
  <c r="D298" i="2" a="1"/>
  <c r="D299" i="2" a="1"/>
  <c r="D300" i="2" a="1"/>
  <c r="D301" i="2" a="1"/>
  <c r="D302" i="2" a="1"/>
  <c r="D303" i="2" a="1"/>
  <c r="D304" i="2" a="1"/>
  <c r="D305" i="2" a="1"/>
  <c r="D306" i="2" a="1"/>
  <c r="D307" i="2" a="1"/>
  <c r="D308" i="2" a="1"/>
  <c r="D309" i="2" a="1"/>
  <c r="D310" i="2" a="1"/>
  <c r="D311" i="2" a="1"/>
  <c r="D312" i="2" a="1"/>
  <c r="D313" i="2" a="1"/>
  <c r="D314" i="2" a="1"/>
  <c r="D315" i="2" a="1"/>
  <c r="D316" i="2" a="1"/>
  <c r="D317" i="2" a="1"/>
  <c r="D318" i="2" a="1"/>
  <c r="D319" i="2" a="1"/>
  <c r="D320" i="2" a="1"/>
  <c r="D321" i="2" a="1"/>
  <c r="D322" i="2" a="1"/>
  <c r="D323" i="2" a="1"/>
  <c r="D324" i="2" a="1"/>
  <c r="D325" i="2" a="1"/>
  <c r="D326" i="2" a="1"/>
  <c r="D327" i="2" a="1"/>
  <c r="D328" i="2" a="1"/>
  <c r="D329" i="2" a="1"/>
  <c r="D330" i="2" a="1"/>
  <c r="D331" i="2" a="1"/>
  <c r="D332" i="2" a="1"/>
  <c r="D333" i="2" a="1"/>
  <c r="D334" i="2" a="1"/>
  <c r="D335" i="2" a="1"/>
  <c r="D336" i="2" a="1"/>
  <c r="D337" i="2" a="1"/>
  <c r="D338" i="2" a="1"/>
  <c r="D339" i="2" a="1"/>
  <c r="D340" i="2" a="1"/>
  <c r="D341" i="2" a="1"/>
  <c r="D342" i="2" a="1"/>
  <c r="D343" i="2" a="1"/>
  <c r="D344" i="2" a="1"/>
  <c r="D345" i="2" a="1"/>
  <c r="D346" i="2" a="1"/>
  <c r="D347" i="2" a="1"/>
  <c r="D348" i="2" a="1"/>
  <c r="D349" i="2" a="1"/>
  <c r="D350" i="2" a="1"/>
  <c r="D351" i="2" a="1"/>
  <c r="D352" i="2" a="1"/>
  <c r="D353" i="2" a="1"/>
  <c r="D354" i="2" a="1"/>
  <c r="D355" i="2" a="1"/>
  <c r="D356" i="2" a="1"/>
  <c r="D357" i="2" a="1"/>
  <c r="D358" i="2" a="1"/>
  <c r="D359" i="2" a="1"/>
  <c r="D360" i="2" a="1"/>
  <c r="D361" i="2" a="1"/>
  <c r="D362" i="2" a="1"/>
  <c r="D363" i="2" a="1"/>
  <c r="D364" i="2" a="1"/>
  <c r="D365" i="2" a="1"/>
  <c r="D366" i="2" a="1"/>
  <c r="D367" i="2" a="1"/>
  <c r="D368" i="2" a="1"/>
  <c r="D369" i="2" a="1"/>
  <c r="D370" i="2" a="1"/>
  <c r="D371" i="2" a="1"/>
  <c r="D372" i="2" a="1"/>
  <c r="D373" i="2" a="1"/>
  <c r="D374" i="2" a="1"/>
  <c r="D375" i="2" a="1"/>
  <c r="D376" i="2" a="1"/>
  <c r="D377" i="2" a="1"/>
  <c r="D378" i="2" a="1"/>
  <c r="D379" i="2" a="1"/>
  <c r="D380" i="2" a="1"/>
  <c r="D381" i="2" a="1"/>
  <c r="D382" i="2" a="1"/>
  <c r="D383" i="2" a="1"/>
  <c r="D384" i="2" a="1"/>
  <c r="D385" i="2" a="1"/>
  <c r="D386" i="2" a="1"/>
  <c r="D387" i="2" a="1"/>
  <c r="D388" i="2" a="1"/>
  <c r="D389" i="2" a="1"/>
  <c r="D390" i="2" a="1"/>
  <c r="D391" i="2" a="1"/>
  <c r="D392" i="2" a="1"/>
  <c r="D393" i="2" a="1"/>
  <c r="D394" i="2" a="1"/>
  <c r="D395" i="2" a="1"/>
  <c r="D396" i="2" a="1"/>
  <c r="D397" i="2" a="1"/>
  <c r="D398" i="2" a="1"/>
  <c r="D399" i="2" a="1"/>
  <c r="D400" i="2" a="1"/>
  <c r="D401" i="2" a="1"/>
  <c r="D402" i="2" a="1"/>
  <c r="D403" i="2" a="1"/>
  <c r="D404" i="2" a="1"/>
  <c r="D405" i="2" a="1"/>
  <c r="D406" i="2" a="1"/>
  <c r="D407" i="2" a="1"/>
  <c r="D408" i="2" a="1"/>
  <c r="D409" i="2" a="1"/>
  <c r="D410" i="2" a="1"/>
  <c r="D411" i="2" a="1"/>
  <c r="D412" i="2" a="1"/>
  <c r="D413" i="2" a="1"/>
  <c r="D414" i="2" a="1"/>
  <c r="D415" i="2" a="1"/>
  <c r="D416" i="2" a="1"/>
  <c r="D417" i="2" a="1"/>
  <c r="D418" i="2" a="1"/>
  <c r="D419" i="2" a="1"/>
  <c r="D420" i="2" a="1"/>
  <c r="D421" i="2" a="1"/>
  <c r="D422" i="2" a="1"/>
  <c r="D423" i="2" a="1"/>
  <c r="D424" i="2" a="1"/>
  <c r="D425" i="2" a="1"/>
  <c r="D426" i="2" a="1"/>
  <c r="D427" i="2" a="1"/>
  <c r="D428" i="2" a="1"/>
  <c r="D429" i="2" a="1"/>
  <c r="D430" i="2" a="1"/>
  <c r="D431" i="2" a="1"/>
  <c r="D432" i="2" a="1"/>
  <c r="D433" i="2" a="1"/>
  <c r="D434" i="2" a="1"/>
  <c r="D435" i="2" a="1"/>
  <c r="D436" i="2" a="1"/>
  <c r="D437" i="2" a="1"/>
  <c r="D438" i="2" a="1"/>
  <c r="D439" i="2" a="1"/>
  <c r="D440" i="2" a="1"/>
  <c r="D441" i="2" a="1"/>
  <c r="D442" i="2" a="1"/>
  <c r="D443" i="2" a="1"/>
  <c r="D630" i="2" a="1"/>
  <c r="D631" i="2" a="1"/>
  <c r="D632" i="2" a="1"/>
  <c r="D633" i="2" a="1"/>
  <c r="D634" i="2" a="1"/>
  <c r="D635" i="2" a="1"/>
  <c r="D636" i="2" a="1"/>
  <c r="D637" i="2" a="1"/>
  <c r="D638" i="2" a="1"/>
  <c r="D639" i="2" a="1"/>
  <c r="D640" i="2" a="1"/>
  <c r="D641" i="2" a="1"/>
  <c r="D642" i="2" a="1"/>
  <c r="D643" i="2" a="1"/>
  <c r="D644" i="2" a="1"/>
  <c r="D645" i="2" a="1"/>
  <c r="D646" i="2" a="1"/>
  <c r="D647" i="2" a="1"/>
  <c r="D648" i="2" a="1"/>
  <c r="D649" i="2" a="1"/>
  <c r="D650" i="2" a="1"/>
  <c r="D651" i="2" a="1"/>
  <c r="D652" i="2" a="1"/>
  <c r="D653" i="2" a="1"/>
  <c r="D654" i="2" a="1"/>
  <c r="D655" i="2" a="1"/>
  <c r="D656" i="2" a="1"/>
  <c r="D657" i="2" a="1"/>
  <c r="D658" i="2" a="1"/>
  <c r="D659" i="2" a="1"/>
  <c r="D660" i="2" a="1"/>
  <c r="D661" i="2" a="1"/>
  <c r="D662" i="2" a="1"/>
  <c r="D663" i="2" a="1"/>
  <c r="D664" i="2" a="1"/>
  <c r="D665" i="2" a="1"/>
  <c r="D666" i="2" a="1"/>
  <c r="D667" i="2" a="1"/>
  <c r="D668" i="2" a="1"/>
  <c r="D669" i="2" a="1"/>
  <c r="D670" i="2" a="1"/>
  <c r="D671" i="2" a="1"/>
  <c r="D672" i="2" a="1"/>
  <c r="D673" i="2" a="1"/>
  <c r="D674" i="2" a="1"/>
  <c r="D675" i="2" a="1"/>
  <c r="D676" i="2" a="1"/>
  <c r="D677" i="2" a="1"/>
  <c r="D678" i="2" a="1"/>
  <c r="D679" i="2" a="1"/>
  <c r="D680" i="2" a="1"/>
  <c r="D681" i="2" a="1"/>
  <c r="D682" i="2" a="1"/>
  <c r="D683" i="2" a="1"/>
  <c r="D684" i="2" a="1"/>
  <c r="D685" i="2" a="1"/>
  <c r="D686" i="2" a="1"/>
  <c r="D687" i="2" a="1"/>
  <c r="D688" i="2" a="1"/>
  <c r="D689" i="2" a="1"/>
  <c r="D690" i="2" a="1"/>
  <c r="D691" i="2" a="1"/>
  <c r="D692" i="2" a="1"/>
  <c r="D693" i="2" a="1"/>
  <c r="D694" i="2" a="1"/>
  <c r="D695" i="2" a="1"/>
  <c r="D696" i="2" a="1"/>
  <c r="D697" i="2" a="1"/>
  <c r="D698" i="2" a="1"/>
  <c r="D699" i="2" a="1"/>
  <c r="D700" i="2" a="1"/>
  <c r="D701" i="2" a="1"/>
  <c r="D702" i="2" a="1"/>
  <c r="D703" i="2" a="1"/>
  <c r="D704" i="2" a="1"/>
  <c r="D705" i="2" a="1"/>
  <c r="D706" i="2" a="1"/>
  <c r="D707" i="2" a="1"/>
  <c r="D708" i="2" a="1"/>
  <c r="D709" i="2" a="1"/>
  <c r="D710" i="2" a="1"/>
  <c r="D711" i="2" a="1"/>
  <c r="D712" i="2" a="1"/>
  <c r="D713" i="2" a="1"/>
  <c r="D714" i="2" a="1"/>
  <c r="D715" i="2" a="1"/>
  <c r="D716" i="2" a="1"/>
  <c r="D717" i="2" a="1"/>
  <c r="D718" i="2" a="1"/>
  <c r="D719" i="2" a="1"/>
  <c r="D720" i="2" a="1"/>
  <c r="D721" i="2" a="1"/>
  <c r="D722" i="2" a="1"/>
  <c r="D723" i="2" a="1"/>
  <c r="D724" i="2" a="1"/>
  <c r="D725" i="2" a="1"/>
  <c r="D726" i="2" a="1"/>
  <c r="D727" i="2" a="1"/>
  <c r="D728" i="2" a="1"/>
  <c r="D729" i="2" a="1"/>
  <c r="D730" i="2" a="1"/>
  <c r="D731" i="2" a="1"/>
  <c r="D732" i="2" a="1"/>
  <c r="D733" i="2" a="1"/>
  <c r="D734" i="2" a="1"/>
  <c r="D735" i="2" a="1"/>
  <c r="D736" i="2" a="1"/>
  <c r="D737" i="2" a="1"/>
  <c r="D738" i="2" a="1"/>
  <c r="D739" i="2" a="1"/>
  <c r="D740" i="2" a="1"/>
  <c r="D741" i="2" a="1"/>
  <c r="D742" i="2" a="1"/>
  <c r="D743" i="2" a="1"/>
  <c r="D744" i="2" a="1"/>
  <c r="D745" i="2" a="1"/>
  <c r="D746" i="2" a="1"/>
  <c r="D747" i="2" a="1"/>
  <c r="D748" i="2" a="1"/>
  <c r="D749" i="2" a="1"/>
  <c r="D750" i="2" a="1"/>
  <c r="D751" i="2" a="1"/>
  <c r="D752" i="2" a="1"/>
  <c r="D753" i="2" a="1"/>
  <c r="D754" i="2" a="1"/>
  <c r="D755" i="2" a="1"/>
  <c r="D756" i="2" a="1"/>
  <c r="D757" i="2" a="1"/>
  <c r="D758" i="2" a="1"/>
  <c r="D759" i="2" a="1"/>
  <c r="D760" i="2" a="1"/>
  <c r="D761" i="2" a="1"/>
  <c r="D762" i="2" a="1"/>
  <c r="D763" i="2" a="1"/>
  <c r="D764" i="2" a="1"/>
  <c r="D765" i="2" a="1"/>
  <c r="D766" i="2" a="1"/>
  <c r="D767" i="2" a="1"/>
  <c r="D768" i="2" a="1"/>
  <c r="D769" i="2" a="1"/>
  <c r="D770" i="2" a="1"/>
  <c r="D771" i="2" a="1"/>
  <c r="D772" i="2" a="1"/>
  <c r="D773" i="2" a="1"/>
  <c r="D774" i="2" a="1"/>
  <c r="D775" i="2" a="1"/>
  <c r="D776" i="2" a="1"/>
  <c r="D777" i="2" a="1"/>
  <c r="D778" i="2" a="1"/>
  <c r="D779" i="2" a="1"/>
  <c r="D780" i="2" a="1"/>
  <c r="D781" i="2" a="1"/>
  <c r="D782" i="2" a="1"/>
  <c r="D783" i="2" a="1"/>
  <c r="D784" i="2" a="1"/>
  <c r="D785" i="2" a="1"/>
  <c r="D786" i="2" a="1"/>
  <c r="D787" i="2" a="1"/>
  <c r="D788" i="2" a="1"/>
  <c r="D789" i="2" a="1"/>
  <c r="D790" i="2" a="1"/>
  <c r="D791" i="2" a="1"/>
  <c r="D792" i="2" a="1"/>
  <c r="D793" i="2" a="1"/>
  <c r="D794" i="2" a="1"/>
  <c r="D795" i="2" a="1"/>
  <c r="D796" i="2" a="1"/>
  <c r="D797" i="2" a="1"/>
  <c r="D798" i="2" a="1"/>
  <c r="D799" i="2" a="1"/>
  <c r="D800" i="2" a="1"/>
  <c r="D801" i="2" a="1"/>
  <c r="D802" i="2" a="1"/>
  <c r="D803" i="2" a="1"/>
  <c r="D804" i="2" a="1"/>
  <c r="D805" i="2" a="1"/>
  <c r="D806" i="2" a="1"/>
  <c r="D807" i="2" a="1"/>
  <c r="D808" i="2" a="1"/>
  <c r="D809" i="2" a="1"/>
  <c r="D810" i="2" a="1"/>
  <c r="D811" i="2" a="1"/>
  <c r="D812" i="2" a="1"/>
  <c r="D813" i="2" a="1"/>
  <c r="D814" i="2" a="1"/>
  <c r="D815" i="2" a="1"/>
  <c r="D816" i="2" a="1"/>
  <c r="D817" i="2" a="1"/>
  <c r="D818" i="2" a="1"/>
  <c r="D819" i="2" a="1"/>
  <c r="D820" i="2" a="1"/>
  <c r="D821" i="2" a="1"/>
  <c r="D822" i="2" a="1"/>
  <c r="D823" i="2" a="1"/>
  <c r="D824" i="2" a="1"/>
  <c r="D825" i="2" a="1"/>
  <c r="D826" i="2" a="1"/>
  <c r="D827" i="2" a="1"/>
  <c r="D828" i="2" a="1"/>
  <c r="D829" i="2" a="1"/>
  <c r="D830" i="2" a="1"/>
  <c r="D831" i="2" a="1"/>
  <c r="D832" i="2" a="1"/>
  <c r="D833" i="2" a="1"/>
  <c r="D834" i="2" a="1"/>
  <c r="D835" i="2" a="1"/>
  <c r="D836" i="2" a="1"/>
  <c r="D837" i="2" a="1"/>
  <c r="D838" i="2" a="1"/>
  <c r="D839" i="2" a="1"/>
  <c r="D840" i="2" a="1"/>
  <c r="D841" i="2" a="1"/>
  <c r="D842" i="2" a="1"/>
  <c r="D843" i="2" a="1"/>
  <c r="D844" i="2" a="1"/>
  <c r="D845" i="2" a="1"/>
  <c r="D846" i="2" a="1"/>
  <c r="D847" i="2" a="1"/>
  <c r="D848" i="2" a="1"/>
  <c r="D849" i="2" a="1"/>
  <c r="D850" i="2" a="1"/>
  <c r="D851" i="2" a="1"/>
  <c r="D852" i="2" a="1"/>
  <c r="D853" i="2" a="1"/>
  <c r="D854" i="2" a="1"/>
  <c r="D855" i="2" a="1"/>
  <c r="D856" i="2" a="1"/>
  <c r="D857" i="2" a="1"/>
  <c r="D858" i="2" a="1"/>
  <c r="D859" i="2" a="1"/>
  <c r="D860" i="2" a="1"/>
  <c r="D861" i="2" a="1"/>
  <c r="D862" i="2" a="1"/>
  <c r="D863" i="2" a="1"/>
  <c r="D864" i="2" a="1"/>
  <c r="D865" i="2" a="1"/>
  <c r="D866" i="2" a="1"/>
  <c r="D867" i="2" a="1"/>
  <c r="D868" i="2" a="1"/>
  <c r="D869" i="2" a="1"/>
  <c r="D870" i="2" a="1"/>
  <c r="D871" i="2" a="1"/>
  <c r="D872" i="2" a="1"/>
  <c r="D873" i="2" a="1"/>
  <c r="D874" i="2" a="1"/>
  <c r="D875" i="2" a="1"/>
  <c r="D876" i="2" a="1"/>
  <c r="D877" i="2" a="1"/>
  <c r="D878" i="2" a="1"/>
  <c r="D879" i="2" a="1"/>
  <c r="D880" i="2" a="1"/>
  <c r="D881" i="2" a="1"/>
  <c r="D882" i="2" a="1"/>
  <c r="D883" i="2" a="1"/>
  <c r="D884" i="2" a="1"/>
  <c r="D885" i="2" a="1"/>
  <c r="D886" i="2" a="1"/>
  <c r="D887" i="2" a="1"/>
  <c r="D888" i="2" a="1"/>
  <c r="D889" i="2" a="1"/>
  <c r="D890" i="2" a="1"/>
  <c r="D891" i="2" a="1"/>
  <c r="D892" i="2" a="1"/>
  <c r="D893" i="2" a="1"/>
  <c r="D894" i="2" a="1"/>
  <c r="D895" i="2" a="1"/>
  <c r="D896" i="2" a="1"/>
  <c r="D897" i="2" a="1"/>
  <c r="D898" i="2" a="1"/>
  <c r="D899" i="2" a="1"/>
  <c r="D900" i="2" a="1"/>
  <c r="D901" i="2" a="1"/>
  <c r="D902" i="2" a="1"/>
  <c r="D903" i="2" a="1"/>
  <c r="D904" i="2" a="1"/>
  <c r="D905" i="2" a="1"/>
  <c r="D906" i="2" a="1"/>
  <c r="D907" i="2" a="1"/>
  <c r="D908" i="2" a="1"/>
  <c r="D909" i="2" a="1"/>
  <c r="D910" i="2" a="1"/>
  <c r="D911" i="2" a="1"/>
  <c r="D912" i="2" a="1"/>
  <c r="D913" i="2" a="1"/>
  <c r="D914" i="2" a="1"/>
  <c r="D915" i="2" a="1"/>
  <c r="D916" i="2" a="1"/>
  <c r="D917" i="2" a="1"/>
  <c r="D918" i="2" a="1"/>
  <c r="D919" i="2" a="1"/>
  <c r="D920" i="2" a="1"/>
  <c r="D921" i="2" a="1"/>
  <c r="D922" i="2" a="1"/>
  <c r="D923" i="2" a="1"/>
  <c r="D924" i="2" a="1"/>
  <c r="D925" i="2" a="1"/>
  <c r="D926" i="2" a="1"/>
  <c r="D927" i="2" a="1"/>
  <c r="D928" i="2" a="1"/>
  <c r="D929" i="2" a="1"/>
  <c r="D930" i="2" a="1"/>
  <c r="D931" i="2" a="1"/>
  <c r="D932" i="2" a="1"/>
  <c r="D933" i="2" a="1"/>
  <c r="D934" i="2" a="1"/>
  <c r="D935" i="2" a="1"/>
  <c r="D936" i="2" a="1"/>
  <c r="D937" i="2" a="1"/>
  <c r="D938" i="2" a="1"/>
  <c r="D939" i="2" a="1"/>
  <c r="D940" i="2" a="1"/>
  <c r="D941" i="2" a="1"/>
  <c r="D942" i="2" a="1"/>
  <c r="D943" i="2" a="1"/>
  <c r="D944" i="2" a="1"/>
  <c r="D945" i="2" a="1"/>
  <c r="D946" i="2" a="1"/>
  <c r="D947" i="2" a="1"/>
  <c r="D948" i="2" a="1"/>
  <c r="D949" i="2" a="1"/>
  <c r="D950" i="2" a="1"/>
  <c r="D951" i="2" a="1"/>
  <c r="D952" i="2" a="1"/>
  <c r="D953" i="2" a="1"/>
  <c r="D954" i="2" a="1"/>
  <c r="D955" i="2" a="1"/>
  <c r="D956" i="2" a="1"/>
  <c r="D957" i="2" a="1"/>
  <c r="D958" i="2" a="1"/>
  <c r="D959" i="2" a="1"/>
  <c r="D960" i="2" a="1"/>
  <c r="D961" i="2" a="1"/>
  <c r="D962" i="2" a="1"/>
  <c r="D963" i="2" a="1"/>
  <c r="D964" i="2" a="1"/>
  <c r="D965" i="2" a="1"/>
  <c r="D966" i="2" a="1"/>
  <c r="D967" i="2" a="1"/>
  <c r="D968" i="2" a="1"/>
  <c r="D969" i="2" a="1"/>
  <c r="D970" i="2" a="1"/>
  <c r="D971" i="2" a="1"/>
  <c r="D972" i="2" a="1"/>
  <c r="D973" i="2" a="1"/>
  <c r="D974" i="2" a="1"/>
  <c r="D975" i="2" a="1"/>
  <c r="D976" i="2" a="1"/>
  <c r="D977" i="2" a="1"/>
  <c r="D978" i="2" a="1"/>
  <c r="D979" i="2" a="1"/>
  <c r="D980" i="2" a="1"/>
  <c r="D981" i="2" a="1"/>
  <c r="D982" i="2" a="1"/>
  <c r="D983" i="2" a="1"/>
  <c r="D984" i="2" a="1"/>
  <c r="D985" i="2" a="1"/>
  <c r="D986" i="2" a="1"/>
  <c r="D987" i="2" a="1"/>
  <c r="D988" i="2" a="1"/>
  <c r="D989" i="2" a="1"/>
  <c r="D990" i="2" a="1"/>
  <c r="D991" i="2" a="1"/>
  <c r="D992" i="2" a="1"/>
  <c r="D993" i="2" a="1"/>
  <c r="D994" i="2" a="1"/>
  <c r="D995" i="2" a="1"/>
  <c r="D996" i="2" a="1"/>
  <c r="D997" i="2" a="1"/>
  <c r="D998" i="2" a="1"/>
  <c r="D999" i="2" a="1"/>
  <c r="D1000" i="2" a="1"/>
  <c r="D1001" i="2" a="1"/>
  <c r="C630" i="2"/>
  <c r="K630" i="2" s="1"/>
  <c r="C631" i="2"/>
  <c r="K631" i="2" s="1"/>
  <c r="C632" i="2"/>
  <c r="K632" i="2" s="1"/>
  <c r="C633" i="2"/>
  <c r="K633" i="2" s="1"/>
  <c r="C634" i="2"/>
  <c r="K634" i="2" s="1"/>
  <c r="C635" i="2"/>
  <c r="K635" i="2" s="1"/>
  <c r="C636" i="2"/>
  <c r="K636" i="2" s="1"/>
  <c r="C637" i="2"/>
  <c r="K637" i="2" s="1"/>
  <c r="C638" i="2"/>
  <c r="K638" i="2" s="1"/>
  <c r="C639" i="2"/>
  <c r="K639" i="2" s="1"/>
  <c r="C640" i="2"/>
  <c r="K640" i="2" s="1"/>
  <c r="C641" i="2"/>
  <c r="K641" i="2" s="1"/>
  <c r="C642" i="2"/>
  <c r="K642" i="2" s="1"/>
  <c r="C643" i="2"/>
  <c r="K643" i="2" s="1"/>
  <c r="C644" i="2"/>
  <c r="K644" i="2" s="1"/>
  <c r="C645" i="2"/>
  <c r="K645" i="2" s="1"/>
  <c r="C646" i="2"/>
  <c r="K646" i="2" s="1"/>
  <c r="C647" i="2"/>
  <c r="K647" i="2" s="1"/>
  <c r="C648" i="2"/>
  <c r="K648" i="2" s="1"/>
  <c r="C649" i="2"/>
  <c r="K649" i="2" s="1"/>
  <c r="C650" i="2"/>
  <c r="K650" i="2" s="1"/>
  <c r="C651" i="2"/>
  <c r="K651" i="2" s="1"/>
  <c r="C652" i="2"/>
  <c r="K652" i="2" s="1"/>
  <c r="C653" i="2"/>
  <c r="K653" i="2" s="1"/>
  <c r="C654" i="2"/>
  <c r="K654" i="2" s="1"/>
  <c r="C655" i="2"/>
  <c r="K655" i="2" s="1"/>
  <c r="C656" i="2"/>
  <c r="K656" i="2" s="1"/>
  <c r="C657" i="2"/>
  <c r="K657" i="2" s="1"/>
  <c r="C658" i="2"/>
  <c r="K658" i="2" s="1"/>
  <c r="C659" i="2"/>
  <c r="K659" i="2" s="1"/>
  <c r="C660" i="2"/>
  <c r="K660" i="2" s="1"/>
  <c r="C661" i="2"/>
  <c r="K661" i="2" s="1"/>
  <c r="C662" i="2"/>
  <c r="K662" i="2" s="1"/>
  <c r="C663" i="2"/>
  <c r="K663" i="2" s="1"/>
  <c r="C664" i="2"/>
  <c r="K664" i="2" s="1"/>
  <c r="C665" i="2"/>
  <c r="K665" i="2" s="1"/>
  <c r="C666" i="2"/>
  <c r="K666" i="2" s="1"/>
  <c r="C667" i="2"/>
  <c r="K667" i="2" s="1"/>
  <c r="C668" i="2"/>
  <c r="K668" i="2" s="1"/>
  <c r="C669" i="2"/>
  <c r="K669" i="2" s="1"/>
  <c r="C670" i="2"/>
  <c r="K670" i="2" s="1"/>
  <c r="C671" i="2"/>
  <c r="K671" i="2" s="1"/>
  <c r="C672" i="2"/>
  <c r="K672" i="2" s="1"/>
  <c r="C673" i="2"/>
  <c r="K673" i="2" s="1"/>
  <c r="C674" i="2"/>
  <c r="K674" i="2" s="1"/>
  <c r="C675" i="2"/>
  <c r="K675" i="2" s="1"/>
  <c r="C676" i="2"/>
  <c r="K676" i="2" s="1"/>
  <c r="C677" i="2"/>
  <c r="K677" i="2" s="1"/>
  <c r="C678" i="2"/>
  <c r="K678" i="2" s="1"/>
  <c r="C679" i="2"/>
  <c r="K679" i="2" s="1"/>
  <c r="C680" i="2"/>
  <c r="K680" i="2" s="1"/>
  <c r="C681" i="2"/>
  <c r="K681" i="2" s="1"/>
  <c r="C682" i="2"/>
  <c r="K682" i="2" s="1"/>
  <c r="C683" i="2"/>
  <c r="K683" i="2" s="1"/>
  <c r="C684" i="2"/>
  <c r="K684" i="2" s="1"/>
  <c r="C685" i="2"/>
  <c r="K685" i="2" s="1"/>
  <c r="C686" i="2"/>
  <c r="K686" i="2" s="1"/>
  <c r="C687" i="2"/>
  <c r="K687" i="2" s="1"/>
  <c r="C688" i="2"/>
  <c r="K688" i="2" s="1"/>
  <c r="C689" i="2"/>
  <c r="K689" i="2" s="1"/>
  <c r="C690" i="2"/>
  <c r="K690" i="2" s="1"/>
  <c r="C691" i="2"/>
  <c r="K691" i="2" s="1"/>
  <c r="C692" i="2"/>
  <c r="K692" i="2" s="1"/>
  <c r="C693" i="2"/>
  <c r="K693" i="2" s="1"/>
  <c r="C694" i="2"/>
  <c r="K694" i="2" s="1"/>
  <c r="C695" i="2"/>
  <c r="K695" i="2" s="1"/>
  <c r="C696" i="2"/>
  <c r="K696" i="2" s="1"/>
  <c r="C697" i="2"/>
  <c r="K697" i="2" s="1"/>
  <c r="C698" i="2"/>
  <c r="K698" i="2" s="1"/>
  <c r="C699" i="2"/>
  <c r="K699" i="2" s="1"/>
  <c r="C700" i="2"/>
  <c r="K700" i="2" s="1"/>
  <c r="C701" i="2"/>
  <c r="K701" i="2" s="1"/>
  <c r="C702" i="2"/>
  <c r="K702" i="2" s="1"/>
  <c r="C703" i="2"/>
  <c r="K703" i="2" s="1"/>
  <c r="C704" i="2"/>
  <c r="K704" i="2" s="1"/>
  <c r="C705" i="2"/>
  <c r="K705" i="2" s="1"/>
  <c r="C706" i="2"/>
  <c r="K706" i="2" s="1"/>
  <c r="C707" i="2"/>
  <c r="K707" i="2" s="1"/>
  <c r="C708" i="2"/>
  <c r="K708" i="2" s="1"/>
  <c r="C709" i="2"/>
  <c r="K709" i="2" s="1"/>
  <c r="C710" i="2"/>
  <c r="K710" i="2" s="1"/>
  <c r="C711" i="2"/>
  <c r="K711" i="2" s="1"/>
  <c r="C712" i="2"/>
  <c r="K712" i="2" s="1"/>
  <c r="C713" i="2"/>
  <c r="K713" i="2" s="1"/>
  <c r="C714" i="2"/>
  <c r="K714" i="2" s="1"/>
  <c r="C715" i="2"/>
  <c r="K715" i="2" s="1"/>
  <c r="C716" i="2"/>
  <c r="K716" i="2" s="1"/>
  <c r="C717" i="2"/>
  <c r="K717" i="2" s="1"/>
  <c r="C718" i="2"/>
  <c r="K718" i="2" s="1"/>
  <c r="C719" i="2"/>
  <c r="K719" i="2" s="1"/>
  <c r="C720" i="2"/>
  <c r="K720" i="2" s="1"/>
  <c r="C721" i="2"/>
  <c r="K721" i="2" s="1"/>
  <c r="C722" i="2"/>
  <c r="K722" i="2" s="1"/>
  <c r="C723" i="2"/>
  <c r="K723" i="2" s="1"/>
  <c r="C724" i="2"/>
  <c r="K724" i="2" s="1"/>
  <c r="C725" i="2"/>
  <c r="K725" i="2" s="1"/>
  <c r="C726" i="2"/>
  <c r="K726" i="2" s="1"/>
  <c r="C727" i="2"/>
  <c r="K727" i="2" s="1"/>
  <c r="C728" i="2"/>
  <c r="K728" i="2" s="1"/>
  <c r="C729" i="2"/>
  <c r="K729" i="2" s="1"/>
  <c r="C730" i="2"/>
  <c r="K730" i="2" s="1"/>
  <c r="C731" i="2"/>
  <c r="K731" i="2" s="1"/>
  <c r="C732" i="2"/>
  <c r="K732" i="2" s="1"/>
  <c r="C733" i="2"/>
  <c r="K733" i="2" s="1"/>
  <c r="C734" i="2"/>
  <c r="K734" i="2" s="1"/>
  <c r="C735" i="2"/>
  <c r="K735" i="2" s="1"/>
  <c r="C736" i="2"/>
  <c r="K736" i="2" s="1"/>
  <c r="C737" i="2"/>
  <c r="K737" i="2" s="1"/>
  <c r="C738" i="2"/>
  <c r="K738" i="2" s="1"/>
  <c r="C739" i="2"/>
  <c r="K739" i="2" s="1"/>
  <c r="C740" i="2"/>
  <c r="K740" i="2" s="1"/>
  <c r="C741" i="2"/>
  <c r="K741" i="2" s="1"/>
  <c r="C742" i="2"/>
  <c r="K742" i="2" s="1"/>
  <c r="C743" i="2"/>
  <c r="K743" i="2" s="1"/>
  <c r="C744" i="2"/>
  <c r="K744" i="2" s="1"/>
  <c r="C745" i="2"/>
  <c r="K745" i="2" s="1"/>
  <c r="C746" i="2"/>
  <c r="K746" i="2" s="1"/>
  <c r="C747" i="2"/>
  <c r="K747" i="2" s="1"/>
  <c r="C748" i="2"/>
  <c r="K748" i="2" s="1"/>
  <c r="C749" i="2"/>
  <c r="K749" i="2" s="1"/>
  <c r="C750" i="2"/>
  <c r="K750" i="2" s="1"/>
  <c r="C751" i="2"/>
  <c r="K751" i="2" s="1"/>
  <c r="C752" i="2"/>
  <c r="K752" i="2" s="1"/>
  <c r="C753" i="2"/>
  <c r="K753" i="2" s="1"/>
  <c r="C754" i="2"/>
  <c r="K754" i="2" s="1"/>
  <c r="C755" i="2"/>
  <c r="K755" i="2" s="1"/>
  <c r="C756" i="2"/>
  <c r="K756" i="2" s="1"/>
  <c r="C757" i="2"/>
  <c r="K757" i="2" s="1"/>
  <c r="C758" i="2"/>
  <c r="K758" i="2" s="1"/>
  <c r="C759" i="2"/>
  <c r="K759" i="2" s="1"/>
  <c r="C760" i="2"/>
  <c r="K760" i="2" s="1"/>
  <c r="C761" i="2"/>
  <c r="K761" i="2" s="1"/>
  <c r="C762" i="2"/>
  <c r="K762" i="2" s="1"/>
  <c r="C763" i="2"/>
  <c r="K763" i="2" s="1"/>
  <c r="C764" i="2"/>
  <c r="K764" i="2" s="1"/>
  <c r="C765" i="2"/>
  <c r="K765" i="2" s="1"/>
  <c r="C766" i="2"/>
  <c r="K766" i="2" s="1"/>
  <c r="C767" i="2"/>
  <c r="K767" i="2" s="1"/>
  <c r="C768" i="2"/>
  <c r="K768" i="2" s="1"/>
  <c r="C769" i="2"/>
  <c r="K769" i="2" s="1"/>
  <c r="C770" i="2"/>
  <c r="K770" i="2" s="1"/>
  <c r="C771" i="2"/>
  <c r="K771" i="2" s="1"/>
  <c r="C772" i="2"/>
  <c r="K772" i="2" s="1"/>
  <c r="C773" i="2"/>
  <c r="K773" i="2" s="1"/>
  <c r="C774" i="2"/>
  <c r="K774" i="2" s="1"/>
  <c r="C775" i="2"/>
  <c r="K775" i="2" s="1"/>
  <c r="C776" i="2"/>
  <c r="K776" i="2" s="1"/>
  <c r="C777" i="2"/>
  <c r="K777" i="2" s="1"/>
  <c r="C778" i="2"/>
  <c r="K778" i="2" s="1"/>
  <c r="C779" i="2"/>
  <c r="K779" i="2" s="1"/>
  <c r="C780" i="2"/>
  <c r="K780" i="2" s="1"/>
  <c r="C781" i="2"/>
  <c r="K781" i="2" s="1"/>
  <c r="C782" i="2"/>
  <c r="K782" i="2" s="1"/>
  <c r="C783" i="2"/>
  <c r="K783" i="2" s="1"/>
  <c r="C784" i="2"/>
  <c r="K784" i="2" s="1"/>
  <c r="C785" i="2"/>
  <c r="K785" i="2" s="1"/>
  <c r="C786" i="2"/>
  <c r="K786" i="2" s="1"/>
  <c r="C787" i="2"/>
  <c r="K787" i="2" s="1"/>
  <c r="C788" i="2"/>
  <c r="K788" i="2" s="1"/>
  <c r="C789" i="2"/>
  <c r="K789" i="2" s="1"/>
  <c r="C790" i="2"/>
  <c r="K790" i="2" s="1"/>
  <c r="C791" i="2"/>
  <c r="K791" i="2" s="1"/>
  <c r="C792" i="2"/>
  <c r="K792" i="2" s="1"/>
  <c r="C793" i="2"/>
  <c r="K793" i="2" s="1"/>
  <c r="C794" i="2"/>
  <c r="K794" i="2" s="1"/>
  <c r="C795" i="2"/>
  <c r="K795" i="2" s="1"/>
  <c r="C796" i="2"/>
  <c r="K796" i="2" s="1"/>
  <c r="C797" i="2"/>
  <c r="K797" i="2" s="1"/>
  <c r="C798" i="2"/>
  <c r="K798" i="2" s="1"/>
  <c r="C799" i="2"/>
  <c r="K799" i="2" s="1"/>
  <c r="C800" i="2"/>
  <c r="K800" i="2" s="1"/>
  <c r="C801" i="2"/>
  <c r="K801" i="2" s="1"/>
  <c r="C802" i="2"/>
  <c r="K802" i="2" s="1"/>
  <c r="C803" i="2"/>
  <c r="K803" i="2" s="1"/>
  <c r="C804" i="2"/>
  <c r="K804" i="2" s="1"/>
  <c r="C805" i="2"/>
  <c r="K805" i="2" s="1"/>
  <c r="C806" i="2"/>
  <c r="K806" i="2" s="1"/>
  <c r="C807" i="2"/>
  <c r="K807" i="2" s="1"/>
  <c r="C808" i="2"/>
  <c r="K808" i="2" s="1"/>
  <c r="C809" i="2"/>
  <c r="K809" i="2" s="1"/>
  <c r="C810" i="2"/>
  <c r="K810" i="2" s="1"/>
  <c r="C811" i="2"/>
  <c r="K811" i="2" s="1"/>
  <c r="C812" i="2"/>
  <c r="K812" i="2" s="1"/>
  <c r="C813" i="2"/>
  <c r="K813" i="2" s="1"/>
  <c r="C814" i="2"/>
  <c r="K814" i="2" s="1"/>
  <c r="C815" i="2"/>
  <c r="K815" i="2" s="1"/>
  <c r="C816" i="2"/>
  <c r="K816" i="2" s="1"/>
  <c r="C817" i="2"/>
  <c r="K817" i="2" s="1"/>
  <c r="C818" i="2"/>
  <c r="K818" i="2" s="1"/>
  <c r="C819" i="2"/>
  <c r="K819" i="2" s="1"/>
  <c r="C820" i="2"/>
  <c r="K820" i="2" s="1"/>
  <c r="C821" i="2"/>
  <c r="K821" i="2" s="1"/>
  <c r="C822" i="2"/>
  <c r="K822" i="2" s="1"/>
  <c r="C823" i="2"/>
  <c r="K823" i="2" s="1"/>
  <c r="C824" i="2"/>
  <c r="K824" i="2" s="1"/>
  <c r="C825" i="2"/>
  <c r="K825" i="2" s="1"/>
  <c r="C826" i="2"/>
  <c r="K826" i="2" s="1"/>
  <c r="C827" i="2"/>
  <c r="K827" i="2" s="1"/>
  <c r="C828" i="2"/>
  <c r="K828" i="2" s="1"/>
  <c r="C829" i="2"/>
  <c r="K829" i="2" s="1"/>
  <c r="C830" i="2"/>
  <c r="K830" i="2" s="1"/>
  <c r="C831" i="2"/>
  <c r="K831" i="2" s="1"/>
  <c r="C832" i="2"/>
  <c r="K832" i="2" s="1"/>
  <c r="C833" i="2"/>
  <c r="K833" i="2" s="1"/>
  <c r="C834" i="2"/>
  <c r="K834" i="2" s="1"/>
  <c r="C835" i="2"/>
  <c r="K835" i="2" s="1"/>
  <c r="C836" i="2"/>
  <c r="K836" i="2" s="1"/>
  <c r="C837" i="2"/>
  <c r="K837" i="2" s="1"/>
  <c r="C838" i="2"/>
  <c r="K838" i="2" s="1"/>
  <c r="C839" i="2"/>
  <c r="K839" i="2" s="1"/>
  <c r="C840" i="2"/>
  <c r="K840" i="2" s="1"/>
  <c r="C841" i="2"/>
  <c r="K841" i="2" s="1"/>
  <c r="C842" i="2"/>
  <c r="K842" i="2" s="1"/>
  <c r="C843" i="2"/>
  <c r="K843" i="2" s="1"/>
  <c r="C844" i="2"/>
  <c r="K844" i="2" s="1"/>
  <c r="C845" i="2"/>
  <c r="K845" i="2" s="1"/>
  <c r="C846" i="2"/>
  <c r="K846" i="2" s="1"/>
  <c r="C847" i="2"/>
  <c r="K847" i="2" s="1"/>
  <c r="C848" i="2"/>
  <c r="K848" i="2" s="1"/>
  <c r="C849" i="2"/>
  <c r="K849" i="2" s="1"/>
  <c r="C850" i="2"/>
  <c r="K850" i="2" s="1"/>
  <c r="M8" i="1"/>
  <c r="M7" i="1"/>
  <c r="B8" i="3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K2" i="1"/>
  <c r="K3" i="1" s="1"/>
  <c r="K4" i="1" s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B3" i="3"/>
  <c r="J2" i="3"/>
  <c r="B2" i="3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L631" i="2" l="1"/>
  <c r="L633" i="2"/>
  <c r="L635" i="2"/>
  <c r="L637" i="2"/>
  <c r="L639" i="2"/>
  <c r="L641" i="2"/>
  <c r="L643" i="2"/>
  <c r="L645" i="2"/>
  <c r="L648" i="2"/>
  <c r="L650" i="2"/>
  <c r="L652" i="2"/>
  <c r="L654" i="2"/>
  <c r="L656" i="2"/>
  <c r="L658" i="2"/>
  <c r="L660" i="2"/>
  <c r="L662" i="2"/>
  <c r="L664" i="2"/>
  <c r="L666" i="2"/>
  <c r="L668" i="2"/>
  <c r="L670" i="2"/>
  <c r="L672" i="2"/>
  <c r="L674" i="2"/>
  <c r="L676" i="2"/>
  <c r="L678" i="2"/>
  <c r="L680" i="2"/>
  <c r="L682" i="2"/>
  <c r="L683" i="2"/>
  <c r="L685" i="2"/>
  <c r="L687" i="2"/>
  <c r="L689" i="2"/>
  <c r="L691" i="2"/>
  <c r="L693" i="2"/>
  <c r="L695" i="2"/>
  <c r="L697" i="2"/>
  <c r="L700" i="2"/>
  <c r="L701" i="2"/>
  <c r="L703" i="2"/>
  <c r="L705" i="2"/>
  <c r="L707" i="2"/>
  <c r="L710" i="2"/>
  <c r="L712" i="2"/>
  <c r="L714" i="2"/>
  <c r="L716" i="2"/>
  <c r="L718" i="2"/>
  <c r="L720" i="2"/>
  <c r="L722" i="2"/>
  <c r="L725" i="2"/>
  <c r="L727" i="2"/>
  <c r="L729" i="2"/>
  <c r="L731" i="2"/>
  <c r="L733" i="2"/>
  <c r="L735" i="2"/>
  <c r="L737" i="2"/>
  <c r="L740" i="2"/>
  <c r="L742" i="2"/>
  <c r="L744" i="2"/>
  <c r="L745" i="2"/>
  <c r="L747" i="2"/>
  <c r="L749" i="2"/>
  <c r="L751" i="2"/>
  <c r="L753" i="2"/>
  <c r="L755" i="2"/>
  <c r="L757" i="2"/>
  <c r="L759" i="2"/>
  <c r="L761" i="2"/>
  <c r="L763" i="2"/>
  <c r="L765" i="2"/>
  <c r="L766" i="2"/>
  <c r="L768" i="2"/>
  <c r="L770" i="2"/>
  <c r="L772" i="2"/>
  <c r="L774" i="2"/>
  <c r="L776" i="2"/>
  <c r="L778" i="2"/>
  <c r="L780" i="2"/>
  <c r="L782" i="2"/>
  <c r="L784" i="2"/>
  <c r="L786" i="2"/>
  <c r="L788" i="2"/>
  <c r="L790" i="2"/>
  <c r="L792" i="2"/>
  <c r="L795" i="2"/>
  <c r="L798" i="2"/>
  <c r="L799" i="2"/>
  <c r="L800" i="2"/>
  <c r="L801" i="2"/>
  <c r="L804" i="2"/>
  <c r="L805" i="2"/>
  <c r="L807" i="2"/>
  <c r="L809" i="2"/>
  <c r="L929" i="2"/>
  <c r="L932" i="2"/>
  <c r="L935" i="2"/>
  <c r="L938" i="2"/>
  <c r="L941" i="2"/>
  <c r="L943" i="2"/>
  <c r="L946" i="2"/>
  <c r="L949" i="2"/>
  <c r="L952" i="2"/>
  <c r="L953" i="2"/>
  <c r="L956" i="2"/>
  <c r="L959" i="2"/>
  <c r="L962" i="2"/>
  <c r="L965" i="2"/>
  <c r="L969" i="2"/>
  <c r="L972" i="2"/>
  <c r="L975" i="2"/>
  <c r="L977" i="2"/>
  <c r="L981" i="2"/>
  <c r="L984" i="2"/>
  <c r="L987" i="2"/>
  <c r="L990" i="2"/>
  <c r="L993" i="2"/>
  <c r="L996" i="2"/>
  <c r="L999" i="2"/>
  <c r="L630" i="2"/>
  <c r="L632" i="2"/>
  <c r="L634" i="2"/>
  <c r="L636" i="2"/>
  <c r="L638" i="2"/>
  <c r="L640" i="2"/>
  <c r="L642" i="2"/>
  <c r="L644" i="2"/>
  <c r="L646" i="2"/>
  <c r="L647" i="2"/>
  <c r="L649" i="2"/>
  <c r="L651" i="2"/>
  <c r="L653" i="2"/>
  <c r="L655" i="2"/>
  <c r="L657" i="2"/>
  <c r="L659" i="2"/>
  <c r="L661" i="2"/>
  <c r="L663" i="2"/>
  <c r="L665" i="2"/>
  <c r="L667" i="2"/>
  <c r="L669" i="2"/>
  <c r="L671" i="2"/>
  <c r="L673" i="2"/>
  <c r="L675" i="2"/>
  <c r="L677" i="2"/>
  <c r="L679" i="2"/>
  <c r="L681" i="2"/>
  <c r="L684" i="2"/>
  <c r="L686" i="2"/>
  <c r="L688" i="2"/>
  <c r="L690" i="2"/>
  <c r="L692" i="2"/>
  <c r="L694" i="2"/>
  <c r="L696" i="2"/>
  <c r="L698" i="2"/>
  <c r="L699" i="2"/>
  <c r="L702" i="2"/>
  <c r="L704" i="2"/>
  <c r="L706" i="2"/>
  <c r="L708" i="2"/>
  <c r="L709" i="2"/>
  <c r="L711" i="2"/>
  <c r="L713" i="2"/>
  <c r="L715" i="2"/>
  <c r="L717" i="2"/>
  <c r="L719" i="2"/>
  <c r="L721" i="2"/>
  <c r="L723" i="2"/>
  <c r="L724" i="2"/>
  <c r="L726" i="2"/>
  <c r="L728" i="2"/>
  <c r="L730" i="2"/>
  <c r="L732" i="2"/>
  <c r="L734" i="2"/>
  <c r="L736" i="2"/>
  <c r="L738" i="2"/>
  <c r="L739" i="2"/>
  <c r="L741" i="2"/>
  <c r="L743" i="2"/>
  <c r="L746" i="2"/>
  <c r="L748" i="2"/>
  <c r="L750" i="2"/>
  <c r="L752" i="2"/>
  <c r="L754" i="2"/>
  <c r="L756" i="2"/>
  <c r="L758" i="2"/>
  <c r="L760" i="2"/>
  <c r="L762" i="2"/>
  <c r="L764" i="2"/>
  <c r="L767" i="2"/>
  <c r="L769" i="2"/>
  <c r="L771" i="2"/>
  <c r="L773" i="2"/>
  <c r="L775" i="2"/>
  <c r="L777" i="2"/>
  <c r="L779" i="2"/>
  <c r="L781" i="2"/>
  <c r="L783" i="2"/>
  <c r="L785" i="2"/>
  <c r="L787" i="2"/>
  <c r="L789" i="2"/>
  <c r="L791" i="2"/>
  <c r="L793" i="2"/>
  <c r="L794" i="2"/>
  <c r="L796" i="2"/>
  <c r="L797" i="2"/>
  <c r="L802" i="2"/>
  <c r="L803" i="2"/>
  <c r="L806" i="2"/>
  <c r="L808" i="2"/>
  <c r="L930" i="2"/>
  <c r="L933" i="2"/>
  <c r="L936" i="2"/>
  <c r="L939" i="2"/>
  <c r="L942" i="2"/>
  <c r="L945" i="2"/>
  <c r="L948" i="2"/>
  <c r="L951" i="2"/>
  <c r="L955" i="2"/>
  <c r="L958" i="2"/>
  <c r="L960" i="2"/>
  <c r="L963" i="2"/>
  <c r="L967" i="2"/>
  <c r="L970" i="2"/>
  <c r="L973" i="2"/>
  <c r="L976" i="2"/>
  <c r="L979" i="2"/>
  <c r="L982" i="2"/>
  <c r="L985" i="2"/>
  <c r="L988" i="2"/>
  <c r="L991" i="2"/>
  <c r="L994" i="2"/>
  <c r="L997" i="2"/>
  <c r="L1000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31" i="2"/>
  <c r="L934" i="2"/>
  <c r="L937" i="2"/>
  <c r="L940" i="2"/>
  <c r="L944" i="2"/>
  <c r="L947" i="2"/>
  <c r="L950" i="2"/>
  <c r="L954" i="2"/>
  <c r="L957" i="2"/>
  <c r="L961" i="2"/>
  <c r="L964" i="2"/>
  <c r="L966" i="2"/>
  <c r="L968" i="2"/>
  <c r="L971" i="2"/>
  <c r="L974" i="2"/>
  <c r="L978" i="2"/>
  <c r="L980" i="2"/>
  <c r="L983" i="2"/>
  <c r="L986" i="2"/>
  <c r="L989" i="2"/>
  <c r="L992" i="2"/>
  <c r="L995" i="2"/>
  <c r="L998" i="2"/>
  <c r="L1001" i="2"/>
  <c r="M2" i="2" a="1"/>
  <c r="I2" i="2"/>
  <c r="M3" i="2" a="1"/>
  <c r="I3" i="2"/>
  <c r="M4" i="2" a="1"/>
  <c r="I4" i="2"/>
  <c r="M5" i="2" a="1"/>
  <c r="I5" i="2"/>
  <c r="C5" i="2" s="1"/>
  <c r="K5" i="2" s="1"/>
  <c r="L5" i="2"/>
  <c r="M6" i="2" a="1"/>
  <c r="I6" i="2"/>
  <c r="C6" i="2" s="1"/>
  <c r="K6" i="2" s="1"/>
  <c r="L6" i="2"/>
  <c r="M7" i="2" a="1"/>
  <c r="L7" i="2"/>
  <c r="I7" i="2"/>
  <c r="C7" i="2" s="1"/>
  <c r="K7" i="2" s="1"/>
  <c r="M8" i="2" a="1"/>
  <c r="I8" i="2"/>
  <c r="M9" i="2" a="1"/>
  <c r="I9" i="2"/>
  <c r="M10" i="2" a="1"/>
  <c r="I10" i="2"/>
  <c r="C10" i="2" s="1"/>
  <c r="K10" i="2" s="1"/>
  <c r="L10" i="2"/>
  <c r="M11" i="2" a="1"/>
  <c r="I11" i="2"/>
  <c r="M12" i="2" a="1"/>
  <c r="I12" i="2"/>
  <c r="C12" i="2" s="1"/>
  <c r="K12" i="2" s="1"/>
  <c r="L12" i="2"/>
  <c r="M13" i="2" a="1"/>
  <c r="I13" i="2"/>
  <c r="C13" i="2" s="1"/>
  <c r="K13" i="2" s="1"/>
  <c r="L13" i="2"/>
  <c r="M14" i="2" a="1"/>
  <c r="I14" i="2"/>
  <c r="C14" i="2" s="1"/>
  <c r="K14" i="2" s="1"/>
  <c r="L14" i="2"/>
  <c r="M15" i="2" a="1"/>
  <c r="I15" i="2"/>
  <c r="C15" i="2" s="1"/>
  <c r="K15" i="2" s="1"/>
  <c r="L15" i="2"/>
  <c r="M16" i="2" a="1"/>
  <c r="I16" i="2"/>
  <c r="I17" i="2"/>
  <c r="M17" i="2" a="1"/>
  <c r="I18" i="2"/>
  <c r="M18" i="2" a="1"/>
  <c r="M19" i="2" a="1"/>
  <c r="I19" i="2"/>
  <c r="M20" i="2" a="1"/>
  <c r="I20" i="2"/>
  <c r="M21" i="2" a="1"/>
  <c r="I21" i="2"/>
  <c r="M22" i="2" a="1"/>
  <c r="I22" i="2"/>
  <c r="M23" i="2" a="1"/>
  <c r="I23" i="2"/>
  <c r="M24" i="2" a="1"/>
  <c r="I24" i="2"/>
  <c r="M25" i="2" a="1"/>
  <c r="I25" i="2"/>
  <c r="M26" i="2" a="1"/>
  <c r="I26" i="2"/>
  <c r="C26" i="2" s="1"/>
  <c r="K26" i="2" s="1"/>
  <c r="L26" i="2"/>
  <c r="M27" i="2" a="1"/>
  <c r="I27" i="2"/>
  <c r="M28" i="2" a="1"/>
  <c r="I28" i="2"/>
  <c r="M29" i="2" a="1"/>
  <c r="I29" i="2"/>
  <c r="C29" i="2" s="1"/>
  <c r="K29" i="2" s="1"/>
  <c r="L29" i="2"/>
  <c r="M30" i="2" a="1"/>
  <c r="I30" i="2"/>
  <c r="M31" i="2" a="1"/>
  <c r="I31" i="2"/>
  <c r="M32" i="2" a="1"/>
  <c r="I32" i="2"/>
  <c r="I33" i="2"/>
  <c r="M33" i="2" a="1"/>
  <c r="I34" i="2"/>
  <c r="M34" i="2" a="1"/>
  <c r="I35" i="2"/>
  <c r="C35" i="2" s="1"/>
  <c r="K35" i="2" s="1"/>
  <c r="M35" i="2" a="1"/>
  <c r="L35" i="2"/>
  <c r="I36" i="2"/>
  <c r="M36" i="2" a="1"/>
  <c r="M37" i="2" a="1"/>
  <c r="I37" i="2"/>
  <c r="E37" i="2" a="1"/>
  <c r="M38" i="2" a="1"/>
  <c r="E38" i="2" s="1" a="1"/>
  <c r="I38" i="2"/>
  <c r="E39" i="2" a="1"/>
  <c r="M39" i="2" a="1"/>
  <c r="I39" i="2"/>
  <c r="I40" i="2"/>
  <c r="C40" i="2" s="1"/>
  <c r="K40" i="2" s="1"/>
  <c r="M40" i="2" a="1"/>
  <c r="L40" i="2"/>
  <c r="E40" i="2" a="1"/>
  <c r="M41" i="2" a="1"/>
  <c r="E41" i="2" s="1" a="1"/>
  <c r="I41" i="2"/>
  <c r="I42" i="2"/>
  <c r="C42" i="2" s="1"/>
  <c r="K42" i="2" s="1"/>
  <c r="L42" i="2"/>
  <c r="M42" i="2" a="1"/>
  <c r="E42" i="2" a="1"/>
  <c r="M43" i="2" a="1"/>
  <c r="E43" i="2" a="1"/>
  <c r="I43" i="2"/>
  <c r="C43" i="2" s="1"/>
  <c r="K43" i="2" s="1"/>
  <c r="L43" i="2"/>
  <c r="I44" i="2"/>
  <c r="C44" i="2" s="1"/>
  <c r="K44" i="2" s="1"/>
  <c r="M44" i="2" a="1"/>
  <c r="E44" i="2" s="1" a="1"/>
  <c r="L44" i="2"/>
  <c r="I45" i="2"/>
  <c r="C45" i="2" s="1"/>
  <c r="K45" i="2" s="1"/>
  <c r="M45" i="2" a="1"/>
  <c r="E45" i="2" s="1" a="1"/>
  <c r="L45" i="2"/>
  <c r="E46" i="2" a="1"/>
  <c r="I46" i="2"/>
  <c r="C46" i="2" s="1"/>
  <c r="K46" i="2" s="1"/>
  <c r="M46" i="2" a="1"/>
  <c r="L46" i="2"/>
  <c r="I47" i="2"/>
  <c r="C47" i="2" s="1"/>
  <c r="M47" i="2" a="1"/>
  <c r="E47" i="2" s="1" a="1"/>
  <c r="L47" i="2"/>
  <c r="M48" i="2" a="1"/>
  <c r="I48" i="2"/>
  <c r="E48" i="2" a="1"/>
  <c r="I49" i="2"/>
  <c r="M49" i="2" a="1"/>
  <c r="E49" i="2" s="1" a="1"/>
  <c r="I50" i="2"/>
  <c r="M50" i="2" a="1"/>
  <c r="E50" i="2" s="1" a="1"/>
  <c r="I51" i="2"/>
  <c r="M51" i="2" a="1"/>
  <c r="E51" i="2" s="1" a="1"/>
  <c r="I52" i="2"/>
  <c r="C52" i="2" s="1"/>
  <c r="M52" i="2" a="1"/>
  <c r="E52" i="2" s="1" a="1"/>
  <c r="L52" i="2"/>
  <c r="I53" i="2"/>
  <c r="M53" i="2" a="1"/>
  <c r="E53" i="2" s="1" a="1"/>
  <c r="I54" i="2"/>
  <c r="E54" i="2" a="1"/>
  <c r="M54" i="2" a="1"/>
  <c r="I55" i="2"/>
  <c r="C55" i="2" s="1"/>
  <c r="K55" i="2" s="1"/>
  <c r="M55" i="2" a="1"/>
  <c r="E55" i="2" s="1" a="1"/>
  <c r="L55" i="2"/>
  <c r="M56" i="2" a="1"/>
  <c r="E56" i="2" a="1"/>
  <c r="I56" i="2"/>
  <c r="I57" i="2"/>
  <c r="M57" i="2" a="1"/>
  <c r="E57" i="2" s="1" a="1"/>
  <c r="I58" i="2"/>
  <c r="C58" i="2" s="1"/>
  <c r="K58" i="2" s="1"/>
  <c r="L58" i="2"/>
  <c r="M58" i="2" a="1"/>
  <c r="E58" i="2" a="1"/>
  <c r="M59" i="2" a="1"/>
  <c r="I59" i="2"/>
  <c r="C59" i="2" s="1"/>
  <c r="K59" i="2" s="1"/>
  <c r="E59" i="2" a="1"/>
  <c r="L59" i="2"/>
  <c r="I60" i="2"/>
  <c r="C60" i="2" s="1"/>
  <c r="K60" i="2" s="1"/>
  <c r="M60" i="2" a="1"/>
  <c r="L60" i="2"/>
  <c r="E60" i="2" a="1"/>
  <c r="M61" i="2" a="1"/>
  <c r="I61" i="2"/>
  <c r="E61" i="2" a="1"/>
  <c r="M62" i="2" a="1"/>
  <c r="I62" i="2"/>
  <c r="C62" i="2" s="1"/>
  <c r="K62" i="2" s="1"/>
  <c r="E62" i="2" a="1"/>
  <c r="L62" i="2"/>
  <c r="M63" i="2" a="1"/>
  <c r="E63" i="2" s="1" a="1"/>
  <c r="I63" i="2"/>
  <c r="M64" i="2" a="1"/>
  <c r="E64" i="2" s="1" a="1"/>
  <c r="I64" i="2"/>
  <c r="I65" i="2"/>
  <c r="E65" i="2" a="1"/>
  <c r="M65" i="2" a="1"/>
  <c r="I66" i="2"/>
  <c r="C66" i="2" s="1"/>
  <c r="L66" i="2"/>
  <c r="M66" i="2" a="1"/>
  <c r="E66" i="2" s="1" a="1"/>
  <c r="I67" i="2"/>
  <c r="M67" i="2" a="1"/>
  <c r="E67" i="2" s="1" a="1"/>
  <c r="M68" i="2" a="1"/>
  <c r="I68" i="2"/>
  <c r="E68" i="2" a="1"/>
  <c r="M69" i="2" a="1"/>
  <c r="E69" i="2" a="1"/>
  <c r="I69" i="2"/>
  <c r="M70" i="2" a="1"/>
  <c r="E70" i="2" s="1" a="1"/>
  <c r="I70" i="2"/>
  <c r="C70" i="2" s="1"/>
  <c r="K70" i="2" s="1"/>
  <c r="L70" i="2"/>
  <c r="I71" i="2"/>
  <c r="M71" i="2" a="1"/>
  <c r="E71" i="2" a="1"/>
  <c r="I72" i="2"/>
  <c r="M72" i="2" a="1"/>
  <c r="E72" i="2" s="1" a="1"/>
  <c r="I73" i="2"/>
  <c r="M73" i="2" a="1"/>
  <c r="E73" i="2" s="1" a="1"/>
  <c r="I74" i="2"/>
  <c r="M74" i="2" a="1"/>
  <c r="E74" i="2" a="1"/>
  <c r="M75" i="2" a="1"/>
  <c r="I75" i="2"/>
  <c r="E75" i="2" a="1"/>
  <c r="I76" i="2"/>
  <c r="C76" i="2" s="1"/>
  <c r="K76" i="2" s="1"/>
  <c r="L76" i="2"/>
  <c r="M76" i="2" a="1"/>
  <c r="E76" i="2" s="1" a="1"/>
  <c r="M77" i="2" a="1"/>
  <c r="I77" i="2"/>
  <c r="E77" i="2" a="1"/>
  <c r="I78" i="2"/>
  <c r="M78" i="2" a="1"/>
  <c r="E78" i="2" a="1"/>
  <c r="I79" i="2"/>
  <c r="M79" i="2" a="1"/>
  <c r="E79" i="2" a="1"/>
  <c r="I80" i="2"/>
  <c r="C80" i="2" s="1"/>
  <c r="L80" i="2"/>
  <c r="M80" i="2" a="1"/>
  <c r="E80" i="2" a="1"/>
  <c r="M81" i="2" a="1"/>
  <c r="E81" i="2" s="1" a="1"/>
  <c r="I81" i="2"/>
  <c r="I82" i="2"/>
  <c r="M82" i="2" a="1"/>
  <c r="E82" i="2" a="1"/>
  <c r="M83" i="2" a="1"/>
  <c r="I83" i="2"/>
  <c r="E83" i="2" a="1"/>
  <c r="M84" i="2" a="1"/>
  <c r="E84" i="2" a="1"/>
  <c r="I84" i="2"/>
  <c r="M85" i="2" a="1"/>
  <c r="I85" i="2"/>
  <c r="E85" i="2" a="1"/>
  <c r="M86" i="2" a="1"/>
  <c r="E86" i="2" a="1"/>
  <c r="I86" i="2"/>
  <c r="M87" i="2" a="1"/>
  <c r="I87" i="2"/>
  <c r="E87" i="2" a="1"/>
  <c r="M88" i="2" a="1"/>
  <c r="E88" i="2" a="1"/>
  <c r="I88" i="2"/>
  <c r="L89" i="2"/>
  <c r="M89" i="2" a="1"/>
  <c r="E89" i="2" s="1" a="1"/>
  <c r="I89" i="2"/>
  <c r="C89" i="2" s="1"/>
  <c r="M90" i="2" a="1"/>
  <c r="E90" i="2" s="1" a="1"/>
  <c r="I90" i="2"/>
  <c r="M91" i="2" a="1"/>
  <c r="I91" i="2"/>
  <c r="E91" i="2" a="1"/>
  <c r="M92" i="2" a="1"/>
  <c r="I92" i="2"/>
  <c r="E92" i="2" a="1"/>
  <c r="M93" i="2" a="1"/>
  <c r="I93" i="2"/>
  <c r="E93" i="2" a="1"/>
  <c r="M94" i="2" a="1"/>
  <c r="I94" i="2"/>
  <c r="E94" i="2" a="1"/>
  <c r="M95" i="2" a="1"/>
  <c r="E95" i="2" a="1"/>
  <c r="I95" i="2"/>
  <c r="M96" i="2" a="1"/>
  <c r="E96" i="2" a="1"/>
  <c r="I96" i="2"/>
  <c r="M97" i="2" a="1"/>
  <c r="E97" i="2" a="1"/>
  <c r="I97" i="2"/>
  <c r="C97" i="2" s="1"/>
  <c r="K97" i="2" s="1"/>
  <c r="L97" i="2"/>
  <c r="M98" i="2" a="1"/>
  <c r="I98" i="2"/>
  <c r="E98" i="2" a="1"/>
  <c r="M99" i="2" a="1"/>
  <c r="E99" i="2" a="1"/>
  <c r="I99" i="2"/>
  <c r="I100" i="2"/>
  <c r="C100" i="2" s="1"/>
  <c r="L100" i="2"/>
  <c r="M100" i="2" a="1"/>
  <c r="E100" i="2" a="1"/>
  <c r="I101" i="2"/>
  <c r="C101" i="2" s="1"/>
  <c r="L101" i="2"/>
  <c r="M101" i="2" a="1"/>
  <c r="E101" i="2" s="1" a="1"/>
  <c r="I102" i="2"/>
  <c r="M102" i="2" a="1"/>
  <c r="E102" i="2" s="1" a="1"/>
  <c r="I103" i="2"/>
  <c r="M103" i="2" a="1"/>
  <c r="E103" i="2" s="1" a="1"/>
  <c r="I104" i="2"/>
  <c r="M104" i="2" a="1"/>
  <c r="E104" i="2" s="1" a="1"/>
  <c r="M105" i="2" a="1"/>
  <c r="E105" i="2" s="1" a="1"/>
  <c r="I105" i="2"/>
  <c r="I106" i="2"/>
  <c r="M106" i="2" a="1"/>
  <c r="E106" i="2" a="1"/>
  <c r="I107" i="2"/>
  <c r="C107" i="2" s="1"/>
  <c r="M107" i="2" a="1"/>
  <c r="E107" i="2" s="1" a="1"/>
  <c r="L107" i="2"/>
  <c r="M108" i="2" a="1"/>
  <c r="E108" i="2" a="1"/>
  <c r="I108" i="2"/>
  <c r="C108" i="2" s="1"/>
  <c r="K108" i="2" s="1"/>
  <c r="L108" i="2"/>
  <c r="I109" i="2"/>
  <c r="C109" i="2" s="1"/>
  <c r="M109" i="2" a="1"/>
  <c r="E109" i="2" s="1" a="1"/>
  <c r="L109" i="2"/>
  <c r="I110" i="2"/>
  <c r="M110" i="2" a="1"/>
  <c r="E110" i="2" s="1" a="1"/>
  <c r="M111" i="2" a="1"/>
  <c r="I111" i="2"/>
  <c r="C111" i="2" s="1"/>
  <c r="K111" i="2" s="1"/>
  <c r="E111" i="2" a="1"/>
  <c r="L111" i="2"/>
  <c r="M112" i="2" a="1"/>
  <c r="E112" i="2" a="1"/>
  <c r="I112" i="2"/>
  <c r="I113" i="2"/>
  <c r="C113" i="2" s="1"/>
  <c r="M113" i="2" a="1"/>
  <c r="E113" i="2" s="1" a="1"/>
  <c r="L113" i="2"/>
  <c r="M114" i="2" a="1"/>
  <c r="E114" i="2" s="1" a="1"/>
  <c r="I114" i="2"/>
  <c r="M115" i="2" a="1"/>
  <c r="E115" i="2" s="1" a="1"/>
  <c r="I115" i="2"/>
  <c r="M116" i="2" a="1"/>
  <c r="E116" i="2" a="1"/>
  <c r="I116" i="2"/>
  <c r="M117" i="2" a="1"/>
  <c r="E117" i="2" s="1" a="1"/>
  <c r="I117" i="2"/>
  <c r="M118" i="2" a="1"/>
  <c r="E118" i="2" a="1"/>
  <c r="I118" i="2"/>
  <c r="M119" i="2" a="1"/>
  <c r="E119" i="2" s="1" a="1"/>
  <c r="I119" i="2"/>
  <c r="M120" i="2" a="1"/>
  <c r="E120" i="2" s="1" a="1"/>
  <c r="I120" i="2"/>
  <c r="M121" i="2" a="1"/>
  <c r="E121" i="2" a="1"/>
  <c r="I121" i="2"/>
  <c r="M122" i="2" a="1"/>
  <c r="E122" i="2" s="1" a="1"/>
  <c r="I122" i="2"/>
  <c r="M123" i="2" a="1"/>
  <c r="E123" i="2" a="1"/>
  <c r="I123" i="2"/>
  <c r="M124" i="2" a="1"/>
  <c r="E124" i="2" s="1" a="1"/>
  <c r="I124" i="2"/>
  <c r="M125" i="2" a="1"/>
  <c r="E125" i="2" s="1" a="1"/>
  <c r="I125" i="2"/>
  <c r="C125" i="2" s="1"/>
  <c r="K125" i="2" s="1"/>
  <c r="L125" i="2"/>
  <c r="M126" i="2" a="1"/>
  <c r="E126" i="2" s="1" a="1"/>
  <c r="I126" i="2"/>
  <c r="I127" i="2"/>
  <c r="M127" i="2" a="1"/>
  <c r="E127" i="2" a="1"/>
  <c r="I128" i="2"/>
  <c r="M128" i="2" a="1"/>
  <c r="E128" i="2" s="1" a="1"/>
  <c r="M129" i="2" a="1"/>
  <c r="E129" i="2" a="1"/>
  <c r="I129" i="2"/>
  <c r="C129" i="2" s="1"/>
  <c r="K129" i="2" s="1"/>
  <c r="L129" i="2"/>
  <c r="M130" i="2" a="1"/>
  <c r="I130" i="2"/>
  <c r="C130" i="2" s="1"/>
  <c r="K130" i="2" s="1"/>
  <c r="E130" i="2" a="1"/>
  <c r="L130" i="2"/>
  <c r="M131" i="2" a="1"/>
  <c r="E131" i="2" s="1" a="1"/>
  <c r="I131" i="2"/>
  <c r="C131" i="2" s="1"/>
  <c r="K131" i="2" s="1"/>
  <c r="L131" i="2"/>
  <c r="M132" i="2" a="1"/>
  <c r="E132" i="2" s="1" a="1"/>
  <c r="I132" i="2"/>
  <c r="C132" i="2" s="1"/>
  <c r="K132" i="2" s="1"/>
  <c r="L132" i="2"/>
  <c r="M133" i="2" a="1"/>
  <c r="E133" i="2" s="1" a="1"/>
  <c r="I133" i="2"/>
  <c r="C133" i="2" s="1"/>
  <c r="K133" i="2" s="1"/>
  <c r="L133" i="2"/>
  <c r="I134" i="2"/>
  <c r="M134" i="2" a="1"/>
  <c r="E134" i="2" s="1" a="1"/>
  <c r="I135" i="2"/>
  <c r="C135" i="2" s="1"/>
  <c r="M135" i="2" a="1"/>
  <c r="E135" i="2" s="1" a="1"/>
  <c r="L135" i="2"/>
  <c r="M136" i="2" a="1"/>
  <c r="E136" i="2" s="1" a="1"/>
  <c r="I136" i="2"/>
  <c r="M137" i="2" a="1"/>
  <c r="I137" i="2"/>
  <c r="C137" i="2" s="1"/>
  <c r="K137" i="2" s="1"/>
  <c r="L137" i="2"/>
  <c r="E137" i="2" a="1"/>
  <c r="I138" i="2"/>
  <c r="C138" i="2" s="1"/>
  <c r="M138" i="2" a="1"/>
  <c r="E138" i="2" s="1" a="1"/>
  <c r="L138" i="2"/>
  <c r="M139" i="2" a="1"/>
  <c r="I139" i="2"/>
  <c r="C139" i="2" s="1"/>
  <c r="K139" i="2" s="1"/>
  <c r="E139" i="2" a="1"/>
  <c r="L139" i="2"/>
  <c r="M140" i="2" a="1"/>
  <c r="I140" i="2"/>
  <c r="C140" i="2" s="1"/>
  <c r="K140" i="2" s="1"/>
  <c r="E140" i="2" a="1"/>
  <c r="L140" i="2"/>
  <c r="I141" i="2"/>
  <c r="C141" i="2" s="1"/>
  <c r="M141" i="2" a="1"/>
  <c r="E141" i="2" s="1" a="1"/>
  <c r="L141" i="2"/>
  <c r="M142" i="2" a="1"/>
  <c r="E142" i="2" a="1"/>
  <c r="I142" i="2"/>
  <c r="M143" i="2" a="1"/>
  <c r="I143" i="2"/>
  <c r="E143" i="2" a="1"/>
  <c r="I144" i="2"/>
  <c r="M144" i="2" a="1"/>
  <c r="E144" i="2" s="1" a="1"/>
  <c r="M145" i="2" a="1"/>
  <c r="E145" i="2" a="1"/>
  <c r="I145" i="2"/>
  <c r="M146" i="2" a="1"/>
  <c r="I146" i="2"/>
  <c r="E146" i="2" a="1"/>
  <c r="M147" i="2" a="1"/>
  <c r="I147" i="2"/>
  <c r="C147" i="2" s="1"/>
  <c r="K147" i="2" s="1"/>
  <c r="L147" i="2"/>
  <c r="E147" i="2" a="1"/>
  <c r="M148" i="2" a="1"/>
  <c r="E148" i="2" a="1"/>
  <c r="I148" i="2"/>
  <c r="C148" i="2" s="1"/>
  <c r="K148" i="2" s="1"/>
  <c r="L148" i="2"/>
  <c r="M149" i="2" a="1"/>
  <c r="I149" i="2"/>
  <c r="E149" i="2" a="1"/>
  <c r="I150" i="2"/>
  <c r="M150" i="2" a="1"/>
  <c r="E150" i="2" s="1" a="1"/>
  <c r="M151" i="2" a="1"/>
  <c r="E151" i="2" s="1" a="1"/>
  <c r="I151" i="2"/>
  <c r="M152" i="2" a="1"/>
  <c r="I152" i="2"/>
  <c r="E152" i="2" a="1"/>
  <c r="I153" i="2"/>
  <c r="C153" i="2" s="1"/>
  <c r="L153" i="2"/>
  <c r="M153" i="2" a="1"/>
  <c r="E153" i="2" s="1" a="1"/>
  <c r="I154" i="2"/>
  <c r="M154" i="2" a="1"/>
  <c r="E154" i="2" s="1" a="1"/>
  <c r="I155" i="2"/>
  <c r="M155" i="2" a="1"/>
  <c r="E155" i="2" s="1" a="1"/>
  <c r="I156" i="2"/>
  <c r="M156" i="2" a="1"/>
  <c r="E156" i="2" s="1" a="1"/>
  <c r="I157" i="2"/>
  <c r="M157" i="2" a="1"/>
  <c r="E157" i="2" s="1" a="1"/>
  <c r="I158" i="2"/>
  <c r="M158" i="2" a="1"/>
  <c r="E158" i="2" s="1" a="1"/>
  <c r="I159" i="2"/>
  <c r="C159" i="2" s="1"/>
  <c r="L159" i="2"/>
  <c r="M159" i="2" a="1"/>
  <c r="E159" i="2" s="1" a="1"/>
  <c r="M160" i="2" a="1"/>
  <c r="E160" i="2" a="1"/>
  <c r="I160" i="2"/>
  <c r="M161" i="2" a="1"/>
  <c r="I161" i="2"/>
  <c r="C161" i="2" s="1"/>
  <c r="K161" i="2" s="1"/>
  <c r="L161" i="2"/>
  <c r="E161" i="2" a="1"/>
  <c r="I162" i="2"/>
  <c r="M162" i="2" a="1"/>
  <c r="E162" i="2" a="1"/>
  <c r="I163" i="2"/>
  <c r="C163" i="2" s="1"/>
  <c r="L163" i="2"/>
  <c r="M163" i="2" a="1"/>
  <c r="E163" i="2" a="1"/>
  <c r="M164" i="2" a="1"/>
  <c r="E164" i="2" s="1" a="1"/>
  <c r="I164" i="2"/>
  <c r="C164" i="2" s="1"/>
  <c r="K164" i="2" s="1"/>
  <c r="L164" i="2"/>
  <c r="I165" i="2"/>
  <c r="M165" i="2" a="1"/>
  <c r="E165" i="2" s="1" a="1"/>
  <c r="I166" i="2"/>
  <c r="C166" i="2" s="1"/>
  <c r="L166" i="2"/>
  <c r="M166" i="2" a="1"/>
  <c r="E166" i="2" s="1" a="1"/>
  <c r="I167" i="2"/>
  <c r="C167" i="2" s="1"/>
  <c r="L167" i="2"/>
  <c r="M167" i="2" a="1"/>
  <c r="E167" i="2" s="1" a="1"/>
  <c r="M168" i="2" a="1"/>
  <c r="I168" i="2"/>
  <c r="E168" i="2" a="1"/>
  <c r="I169" i="2"/>
  <c r="C169" i="2" s="1"/>
  <c r="M169" i="2" a="1"/>
  <c r="E169" i="2" s="1" a="1"/>
  <c r="L169" i="2"/>
  <c r="M170" i="2" a="1"/>
  <c r="E170" i="2" s="1" a="1"/>
  <c r="I170" i="2"/>
  <c r="C170" i="2" s="1"/>
  <c r="K170" i="2" s="1"/>
  <c r="L170" i="2"/>
  <c r="M171" i="2" a="1"/>
  <c r="I171" i="2"/>
  <c r="E171" i="2" a="1"/>
  <c r="M172" i="2" a="1"/>
  <c r="E172" i="2" s="1" a="1"/>
  <c r="I172" i="2"/>
  <c r="C172" i="2" s="1"/>
  <c r="K172" i="2" s="1"/>
  <c r="L172" i="2"/>
  <c r="I173" i="2"/>
  <c r="M173" i="2" a="1"/>
  <c r="E173" i="2" s="1" a="1"/>
  <c r="M174" i="2" a="1"/>
  <c r="E174" i="2" s="1" a="1"/>
  <c r="I174" i="2"/>
  <c r="C174" i="2" s="1"/>
  <c r="K174" i="2" s="1"/>
  <c r="L174" i="2"/>
  <c r="M175" i="2" a="1"/>
  <c r="I175" i="2"/>
  <c r="E175" i="2" a="1"/>
  <c r="M176" i="2" a="1"/>
  <c r="I176" i="2"/>
  <c r="C176" i="2" s="1"/>
  <c r="K176" i="2" s="1"/>
  <c r="L176" i="2"/>
  <c r="E176" i="2" a="1"/>
  <c r="M177" i="2" a="1"/>
  <c r="I177" i="2"/>
  <c r="C177" i="2" s="1"/>
  <c r="K177" i="2" s="1"/>
  <c r="E177" i="2" a="1"/>
  <c r="L177" i="2"/>
  <c r="M178" i="2" a="1"/>
  <c r="I178" i="2"/>
  <c r="C178" i="2" s="1"/>
  <c r="K178" i="2" s="1"/>
  <c r="E178" i="2" a="1"/>
  <c r="L178" i="2"/>
  <c r="M179" i="2" a="1"/>
  <c r="I179" i="2"/>
  <c r="C179" i="2" s="1"/>
  <c r="K179" i="2" s="1"/>
  <c r="L179" i="2"/>
  <c r="E179" i="2" a="1"/>
  <c r="M180" i="2" a="1"/>
  <c r="I180" i="2"/>
  <c r="E180" i="2" a="1"/>
  <c r="M181" i="2" a="1"/>
  <c r="E181" i="2" a="1"/>
  <c r="I181" i="2"/>
  <c r="C181" i="2" s="1"/>
  <c r="K181" i="2" s="1"/>
  <c r="L181" i="2"/>
  <c r="M182" i="2" a="1"/>
  <c r="E182" i="2" a="1"/>
  <c r="I182" i="2"/>
  <c r="I183" i="2"/>
  <c r="C183" i="2" s="1"/>
  <c r="L183" i="2"/>
  <c r="M183" i="2" a="1"/>
  <c r="E183" i="2" s="1" a="1"/>
  <c r="I184" i="2"/>
  <c r="C184" i="2" s="1"/>
  <c r="L184" i="2"/>
  <c r="M184" i="2" a="1"/>
  <c r="E184" i="2" a="1"/>
  <c r="M185" i="2" a="1"/>
  <c r="E185" i="2" s="1" a="1"/>
  <c r="I185" i="2"/>
  <c r="I186" i="2"/>
  <c r="C186" i="2" s="1"/>
  <c r="M186" i="2" a="1"/>
  <c r="E186" i="2" s="1" a="1"/>
  <c r="L186" i="2"/>
  <c r="M187" i="2" a="1"/>
  <c r="E187" i="2" s="1" a="1"/>
  <c r="I187" i="2"/>
  <c r="C187" i="2" s="1"/>
  <c r="K187" i="2" s="1"/>
  <c r="L187" i="2"/>
  <c r="I188" i="2"/>
  <c r="C188" i="2" s="1"/>
  <c r="L188" i="2"/>
  <c r="M188" i="2" a="1"/>
  <c r="E188" i="2" a="1"/>
  <c r="I189" i="2"/>
  <c r="M189" i="2" a="1"/>
  <c r="E189" i="2" a="1"/>
  <c r="I190" i="2"/>
  <c r="M190" i="2" a="1"/>
  <c r="E190" i="2" a="1"/>
  <c r="M191" i="2" a="1"/>
  <c r="E191" i="2" s="1" a="1"/>
  <c r="I191" i="2"/>
  <c r="I192" i="2"/>
  <c r="M192" i="2" a="1"/>
  <c r="E192" i="2" s="1" a="1"/>
  <c r="M193" i="2" a="1"/>
  <c r="E193" i="2" s="1" a="1"/>
  <c r="I193" i="2"/>
  <c r="I194" i="2"/>
  <c r="M194" i="2" a="1"/>
  <c r="E194" i="2" s="1" a="1"/>
  <c r="M195" i="2" a="1"/>
  <c r="E195" i="2" s="1" a="1"/>
  <c r="I195" i="2"/>
  <c r="I196" i="2"/>
  <c r="M196" i="2" a="1"/>
  <c r="E196" i="2" s="1" a="1"/>
  <c r="M197" i="2" a="1"/>
  <c r="E197" i="2" s="1" a="1"/>
  <c r="I197" i="2"/>
  <c r="M198" i="2" a="1"/>
  <c r="E198" i="2" a="1"/>
  <c r="I198" i="2"/>
  <c r="I199" i="2"/>
  <c r="C199" i="2" s="1"/>
  <c r="M199" i="2" a="1"/>
  <c r="E199" i="2" s="1" a="1"/>
  <c r="L199" i="2"/>
  <c r="M200" i="2" a="1"/>
  <c r="E200" i="2" s="1" a="1"/>
  <c r="I200" i="2"/>
  <c r="C200" i="2" s="1"/>
  <c r="K200" i="2" s="1"/>
  <c r="L200" i="2"/>
  <c r="M201" i="2" a="1"/>
  <c r="I201" i="2"/>
  <c r="C201" i="2" s="1"/>
  <c r="K201" i="2" s="1"/>
  <c r="L201" i="2"/>
  <c r="E201" i="2" a="1"/>
  <c r="M202" i="2" a="1"/>
  <c r="I202" i="2"/>
  <c r="C202" i="2" s="1"/>
  <c r="K202" i="2" s="1"/>
  <c r="E202" i="2" a="1"/>
  <c r="L202" i="2"/>
  <c r="I203" i="2"/>
  <c r="C203" i="2" s="1"/>
  <c r="L203" i="2"/>
  <c r="M203" i="2" a="1"/>
  <c r="E203" i="2" a="1"/>
  <c r="M204" i="2" a="1"/>
  <c r="E204" i="2" s="1" a="1"/>
  <c r="I204" i="2"/>
  <c r="I205" i="2"/>
  <c r="M205" i="2" a="1"/>
  <c r="E205" i="2" s="1" a="1"/>
  <c r="M206" i="2" a="1"/>
  <c r="E206" i="2" s="1" a="1"/>
  <c r="I206" i="2"/>
  <c r="M207" i="2" a="1"/>
  <c r="I207" i="2"/>
  <c r="C207" i="2" s="1"/>
  <c r="K207" i="2" s="1"/>
  <c r="L207" i="2"/>
  <c r="E207" i="2" a="1"/>
  <c r="M208" i="2" a="1"/>
  <c r="I208" i="2"/>
  <c r="E208" i="2" a="1"/>
  <c r="M209" i="2" a="1"/>
  <c r="I209" i="2"/>
  <c r="C209" i="2" s="1"/>
  <c r="K209" i="2" s="1"/>
  <c r="L209" i="2"/>
  <c r="E209" i="2" a="1"/>
  <c r="M210" i="2" a="1"/>
  <c r="E210" i="2" s="1" a="1"/>
  <c r="I210" i="2"/>
  <c r="M211" i="2" a="1"/>
  <c r="E211" i="2" s="1" a="1"/>
  <c r="I211" i="2"/>
  <c r="I212" i="2"/>
  <c r="C212" i="2" s="1"/>
  <c r="L212" i="2"/>
  <c r="M212" i="2" a="1"/>
  <c r="E212" i="2" s="1" a="1"/>
  <c r="I213" i="2"/>
  <c r="C213" i="2" s="1"/>
  <c r="L213" i="2"/>
  <c r="M213" i="2" a="1"/>
  <c r="E213" i="2" s="1" a="1"/>
  <c r="I214" i="2"/>
  <c r="M214" i="2" a="1"/>
  <c r="E214" i="2" s="1" a="1"/>
  <c r="I215" i="2"/>
  <c r="C215" i="2" s="1"/>
  <c r="L215" i="2"/>
  <c r="M215" i="2" a="1"/>
  <c r="E215" i="2" s="1" a="1"/>
  <c r="M216" i="2" a="1"/>
  <c r="I216" i="2"/>
  <c r="E216" i="2" a="1"/>
  <c r="M217" i="2" a="1"/>
  <c r="E217" i="2" s="1" a="1"/>
  <c r="I217" i="2"/>
  <c r="I218" i="2"/>
  <c r="C218" i="2" s="1"/>
  <c r="L218" i="2"/>
  <c r="M218" i="2" a="1"/>
  <c r="E218" i="2" a="1"/>
  <c r="I219" i="2"/>
  <c r="C219" i="2" s="1"/>
  <c r="L219" i="2"/>
  <c r="M219" i="2" a="1"/>
  <c r="E219" i="2" s="1" a="1"/>
  <c r="M220" i="2" a="1"/>
  <c r="E220" i="2" s="1" a="1"/>
  <c r="I220" i="2"/>
  <c r="I221" i="2"/>
  <c r="C221" i="2" s="1"/>
  <c r="L221" i="2"/>
  <c r="M221" i="2" a="1"/>
  <c r="E221" i="2" s="1" a="1"/>
  <c r="M222" i="2" a="1"/>
  <c r="E222" i="2" s="1" a="1"/>
  <c r="I222" i="2"/>
  <c r="I223" i="2"/>
  <c r="C223" i="2" s="1"/>
  <c r="L223" i="2"/>
  <c r="M223" i="2" a="1"/>
  <c r="E223" i="2" s="1" a="1"/>
  <c r="I224" i="2"/>
  <c r="M224" i="2" a="1"/>
  <c r="E224" i="2" s="1" a="1"/>
  <c r="I225" i="2"/>
  <c r="C225" i="2" s="1"/>
  <c r="L225" i="2"/>
  <c r="M225" i="2" a="1"/>
  <c r="E225" i="2" s="1" a="1"/>
  <c r="I226" i="2"/>
  <c r="M226" i="2" a="1"/>
  <c r="E226" i="2" s="1" a="1"/>
  <c r="I227" i="2"/>
  <c r="C227" i="2" s="1"/>
  <c r="L227" i="2"/>
  <c r="M227" i="2" a="1"/>
  <c r="E227" i="2" s="1" a="1"/>
  <c r="I228" i="2"/>
  <c r="C228" i="2" s="1"/>
  <c r="L228" i="2"/>
  <c r="M228" i="2" a="1"/>
  <c r="E228" i="2" s="1" a="1"/>
  <c r="I229" i="2"/>
  <c r="C229" i="2" s="1"/>
  <c r="L229" i="2"/>
  <c r="M229" i="2" a="1"/>
  <c r="E229" i="2" s="1" a="1"/>
  <c r="M230" i="2" a="1"/>
  <c r="E230" i="2" a="1"/>
  <c r="I230" i="2"/>
  <c r="C230" i="2" s="1"/>
  <c r="K230" i="2" s="1"/>
  <c r="L230" i="2"/>
  <c r="I231" i="2"/>
  <c r="C231" i="2" s="1"/>
  <c r="L231" i="2"/>
  <c r="M231" i="2" a="1"/>
  <c r="E231" i="2" a="1"/>
  <c r="I232" i="2"/>
  <c r="C232" i="2" s="1"/>
  <c r="M232" i="2" a="1"/>
  <c r="E232" i="2" s="1" a="1"/>
  <c r="L232" i="2"/>
  <c r="M233" i="2" a="1"/>
  <c r="I233" i="2"/>
  <c r="E233" i="2" a="1"/>
  <c r="I234" i="2"/>
  <c r="C234" i="2" s="1"/>
  <c r="M234" i="2" a="1"/>
  <c r="E234" i="2" s="1" a="1"/>
  <c r="L234" i="2"/>
  <c r="I235" i="2"/>
  <c r="C235" i="2" s="1"/>
  <c r="M235" i="2" a="1"/>
  <c r="L235" i="2"/>
  <c r="E235" i="2" a="1"/>
  <c r="I236" i="2"/>
  <c r="M236" i="2" a="1"/>
  <c r="E236" i="2" a="1"/>
  <c r="M237" i="2" a="1"/>
  <c r="I237" i="2"/>
  <c r="C237" i="2" s="1"/>
  <c r="K237" i="2" s="1"/>
  <c r="L237" i="2"/>
  <c r="E237" i="2" a="1"/>
  <c r="I238" i="2"/>
  <c r="C238" i="2" s="1"/>
  <c r="L238" i="2"/>
  <c r="M238" i="2" a="1"/>
  <c r="E238" i="2" s="1" a="1"/>
  <c r="I239" i="2"/>
  <c r="C239" i="2" s="1"/>
  <c r="M239" i="2" a="1"/>
  <c r="E239" i="2" s="1" a="1"/>
  <c r="L239" i="2"/>
  <c r="M240" i="2" a="1"/>
  <c r="E240" i="2" a="1"/>
  <c r="I240" i="2"/>
  <c r="C240" i="2" s="1"/>
  <c r="K240" i="2" s="1"/>
  <c r="L240" i="2"/>
  <c r="M241" i="2" a="1"/>
  <c r="E241" i="2" s="1" a="1"/>
  <c r="I241" i="2"/>
  <c r="M242" i="2" a="1"/>
  <c r="E242" i="2" s="1" a="1"/>
  <c r="I242" i="2"/>
  <c r="C242" i="2" s="1"/>
  <c r="K242" i="2" s="1"/>
  <c r="L242" i="2"/>
  <c r="M243" i="2" a="1"/>
  <c r="E243" i="2" a="1"/>
  <c r="I243" i="2"/>
  <c r="C243" i="2" s="1"/>
  <c r="K243" i="2" s="1"/>
  <c r="L243" i="2"/>
  <c r="I244" i="2"/>
  <c r="C244" i="2" s="1"/>
  <c r="M244" i="2" a="1"/>
  <c r="L244" i="2"/>
  <c r="E244" i="2" a="1"/>
  <c r="I245" i="2"/>
  <c r="C245" i="2" s="1"/>
  <c r="L245" i="2"/>
  <c r="M245" i="2" a="1"/>
  <c r="E245" i="2" a="1"/>
  <c r="I246" i="2"/>
  <c r="M246" i="2" a="1"/>
  <c r="E246" i="2" s="1" a="1"/>
  <c r="M247" i="2" a="1"/>
  <c r="I247" i="2"/>
  <c r="C247" i="2" s="1"/>
  <c r="K247" i="2" s="1"/>
  <c r="L247" i="2"/>
  <c r="E247" i="2" a="1"/>
  <c r="M248" i="2" a="1"/>
  <c r="I248" i="2"/>
  <c r="C248" i="2" s="1"/>
  <c r="K248" i="2" s="1"/>
  <c r="L248" i="2"/>
  <c r="E248" i="2" a="1"/>
  <c r="I249" i="2"/>
  <c r="M249" i="2" a="1"/>
  <c r="E249" i="2" s="1" a="1"/>
  <c r="I250" i="2"/>
  <c r="M250" i="2" a="1"/>
  <c r="E250" i="2" s="1" a="1"/>
  <c r="I251" i="2"/>
  <c r="M251" i="2" a="1"/>
  <c r="E251" i="2" s="1" a="1"/>
  <c r="E252" i="2" a="1"/>
  <c r="I252" i="2"/>
  <c r="M252" i="2" a="1"/>
  <c r="I253" i="2"/>
  <c r="M253" i="2" a="1"/>
  <c r="E253" i="2" s="1" a="1"/>
  <c r="I254" i="2"/>
  <c r="C254" i="2" s="1"/>
  <c r="L254" i="2"/>
  <c r="M254" i="2" a="1"/>
  <c r="E254" i="2" a="1"/>
  <c r="M255" i="2" a="1"/>
  <c r="E255" i="2" s="1" a="1"/>
  <c r="I255" i="2"/>
  <c r="I256" i="2"/>
  <c r="C256" i="2" s="1"/>
  <c r="M256" i="2" a="1"/>
  <c r="E256" i="2" s="1" a="1"/>
  <c r="L256" i="2"/>
  <c r="M257" i="2" a="1"/>
  <c r="E257" i="2" s="1" a="1"/>
  <c r="I257" i="2"/>
  <c r="M258" i="2" a="1"/>
  <c r="E258" i="2" s="1" a="1"/>
  <c r="I258" i="2"/>
  <c r="I259" i="2"/>
  <c r="M259" i="2" a="1"/>
  <c r="E259" i="2" a="1"/>
  <c r="M260" i="2" a="1"/>
  <c r="E260" i="2" s="1" a="1"/>
  <c r="I260" i="2"/>
  <c r="C260" i="2" s="1"/>
  <c r="K260" i="2" s="1"/>
  <c r="L260" i="2"/>
  <c r="M261" i="2" a="1"/>
  <c r="E261" i="2" a="1"/>
  <c r="I261" i="2"/>
  <c r="C261" i="2" s="1"/>
  <c r="K261" i="2" s="1"/>
  <c r="L261" i="2"/>
  <c r="M262" i="2" a="1"/>
  <c r="E262" i="2" a="1"/>
  <c r="I262" i="2"/>
  <c r="M263" i="2" a="1"/>
  <c r="E263" i="2" a="1"/>
  <c r="I263" i="2"/>
  <c r="M264" i="2" a="1"/>
  <c r="E264" i="2" s="1" a="1"/>
  <c r="I264" i="2"/>
  <c r="M265" i="2" a="1"/>
  <c r="I265" i="2"/>
  <c r="E265" i="2" a="1"/>
  <c r="I266" i="2"/>
  <c r="C266" i="2" s="1"/>
  <c r="L266" i="2"/>
  <c r="M266" i="2" a="1"/>
  <c r="E266" i="2" s="1" a="1"/>
  <c r="I267" i="2"/>
  <c r="C267" i="2" s="1"/>
  <c r="L267" i="2"/>
  <c r="M267" i="2" a="1"/>
  <c r="E267" i="2" s="1" a="1"/>
  <c r="M268" i="2" a="1"/>
  <c r="I268" i="2"/>
  <c r="E268" i="2" a="1"/>
  <c r="M269" i="2" a="1"/>
  <c r="I269" i="2"/>
  <c r="E269" i="2" a="1"/>
  <c r="I270" i="2"/>
  <c r="M270" i="2" a="1"/>
  <c r="E270" i="2" a="1"/>
  <c r="I271" i="2"/>
  <c r="C271" i="2" s="1"/>
  <c r="L271" i="2"/>
  <c r="M271" i="2" a="1"/>
  <c r="E271" i="2" s="1" a="1"/>
  <c r="I272" i="2"/>
  <c r="C272" i="2" s="1"/>
  <c r="L272" i="2"/>
  <c r="M272" i="2" a="1"/>
  <c r="E272" i="2" s="1" a="1"/>
  <c r="I273" i="2"/>
  <c r="M273" i="2" a="1"/>
  <c r="E273" i="2" s="1" a="1"/>
  <c r="I274" i="2"/>
  <c r="C274" i="2" s="1"/>
  <c r="M274" i="2" a="1"/>
  <c r="E274" i="2" s="1" a="1"/>
  <c r="L274" i="2"/>
  <c r="I275" i="2"/>
  <c r="M275" i="2" a="1"/>
  <c r="E275" i="2" s="1" a="1"/>
  <c r="M276" i="2" a="1"/>
  <c r="E276" i="2" a="1"/>
  <c r="I276" i="2"/>
  <c r="M277" i="2" a="1"/>
  <c r="E277" i="2" a="1"/>
  <c r="I277" i="2"/>
  <c r="C277" i="2" s="1"/>
  <c r="K277" i="2" s="1"/>
  <c r="L277" i="2"/>
  <c r="M278" i="2" a="1"/>
  <c r="E278" i="2" s="1" a="1"/>
  <c r="I278" i="2"/>
  <c r="I279" i="2"/>
  <c r="C279" i="2" s="1"/>
  <c r="L279" i="2"/>
  <c r="M279" i="2" a="1"/>
  <c r="E279" i="2" s="1" a="1"/>
  <c r="I280" i="2"/>
  <c r="C280" i="2" s="1"/>
  <c r="M280" i="2" a="1"/>
  <c r="E280" i="2" s="1" a="1"/>
  <c r="L280" i="2"/>
  <c r="I281" i="2"/>
  <c r="M281" i="2" a="1"/>
  <c r="E281" i="2" s="1" a="1"/>
  <c r="M282" i="2" a="1"/>
  <c r="I282" i="2"/>
  <c r="E282" i="2" a="1"/>
  <c r="I283" i="2"/>
  <c r="C283" i="2" s="1"/>
  <c r="L283" i="2"/>
  <c r="M283" i="2" a="1"/>
  <c r="E283" i="2" s="1" a="1"/>
  <c r="I284" i="2"/>
  <c r="M284" i="2" a="1"/>
  <c r="E284" i="2" s="1" a="1"/>
  <c r="I285" i="2"/>
  <c r="M285" i="2" a="1"/>
  <c r="E285" i="2" a="1"/>
  <c r="M286" i="2" a="1"/>
  <c r="I286" i="2"/>
  <c r="E286" i="2" a="1"/>
  <c r="M287" i="2" a="1"/>
  <c r="E287" i="2" s="1" a="1"/>
  <c r="I287" i="2"/>
  <c r="I288" i="2"/>
  <c r="M288" i="2" a="1"/>
  <c r="E288" i="2" s="1" a="1"/>
  <c r="M289" i="2" a="1"/>
  <c r="E289" i="2" a="1"/>
  <c r="I289" i="2"/>
  <c r="M290" i="2" a="1"/>
  <c r="I290" i="2"/>
  <c r="E290" i="2" a="1"/>
  <c r="M291" i="2" a="1"/>
  <c r="E291" i="2" s="1" a="1"/>
  <c r="I291" i="2"/>
  <c r="M292" i="2" a="1"/>
  <c r="E292" i="2" a="1"/>
  <c r="I292" i="2"/>
  <c r="I293" i="2"/>
  <c r="C293" i="2" s="1"/>
  <c r="L293" i="2"/>
  <c r="M293" i="2" a="1"/>
  <c r="E293" i="2" s="1" a="1"/>
  <c r="I294" i="2"/>
  <c r="C294" i="2" s="1"/>
  <c r="M294" i="2" a="1"/>
  <c r="E294" i="2" s="1" a="1"/>
  <c r="L294" i="2"/>
  <c r="I295" i="2"/>
  <c r="C295" i="2" s="1"/>
  <c r="M295" i="2" a="1"/>
  <c r="E295" i="2" s="1" a="1"/>
  <c r="L295" i="2"/>
  <c r="I296" i="2"/>
  <c r="C296" i="2" s="1"/>
  <c r="M296" i="2" a="1"/>
  <c r="E296" i="2" s="1" a="1"/>
  <c r="L296" i="2"/>
  <c r="I297" i="2"/>
  <c r="C297" i="2" s="1"/>
  <c r="M297" i="2" a="1"/>
  <c r="E297" i="2" s="1" a="1"/>
  <c r="L297" i="2"/>
  <c r="I298" i="2"/>
  <c r="C298" i="2" s="1"/>
  <c r="M298" i="2" a="1"/>
  <c r="E298" i="2" s="1" a="1"/>
  <c r="L298" i="2"/>
  <c r="M299" i="2" a="1"/>
  <c r="I299" i="2"/>
  <c r="C299" i="2" s="1"/>
  <c r="K299" i="2" s="1"/>
  <c r="L299" i="2"/>
  <c r="E299" i="2" a="1"/>
  <c r="M300" i="2" a="1"/>
  <c r="I300" i="2"/>
  <c r="E300" i="2" a="1"/>
  <c r="M301" i="2" a="1"/>
  <c r="E301" i="2" s="1" a="1"/>
  <c r="I301" i="2"/>
  <c r="M302" i="2" a="1"/>
  <c r="I302" i="2"/>
  <c r="C302" i="2" s="1"/>
  <c r="K302" i="2" s="1"/>
  <c r="L302" i="2"/>
  <c r="E302" i="2" a="1"/>
  <c r="M303" i="2" a="1"/>
  <c r="I303" i="2"/>
  <c r="C303" i="2" s="1"/>
  <c r="K303" i="2" s="1"/>
  <c r="E303" i="2" a="1"/>
  <c r="L303" i="2"/>
  <c r="I304" i="2"/>
  <c r="C304" i="2" s="1"/>
  <c r="L304" i="2"/>
  <c r="M304" i="2" a="1"/>
  <c r="E304" i="2" s="1" a="1"/>
  <c r="I305" i="2"/>
  <c r="C305" i="2" s="1"/>
  <c r="M305" i="2" a="1"/>
  <c r="E305" i="2" s="1" a="1"/>
  <c r="L305" i="2"/>
  <c r="M306" i="2" a="1"/>
  <c r="I306" i="2"/>
  <c r="C306" i="2" s="1"/>
  <c r="K306" i="2" s="1"/>
  <c r="E306" i="2" a="1"/>
  <c r="L306" i="2"/>
  <c r="M307" i="2" a="1"/>
  <c r="E307" i="2" a="1"/>
  <c r="I307" i="2"/>
  <c r="M308" i="2" a="1"/>
  <c r="I308" i="2"/>
  <c r="C308" i="2" s="1"/>
  <c r="K308" i="2" s="1"/>
  <c r="E308" i="2" a="1"/>
  <c r="L308" i="2"/>
  <c r="M309" i="2" a="1"/>
  <c r="I309" i="2"/>
  <c r="C309" i="2" s="1"/>
  <c r="K309" i="2" s="1"/>
  <c r="E309" i="2" a="1"/>
  <c r="L309" i="2"/>
  <c r="M310" i="2" a="1"/>
  <c r="I310" i="2"/>
  <c r="C310" i="2" s="1"/>
  <c r="K310" i="2" s="1"/>
  <c r="E310" i="2" a="1"/>
  <c r="L310" i="2"/>
  <c r="M311" i="2" a="1"/>
  <c r="E311" i="2" a="1"/>
  <c r="I311" i="2"/>
  <c r="C311" i="2" s="1"/>
  <c r="K311" i="2" s="1"/>
  <c r="L311" i="2"/>
  <c r="M312" i="2" a="1"/>
  <c r="E312" i="2" a="1"/>
  <c r="I312" i="2"/>
  <c r="C312" i="2" s="1"/>
  <c r="K312" i="2" s="1"/>
  <c r="L312" i="2"/>
  <c r="M313" i="2" a="1"/>
  <c r="E313" i="2" a="1"/>
  <c r="I313" i="2"/>
  <c r="I314" i="2"/>
  <c r="C314" i="2" s="1"/>
  <c r="L314" i="2"/>
  <c r="M314" i="2" a="1"/>
  <c r="E314" i="2" s="1" a="1"/>
  <c r="I315" i="2"/>
  <c r="C315" i="2" s="1"/>
  <c r="M315" i="2" a="1"/>
  <c r="E315" i="2" s="1" a="1"/>
  <c r="L315" i="2"/>
  <c r="M316" i="2" a="1"/>
  <c r="E316" i="2" s="1" a="1"/>
  <c r="I316" i="2"/>
  <c r="C316" i="2" s="1"/>
  <c r="K316" i="2" s="1"/>
  <c r="L316" i="2"/>
  <c r="M317" i="2" a="1"/>
  <c r="E317" i="2" a="1"/>
  <c r="I317" i="2"/>
  <c r="I318" i="2"/>
  <c r="C318" i="2" s="1"/>
  <c r="M318" i="2" a="1"/>
  <c r="E318" i="2" a="1"/>
  <c r="L318" i="2"/>
  <c r="I319" i="2"/>
  <c r="C319" i="2" s="1"/>
  <c r="M319" i="2" a="1"/>
  <c r="L319" i="2"/>
  <c r="E319" i="2" a="1"/>
  <c r="I320" i="2"/>
  <c r="M320" i="2" a="1"/>
  <c r="E320" i="2" a="1"/>
  <c r="I321" i="2"/>
  <c r="M321" i="2" a="1"/>
  <c r="E321" i="2" a="1"/>
  <c r="I322" i="2"/>
  <c r="M322" i="2" a="1"/>
  <c r="E322" i="2" a="1"/>
  <c r="M323" i="2" a="1"/>
  <c r="I323" i="2"/>
  <c r="E323" i="2" a="1"/>
  <c r="I324" i="2"/>
  <c r="M324" i="2" a="1"/>
  <c r="E324" i="2" s="1" a="1"/>
  <c r="I325" i="2"/>
  <c r="M325" i="2" a="1"/>
  <c r="E325" i="2" s="1" a="1"/>
  <c r="I326" i="2"/>
  <c r="C326" i="2" s="1"/>
  <c r="K326" i="2" s="1"/>
  <c r="M326" i="2" a="1"/>
  <c r="E326" i="2" s="1" a="1"/>
  <c r="L326" i="2"/>
  <c r="I327" i="2"/>
  <c r="C327" i="2" s="1"/>
  <c r="M327" i="2" a="1"/>
  <c r="E327" i="2" s="1" a="1"/>
  <c r="L327" i="2"/>
  <c r="I328" i="2"/>
  <c r="M328" i="2" a="1"/>
  <c r="E328" i="2" s="1" a="1"/>
  <c r="I329" i="2"/>
  <c r="C329" i="2" s="1"/>
  <c r="K329" i="2" s="1"/>
  <c r="M329" i="2" a="1"/>
  <c r="E329" i="2" s="1" a="1"/>
  <c r="L329" i="2"/>
  <c r="E330" i="2" a="1"/>
  <c r="I330" i="2"/>
  <c r="C330" i="2" s="1"/>
  <c r="K330" i="2" s="1"/>
  <c r="M330" i="2" a="1"/>
  <c r="L330" i="2"/>
  <c r="M331" i="2" a="1"/>
  <c r="I331" i="2"/>
  <c r="E331" i="2" a="1"/>
  <c r="M332" i="2" a="1"/>
  <c r="E332" i="2" s="1" a="1"/>
  <c r="I332" i="2"/>
  <c r="M333" i="2" a="1"/>
  <c r="E333" i="2" a="1"/>
  <c r="I333" i="2"/>
  <c r="I334" i="2"/>
  <c r="M334" i="2" a="1"/>
  <c r="E334" i="2" a="1"/>
  <c r="I335" i="2"/>
  <c r="C335" i="2" s="1"/>
  <c r="M335" i="2" a="1"/>
  <c r="L335" i="2"/>
  <c r="E335" i="2" a="1"/>
  <c r="I336" i="2"/>
  <c r="C336" i="2" s="1"/>
  <c r="M336" i="2" a="1"/>
  <c r="L336" i="2"/>
  <c r="E336" i="2" a="1"/>
  <c r="I337" i="2"/>
  <c r="C337" i="2" s="1"/>
  <c r="M337" i="2" a="1"/>
  <c r="E337" i="2" s="1" a="1"/>
  <c r="L337" i="2"/>
  <c r="I338" i="2"/>
  <c r="C338" i="2" s="1"/>
  <c r="M338" i="2" a="1"/>
  <c r="L338" i="2"/>
  <c r="E338" i="2" a="1"/>
  <c r="I339" i="2"/>
  <c r="C339" i="2" s="1"/>
  <c r="L339" i="2"/>
  <c r="M339" i="2" a="1"/>
  <c r="E339" i="2" s="1" a="1"/>
  <c r="I340" i="2"/>
  <c r="C340" i="2" s="1"/>
  <c r="L340" i="2"/>
  <c r="M340" i="2" a="1"/>
  <c r="E340" i="2" s="1" a="1"/>
  <c r="I341" i="2"/>
  <c r="C341" i="2" s="1"/>
  <c r="L341" i="2"/>
  <c r="M341" i="2" a="1"/>
  <c r="E341" i="2" s="1" a="1"/>
  <c r="M342" i="2" a="1"/>
  <c r="E342" i="2" s="1" a="1"/>
  <c r="I342" i="2"/>
  <c r="M343" i="2" a="1"/>
  <c r="E343" i="2" s="1" a="1"/>
  <c r="I343" i="2"/>
  <c r="M344" i="2" a="1"/>
  <c r="E344" i="2" s="1" a="1"/>
  <c r="I344" i="2"/>
  <c r="I345" i="2"/>
  <c r="C345" i="2" s="1"/>
  <c r="M345" i="2" a="1"/>
  <c r="E345" i="2" a="1"/>
  <c r="L345" i="2"/>
  <c r="M346" i="2" a="1"/>
  <c r="I346" i="2"/>
  <c r="C346" i="2" s="1"/>
  <c r="K346" i="2" s="1"/>
  <c r="L346" i="2"/>
  <c r="E346" i="2" a="1"/>
  <c r="M347" i="2" a="1"/>
  <c r="E347" i="2" s="1" a="1"/>
  <c r="I347" i="2"/>
  <c r="M348" i="2" a="1"/>
  <c r="E348" i="2" a="1"/>
  <c r="I348" i="2"/>
  <c r="M349" i="2" a="1"/>
  <c r="E349" i="2" a="1"/>
  <c r="I349" i="2"/>
  <c r="M350" i="2" a="1"/>
  <c r="I350" i="2"/>
  <c r="E350" i="2" a="1"/>
  <c r="M351" i="2" a="1"/>
  <c r="E351" i="2" a="1"/>
  <c r="I351" i="2"/>
  <c r="I352" i="2"/>
  <c r="C352" i="2" s="1"/>
  <c r="L352" i="2"/>
  <c r="M352" i="2" a="1"/>
  <c r="E352" i="2" a="1"/>
  <c r="M353" i="2" a="1"/>
  <c r="E353" i="2" a="1"/>
  <c r="I353" i="2"/>
  <c r="I354" i="2"/>
  <c r="M354" i="2" a="1"/>
  <c r="E354" i="2" s="1" a="1"/>
  <c r="I355" i="2"/>
  <c r="C355" i="2" s="1"/>
  <c r="M355" i="2" a="1"/>
  <c r="L355" i="2"/>
  <c r="E355" i="2" a="1"/>
  <c r="M356" i="2" a="1"/>
  <c r="E356" i="2" a="1"/>
  <c r="I356" i="2"/>
  <c r="C356" i="2" s="1"/>
  <c r="K356" i="2" s="1"/>
  <c r="L356" i="2"/>
  <c r="M357" i="2" a="1"/>
  <c r="I357" i="2"/>
  <c r="E357" i="2" a="1"/>
  <c r="M358" i="2" a="1"/>
  <c r="I358" i="2"/>
  <c r="C358" i="2" s="1"/>
  <c r="K358" i="2" s="1"/>
  <c r="E358" i="2" a="1"/>
  <c r="L358" i="2"/>
  <c r="M359" i="2" a="1"/>
  <c r="I359" i="2"/>
  <c r="E359" i="2" a="1"/>
  <c r="M360" i="2" a="1"/>
  <c r="I360" i="2"/>
  <c r="E360" i="2" a="1"/>
  <c r="M361" i="2" a="1"/>
  <c r="I361" i="2"/>
  <c r="E361" i="2" a="1"/>
  <c r="M362" i="2" a="1"/>
  <c r="I362" i="2"/>
  <c r="E362" i="2" a="1"/>
  <c r="M363" i="2" a="1"/>
  <c r="I363" i="2"/>
  <c r="E363" i="2" a="1"/>
  <c r="M364" i="2" a="1"/>
  <c r="I364" i="2"/>
  <c r="E364" i="2" a="1"/>
  <c r="M365" i="2" a="1"/>
  <c r="E365" i="2" a="1"/>
  <c r="I365" i="2"/>
  <c r="M366" i="2" a="1"/>
  <c r="I366" i="2"/>
  <c r="E366" i="2" a="1"/>
  <c r="I367" i="2"/>
  <c r="M367" i="2" a="1"/>
  <c r="E367" i="2" a="1"/>
  <c r="M368" i="2" a="1"/>
  <c r="E368" i="2" a="1"/>
  <c r="I368" i="2"/>
  <c r="C368" i="2" s="1"/>
  <c r="K368" i="2" s="1"/>
  <c r="L368" i="2"/>
  <c r="I369" i="2"/>
  <c r="C369" i="2" s="1"/>
  <c r="M369" i="2" a="1"/>
  <c r="E369" i="2" s="1" a="1"/>
  <c r="L369" i="2"/>
  <c r="I370" i="2"/>
  <c r="C370" i="2" s="1"/>
  <c r="L370" i="2"/>
  <c r="M370" i="2" a="1"/>
  <c r="E370" i="2" s="1" a="1"/>
  <c r="I371" i="2"/>
  <c r="C371" i="2" s="1"/>
  <c r="L371" i="2"/>
  <c r="M371" i="2" a="1"/>
  <c r="E371" i="2" s="1" a="1"/>
  <c r="I372" i="2"/>
  <c r="C372" i="2" s="1"/>
  <c r="L372" i="2"/>
  <c r="M372" i="2" a="1"/>
  <c r="E372" i="2" s="1" a="1"/>
  <c r="I373" i="2"/>
  <c r="C373" i="2" s="1"/>
  <c r="L373" i="2"/>
  <c r="M373" i="2" a="1"/>
  <c r="E373" i="2" s="1" a="1"/>
  <c r="I374" i="2"/>
  <c r="C374" i="2" s="1"/>
  <c r="L374" i="2"/>
  <c r="M374" i="2" a="1"/>
  <c r="E374" i="2" s="1" a="1"/>
  <c r="I375" i="2"/>
  <c r="C375" i="2" s="1"/>
  <c r="L375" i="2"/>
  <c r="M375" i="2" a="1"/>
  <c r="E375" i="2" s="1" a="1"/>
  <c r="I376" i="2"/>
  <c r="C376" i="2" s="1"/>
  <c r="L376" i="2"/>
  <c r="M376" i="2" a="1"/>
  <c r="E376" i="2" s="1" a="1"/>
  <c r="I377" i="2"/>
  <c r="C377" i="2" s="1"/>
  <c r="L377" i="2"/>
  <c r="M377" i="2" a="1"/>
  <c r="E377" i="2" s="1" a="1"/>
  <c r="I378" i="2"/>
  <c r="C378" i="2" s="1"/>
  <c r="L378" i="2"/>
  <c r="M378" i="2" a="1"/>
  <c r="E378" i="2" a="1"/>
  <c r="M379" i="2" a="1"/>
  <c r="E379" i="2" a="1"/>
  <c r="I379" i="2"/>
  <c r="M380" i="2" a="1"/>
  <c r="E380" i="2" s="1" a="1"/>
  <c r="I380" i="2"/>
  <c r="M381" i="2" a="1"/>
  <c r="E381" i="2" s="1" a="1"/>
  <c r="I381" i="2"/>
  <c r="M382" i="2" a="1"/>
  <c r="E382" i="2" s="1" a="1"/>
  <c r="I382" i="2"/>
  <c r="M383" i="2" a="1"/>
  <c r="E383" i="2" s="1" a="1"/>
  <c r="I383" i="2"/>
  <c r="M384" i="2" a="1"/>
  <c r="E384" i="2" s="1" a="1"/>
  <c r="I384" i="2"/>
  <c r="M385" i="2" a="1"/>
  <c r="E385" i="2" s="1" a="1"/>
  <c r="I385" i="2"/>
  <c r="I386" i="2"/>
  <c r="C386" i="2" s="1"/>
  <c r="L386" i="2"/>
  <c r="M386" i="2" a="1"/>
  <c r="E386" i="2" s="1" a="1"/>
  <c r="M387" i="2" a="1"/>
  <c r="I387" i="2"/>
  <c r="C387" i="2" s="1"/>
  <c r="K387" i="2" s="1"/>
  <c r="E387" i="2" a="1"/>
  <c r="L387" i="2"/>
  <c r="M388" i="2" a="1"/>
  <c r="E388" i="2" a="1"/>
  <c r="I388" i="2"/>
  <c r="I389" i="2"/>
  <c r="M389" i="2" a="1"/>
  <c r="E389" i="2" s="1" a="1"/>
  <c r="I390" i="2"/>
  <c r="C390" i="2" s="1"/>
  <c r="M390" i="2" a="1"/>
  <c r="E390" i="2" s="1" a="1"/>
  <c r="L390" i="2"/>
  <c r="I391" i="2"/>
  <c r="C391" i="2" s="1"/>
  <c r="L391" i="2"/>
  <c r="M391" i="2" a="1"/>
  <c r="E391" i="2" s="1" a="1"/>
  <c r="I392" i="2"/>
  <c r="C392" i="2" s="1"/>
  <c r="K392" i="2" s="1"/>
  <c r="M392" i="2" a="1"/>
  <c r="L392" i="2"/>
  <c r="E392" i="2" a="1"/>
  <c r="I393" i="2"/>
  <c r="C393" i="2" s="1"/>
  <c r="K393" i="2" s="1"/>
  <c r="M393" i="2" a="1"/>
  <c r="L393" i="2"/>
  <c r="E393" i="2" a="1"/>
  <c r="I394" i="2"/>
  <c r="C394" i="2" s="1"/>
  <c r="M394" i="2" a="1"/>
  <c r="L394" i="2"/>
  <c r="E394" i="2" a="1"/>
  <c r="M395" i="2" a="1"/>
  <c r="I395" i="2"/>
  <c r="E395" i="2" a="1"/>
  <c r="I396" i="2"/>
  <c r="C396" i="2" s="1"/>
  <c r="M396" i="2" a="1"/>
  <c r="L396" i="2"/>
  <c r="E396" i="2" a="1"/>
  <c r="M397" i="2" a="1"/>
  <c r="I397" i="2"/>
  <c r="E397" i="2" a="1"/>
  <c r="M398" i="2" a="1"/>
  <c r="I398" i="2"/>
  <c r="C398" i="2" s="1"/>
  <c r="K398" i="2" s="1"/>
  <c r="L398" i="2"/>
  <c r="E398" i="2" a="1"/>
  <c r="M399" i="2" a="1"/>
  <c r="E399" i="2" a="1"/>
  <c r="I399" i="2"/>
  <c r="I400" i="2"/>
  <c r="M400" i="2" a="1"/>
  <c r="E400" i="2" a="1"/>
  <c r="M401" i="2" a="1"/>
  <c r="E401" i="2" s="1" a="1"/>
  <c r="I401" i="2"/>
  <c r="M402" i="2" a="1"/>
  <c r="E402" i="2" s="1" a="1"/>
  <c r="I402" i="2"/>
  <c r="M403" i="2" a="1"/>
  <c r="I403" i="2"/>
  <c r="C403" i="2" s="1"/>
  <c r="K403" i="2" s="1"/>
  <c r="E403" i="2" a="1"/>
  <c r="L403" i="2"/>
  <c r="M404" i="2" a="1"/>
  <c r="I404" i="2"/>
  <c r="C404" i="2" s="1"/>
  <c r="K404" i="2" s="1"/>
  <c r="E404" i="2" a="1"/>
  <c r="L404" i="2"/>
  <c r="M405" i="2" a="1"/>
  <c r="E405" i="2" a="1"/>
  <c r="I405" i="2"/>
  <c r="M406" i="2" a="1"/>
  <c r="E406" i="2" a="1"/>
  <c r="I406" i="2"/>
  <c r="M407" i="2" a="1"/>
  <c r="E407" i="2" a="1"/>
  <c r="I407" i="2"/>
  <c r="M408" i="2" a="1"/>
  <c r="E408" i="2" a="1"/>
  <c r="I408" i="2"/>
  <c r="M409" i="2" a="1"/>
  <c r="E409" i="2" a="1"/>
  <c r="I409" i="2"/>
  <c r="M410" i="2" a="1"/>
  <c r="I410" i="2"/>
  <c r="E410" i="2" a="1"/>
  <c r="M411" i="2" a="1"/>
  <c r="E411" i="2" a="1"/>
  <c r="I411" i="2"/>
  <c r="I412" i="2"/>
  <c r="C412" i="2" s="1"/>
  <c r="L412" i="2"/>
  <c r="M412" i="2" a="1"/>
  <c r="E412" i="2" s="1" a="1"/>
  <c r="M413" i="2" a="1"/>
  <c r="E413" i="2" s="1" a="1"/>
  <c r="I413" i="2"/>
  <c r="M414" i="2" a="1"/>
  <c r="I414" i="2"/>
  <c r="C414" i="2" s="1"/>
  <c r="K414" i="2" s="1"/>
  <c r="L414" i="2"/>
  <c r="E414" i="2" a="1"/>
  <c r="I415" i="2"/>
  <c r="C415" i="2" s="1"/>
  <c r="K415" i="2" s="1"/>
  <c r="M415" i="2" a="1"/>
  <c r="E415" i="2" a="1"/>
  <c r="L415" i="2"/>
  <c r="M416" i="2" a="1"/>
  <c r="I416" i="2"/>
  <c r="E416" i="2" a="1"/>
  <c r="I417" i="2"/>
  <c r="C417" i="2" s="1"/>
  <c r="M417" i="2" a="1"/>
  <c r="E417" i="2" a="1"/>
  <c r="L417" i="2"/>
  <c r="M418" i="2" a="1"/>
  <c r="E418" i="2" a="1"/>
  <c r="I418" i="2"/>
  <c r="M419" i="2" a="1"/>
  <c r="E419" i="2" s="1" a="1"/>
  <c r="I419" i="2"/>
  <c r="M420" i="2" a="1"/>
  <c r="I420" i="2"/>
  <c r="C420" i="2" s="1"/>
  <c r="K420" i="2" s="1"/>
  <c r="L420" i="2"/>
  <c r="E420" i="2" a="1"/>
  <c r="M421" i="2" a="1"/>
  <c r="I421" i="2"/>
  <c r="C421" i="2" s="1"/>
  <c r="K421" i="2" s="1"/>
  <c r="E421" i="2" a="1"/>
  <c r="L421" i="2"/>
  <c r="M422" i="2" a="1"/>
  <c r="E422" i="2" a="1"/>
  <c r="I422" i="2"/>
  <c r="C422" i="2" s="1"/>
  <c r="K422" i="2" s="1"/>
  <c r="L422" i="2"/>
  <c r="M423" i="2" a="1"/>
  <c r="I423" i="2"/>
  <c r="E423" i="2" a="1"/>
  <c r="I424" i="2"/>
  <c r="C424" i="2" s="1"/>
  <c r="M424" i="2" a="1"/>
  <c r="E424" i="2" a="1"/>
  <c r="L424" i="2"/>
  <c r="I425" i="2"/>
  <c r="C425" i="2" s="1"/>
  <c r="L425" i="2"/>
  <c r="M425" i="2" a="1"/>
  <c r="E425" i="2" s="1" a="1"/>
  <c r="M426" i="2" a="1"/>
  <c r="I426" i="2"/>
  <c r="C426" i="2" s="1"/>
  <c r="K426" i="2" s="1"/>
  <c r="E426" i="2" a="1"/>
  <c r="L426" i="2"/>
  <c r="M427" i="2" a="1"/>
  <c r="E427" i="2" s="1" a="1"/>
  <c r="I427" i="2"/>
  <c r="M428" i="2" a="1"/>
  <c r="E428" i="2" s="1" a="1"/>
  <c r="I428" i="2"/>
  <c r="C428" i="2" s="1"/>
  <c r="K428" i="2" s="1"/>
  <c r="L428" i="2"/>
  <c r="M429" i="2" a="1"/>
  <c r="I429" i="2"/>
  <c r="C429" i="2" s="1"/>
  <c r="K429" i="2" s="1"/>
  <c r="L429" i="2"/>
  <c r="E429" i="2" a="1"/>
  <c r="I430" i="2"/>
  <c r="C430" i="2" s="1"/>
  <c r="L430" i="2"/>
  <c r="M430" i="2" a="1"/>
  <c r="E430" i="2" s="1" a="1"/>
  <c r="M431" i="2" a="1"/>
  <c r="E431" i="2" s="1" a="1"/>
  <c r="I431" i="2"/>
  <c r="C431" i="2" s="1"/>
  <c r="K431" i="2" s="1"/>
  <c r="L431" i="2"/>
  <c r="I432" i="2"/>
  <c r="C432" i="2" s="1"/>
  <c r="M432" i="2" a="1"/>
  <c r="E432" i="2" s="1" a="1"/>
  <c r="L432" i="2"/>
  <c r="M433" i="2" a="1"/>
  <c r="E433" i="2" s="1" a="1"/>
  <c r="I433" i="2"/>
  <c r="C433" i="2" s="1"/>
  <c r="K433" i="2" s="1"/>
  <c r="L433" i="2"/>
  <c r="M434" i="2" a="1"/>
  <c r="E434" i="2" s="1" a="1"/>
  <c r="I434" i="2"/>
  <c r="C434" i="2" s="1"/>
  <c r="K434" i="2" s="1"/>
  <c r="L434" i="2"/>
  <c r="M435" i="2" a="1"/>
  <c r="I435" i="2"/>
  <c r="E435" i="2" a="1"/>
  <c r="M436" i="2" a="1"/>
  <c r="E436" i="2" s="1" a="1"/>
  <c r="I436" i="2"/>
  <c r="M437" i="2" a="1"/>
  <c r="E437" i="2" s="1" a="1"/>
  <c r="I437" i="2"/>
  <c r="M438" i="2" a="1"/>
  <c r="E438" i="2" s="1" a="1"/>
  <c r="I438" i="2"/>
  <c r="M439" i="2" a="1"/>
  <c r="E439" i="2" s="1" a="1"/>
  <c r="I439" i="2"/>
  <c r="M440" i="2" a="1"/>
  <c r="E440" i="2" s="1" a="1"/>
  <c r="I440" i="2"/>
  <c r="M441" i="2" a="1"/>
  <c r="E441" i="2" s="1" a="1"/>
  <c r="I441" i="2"/>
  <c r="M442" i="2" a="1"/>
  <c r="E442" i="2" a="1"/>
  <c r="I442" i="2"/>
  <c r="M443" i="2" a="1"/>
  <c r="E443" i="2" s="1" a="1"/>
  <c r="I443" i="2"/>
  <c r="M444" i="2" a="1"/>
  <c r="E444" i="2" a="1"/>
  <c r="D444" i="2" a="1"/>
  <c r="I444" i="2"/>
  <c r="M445" i="2" a="1"/>
  <c r="E445" i="2" s="1" a="1"/>
  <c r="D445" i="2" a="1"/>
  <c r="I445" i="2"/>
  <c r="D446" i="2" a="1"/>
  <c r="I446" i="2"/>
  <c r="M446" i="2" a="1"/>
  <c r="E446" i="2" s="1" a="1"/>
  <c r="D447" i="2" a="1"/>
  <c r="M447" i="2" a="1"/>
  <c r="E447" i="2" s="1" a="1"/>
  <c r="I447" i="2"/>
  <c r="D448" i="2" a="1"/>
  <c r="I448" i="2"/>
  <c r="C448" i="2" s="1"/>
  <c r="L448" i="2"/>
  <c r="M448" i="2" a="1"/>
  <c r="E448" i="2" a="1"/>
  <c r="D449" i="2" a="1"/>
  <c r="I449" i="2"/>
  <c r="M449" i="2" a="1"/>
  <c r="E449" i="2" s="1" a="1"/>
  <c r="I450" i="2"/>
  <c r="D450" i="2" a="1"/>
  <c r="M450" i="2" a="1"/>
  <c r="E450" i="2" s="1" a="1"/>
  <c r="D451" i="2" a="1"/>
  <c r="I451" i="2"/>
  <c r="M451" i="2" a="1"/>
  <c r="E451" i="2" s="1" a="1"/>
  <c r="D452" i="2" a="1"/>
  <c r="M452" i="2" a="1"/>
  <c r="E452" i="2" s="1" a="1"/>
  <c r="I452" i="2"/>
  <c r="I453" i="2"/>
  <c r="D453" i="2" a="1"/>
  <c r="M453" i="2" a="1"/>
  <c r="E453" i="2" s="1" a="1"/>
  <c r="M454" i="2" a="1"/>
  <c r="D454" i="2" a="1"/>
  <c r="I454" i="2"/>
  <c r="C454" i="2" s="1"/>
  <c r="K454" i="2" s="1"/>
  <c r="E454" i="2" a="1"/>
  <c r="L454" i="2"/>
  <c r="M455" i="2" a="1"/>
  <c r="E455" i="2" a="1"/>
  <c r="I455" i="2"/>
  <c r="D455" i="2" a="1"/>
  <c r="M456" i="2" a="1"/>
  <c r="I456" i="2"/>
  <c r="D456" i="2" a="1"/>
  <c r="E456" i="2" a="1"/>
  <c r="M457" i="2" a="1"/>
  <c r="D457" i="2" a="1"/>
  <c r="I457" i="2"/>
  <c r="E457" i="2" a="1"/>
  <c r="M458" i="2" a="1"/>
  <c r="E458" i="2" a="1"/>
  <c r="I458" i="2"/>
  <c r="D458" i="2" a="1"/>
  <c r="M459" i="2" a="1"/>
  <c r="I459" i="2"/>
  <c r="D459" i="2" a="1"/>
  <c r="E459" i="2" a="1"/>
  <c r="M460" i="2" a="1"/>
  <c r="D460" i="2" a="1"/>
  <c r="I460" i="2"/>
  <c r="E460" i="2" a="1"/>
  <c r="D461" i="2" a="1"/>
  <c r="I461" i="2"/>
  <c r="M461" i="2" a="1"/>
  <c r="E461" i="2" s="1" a="1"/>
  <c r="D462" i="2" a="1"/>
  <c r="I462" i="2"/>
  <c r="M462" i="2" a="1"/>
  <c r="E462" i="2" a="1"/>
  <c r="D463" i="2" a="1"/>
  <c r="M463" i="2" a="1"/>
  <c r="E463" i="2" a="1"/>
  <c r="I463" i="2"/>
  <c r="D464" i="2" a="1"/>
  <c r="I464" i="2"/>
  <c r="M464" i="2" a="1"/>
  <c r="E464" i="2" a="1"/>
  <c r="D465" i="2" a="1"/>
  <c r="M465" i="2" a="1"/>
  <c r="I465" i="2"/>
  <c r="E465" i="2" a="1"/>
  <c r="M466" i="2" a="1"/>
  <c r="I466" i="2"/>
  <c r="E466" i="2" a="1"/>
  <c r="D466" i="2" a="1"/>
  <c r="M467" i="2" a="1"/>
  <c r="E467" i="2" a="1"/>
  <c r="D467" i="2" a="1"/>
  <c r="I467" i="2"/>
  <c r="D468" i="2" a="1"/>
  <c r="M468" i="2" a="1"/>
  <c r="E468" i="2" a="1"/>
  <c r="I468" i="2"/>
  <c r="D469" i="2" a="1"/>
  <c r="L469" i="2" s="1"/>
  <c r="M469" i="2" a="1"/>
  <c r="E469" i="2" a="1"/>
  <c r="I469" i="2"/>
  <c r="C469" i="2" s="1"/>
  <c r="K469" i="2" s="1"/>
  <c r="D470" i="2" a="1"/>
  <c r="I470" i="2"/>
  <c r="M470" i="2" a="1"/>
  <c r="E470" i="2" s="1" a="1"/>
  <c r="I471" i="2"/>
  <c r="M471" i="2" a="1"/>
  <c r="E471" i="2" s="1" a="1"/>
  <c r="D471" i="2" a="1"/>
  <c r="I472" i="2"/>
  <c r="M472" i="2" a="1"/>
  <c r="E472" i="2" s="1" a="1"/>
  <c r="D472" i="2" a="1"/>
  <c r="I473" i="2"/>
  <c r="C473" i="2" s="1"/>
  <c r="M473" i="2" a="1"/>
  <c r="E473" i="2" s="1" a="1"/>
  <c r="D473" i="2" a="1"/>
  <c r="L473" i="2"/>
  <c r="M474" i="2" a="1"/>
  <c r="I474" i="2"/>
  <c r="E474" i="2" a="1"/>
  <c r="D474" i="2" a="1"/>
  <c r="M475" i="2" a="1"/>
  <c r="D475" i="2" a="1"/>
  <c r="I475" i="2"/>
  <c r="E475" i="2" a="1"/>
  <c r="D476" i="2" a="1"/>
  <c r="I476" i="2"/>
  <c r="M476" i="2" a="1"/>
  <c r="E476" i="2" s="1" a="1"/>
  <c r="I477" i="2"/>
  <c r="D477" i="2" a="1"/>
  <c r="M477" i="2" a="1"/>
  <c r="E477" i="2" s="1" a="1"/>
  <c r="D478" i="2" a="1"/>
  <c r="I478" i="2"/>
  <c r="M478" i="2" a="1"/>
  <c r="E478" i="2" s="1" a="1"/>
  <c r="I479" i="2"/>
  <c r="D479" i="2" a="1"/>
  <c r="M479" i="2" a="1"/>
  <c r="E479" i="2" s="1" a="1"/>
  <c r="D480" i="2" a="1"/>
  <c r="M480" i="2" a="1"/>
  <c r="E480" i="2" s="1" a="1"/>
  <c r="I480" i="2"/>
  <c r="D481" i="2" a="1"/>
  <c r="M481" i="2" a="1"/>
  <c r="E481" i="2" s="1" a="1"/>
  <c r="I481" i="2"/>
  <c r="M482" i="2" a="1"/>
  <c r="E482" i="2" s="1" a="1"/>
  <c r="I482" i="2"/>
  <c r="D482" i="2" a="1"/>
  <c r="I483" i="2"/>
  <c r="M483" i="2" a="1"/>
  <c r="E483" i="2" s="1" a="1"/>
  <c r="D483" i="2" a="1"/>
  <c r="M484" i="2" a="1"/>
  <c r="D484" i="2" a="1"/>
  <c r="I484" i="2"/>
  <c r="E484" i="2" a="1"/>
  <c r="I485" i="2"/>
  <c r="D485" i="2" a="1"/>
  <c r="M485" i="2" a="1"/>
  <c r="E485" i="2" s="1" a="1"/>
  <c r="M486" i="2" a="1"/>
  <c r="I486" i="2"/>
  <c r="E486" i="2" a="1"/>
  <c r="D486" i="2" a="1"/>
  <c r="M487" i="2" a="1"/>
  <c r="E487" i="2" a="1"/>
  <c r="I487" i="2"/>
  <c r="D487" i="2" a="1"/>
  <c r="I488" i="2"/>
  <c r="M488" i="2" a="1"/>
  <c r="E488" i="2" s="1" a="1"/>
  <c r="D488" i="2" a="1"/>
  <c r="M489" i="2" a="1"/>
  <c r="D489" i="2" a="1"/>
  <c r="E489" i="2" a="1"/>
  <c r="I489" i="2"/>
  <c r="D490" i="2" a="1"/>
  <c r="L490" i="2" s="1"/>
  <c r="I490" i="2"/>
  <c r="C490" i="2" s="1"/>
  <c r="M490" i="2" a="1"/>
  <c r="E490" i="2" s="1" a="1"/>
  <c r="I491" i="2"/>
  <c r="C491" i="2" s="1"/>
  <c r="D491" i="2" a="1"/>
  <c r="L491" i="2" s="1"/>
  <c r="M491" i="2" a="1"/>
  <c r="E491" i="2" a="1"/>
  <c r="I492" i="2"/>
  <c r="C492" i="2" s="1"/>
  <c r="D492" i="2" a="1"/>
  <c r="L492" i="2" s="1"/>
  <c r="M492" i="2" a="1"/>
  <c r="E492" i="2" s="1" a="1"/>
  <c r="I493" i="2"/>
  <c r="C493" i="2" s="1"/>
  <c r="M493" i="2" a="1"/>
  <c r="D493" i="2" a="1"/>
  <c r="L493" i="2" s="1"/>
  <c r="E493" i="2" a="1"/>
  <c r="D494" i="2" a="1"/>
  <c r="L494" i="2" s="1"/>
  <c r="M494" i="2" a="1"/>
  <c r="E494" i="2" s="1" a="1"/>
  <c r="I494" i="2"/>
  <c r="C494" i="2" s="1"/>
  <c r="K494" i="2" s="1"/>
  <c r="D495" i="2" a="1"/>
  <c r="L495" i="2" s="1"/>
  <c r="M495" i="2" a="1"/>
  <c r="I495" i="2"/>
  <c r="C495" i="2" s="1"/>
  <c r="K495" i="2" s="1"/>
  <c r="E495" i="2" a="1"/>
  <c r="D496" i="2" a="1"/>
  <c r="L496" i="2" s="1"/>
  <c r="M496" i="2" a="1"/>
  <c r="I496" i="2"/>
  <c r="C496" i="2" s="1"/>
  <c r="K496" i="2" s="1"/>
  <c r="E496" i="2" a="1"/>
  <c r="M497" i="2" a="1"/>
  <c r="E497" i="2" s="1" a="1"/>
  <c r="I497" i="2"/>
  <c r="D497" i="2" a="1"/>
  <c r="D498" i="2" a="1"/>
  <c r="I498" i="2"/>
  <c r="M498" i="2" a="1"/>
  <c r="E498" i="2" a="1"/>
  <c r="I499" i="2"/>
  <c r="M499" i="2" a="1"/>
  <c r="D499" i="2" a="1"/>
  <c r="E499" i="2" a="1"/>
  <c r="D500" i="2" a="1"/>
  <c r="M500" i="2" a="1"/>
  <c r="I500" i="2"/>
  <c r="E500" i="2" a="1"/>
  <c r="M501" i="2" a="1"/>
  <c r="D501" i="2" a="1"/>
  <c r="I501" i="2"/>
  <c r="C501" i="2" s="1"/>
  <c r="K501" i="2" s="1"/>
  <c r="L501" i="2"/>
  <c r="E501" i="2" a="1"/>
  <c r="M502" i="2" a="1"/>
  <c r="D502" i="2" a="1"/>
  <c r="I502" i="2"/>
  <c r="E502" i="2" a="1"/>
  <c r="M503" i="2" a="1"/>
  <c r="D503" i="2" a="1"/>
  <c r="I503" i="2"/>
  <c r="E503" i="2" a="1"/>
  <c r="M504" i="2" a="1"/>
  <c r="I504" i="2"/>
  <c r="C504" i="2" s="1"/>
  <c r="K504" i="2" s="1"/>
  <c r="D504" i="2" a="1"/>
  <c r="L504" i="2" s="1"/>
  <c r="E504" i="2" a="1"/>
  <c r="I505" i="2"/>
  <c r="C505" i="2" s="1"/>
  <c r="D505" i="2" a="1"/>
  <c r="L505" i="2" s="1"/>
  <c r="M505" i="2" a="1"/>
  <c r="E505" i="2" a="1"/>
  <c r="I506" i="2"/>
  <c r="C506" i="2" s="1"/>
  <c r="D506" i="2" a="1"/>
  <c r="L506" i="2" s="1"/>
  <c r="M506" i="2" a="1"/>
  <c r="E506" i="2" a="1"/>
  <c r="I507" i="2"/>
  <c r="D507" i="2" a="1"/>
  <c r="M507" i="2" a="1"/>
  <c r="E507" i="2" a="1"/>
  <c r="D508" i="2" a="1"/>
  <c r="M508" i="2" a="1"/>
  <c r="E508" i="2" a="1"/>
  <c r="I508" i="2"/>
  <c r="M509" i="2" a="1"/>
  <c r="D509" i="2" a="1"/>
  <c r="I509" i="2"/>
  <c r="E509" i="2" a="1"/>
  <c r="M510" i="2" a="1"/>
  <c r="D510" i="2" a="1"/>
  <c r="I510" i="2"/>
  <c r="E510" i="2" a="1"/>
  <c r="M511" i="2" a="1"/>
  <c r="E511" i="2" s="1" a="1"/>
  <c r="D511" i="2" a="1"/>
  <c r="I511" i="2"/>
  <c r="I512" i="2"/>
  <c r="C512" i="2" s="1"/>
  <c r="M512" i="2" a="1"/>
  <c r="E512" i="2" a="1"/>
  <c r="D512" i="2" a="1"/>
  <c r="L512" i="2" s="1"/>
  <c r="M513" i="2" a="1"/>
  <c r="D513" i="2" a="1"/>
  <c r="L513" i="2" s="1"/>
  <c r="I513" i="2"/>
  <c r="C513" i="2" s="1"/>
  <c r="K513" i="2" s="1"/>
  <c r="E513" i="2" a="1"/>
  <c r="D514" i="2" a="1"/>
  <c r="I514" i="2"/>
  <c r="M514" i="2" a="1"/>
  <c r="E514" i="2" s="1" a="1"/>
  <c r="D515" i="2" a="1"/>
  <c r="L515" i="2" s="1"/>
  <c r="I515" i="2"/>
  <c r="C515" i="2" s="1"/>
  <c r="M515" i="2" a="1"/>
  <c r="E515" i="2" a="1"/>
  <c r="I516" i="2"/>
  <c r="C516" i="2" s="1"/>
  <c r="D516" i="2" a="1"/>
  <c r="L516" i="2" s="1"/>
  <c r="M516" i="2" a="1"/>
  <c r="E516" i="2" s="1" a="1"/>
  <c r="D517" i="2" a="1"/>
  <c r="M517" i="2" a="1"/>
  <c r="E517" i="2" s="1" a="1"/>
  <c r="I517" i="2"/>
  <c r="M518" i="2" a="1"/>
  <c r="D518" i="2" a="1"/>
  <c r="E518" i="2" a="1"/>
  <c r="I518" i="2"/>
  <c r="M519" i="2" a="1"/>
  <c r="D519" i="2" a="1"/>
  <c r="L519" i="2" s="1"/>
  <c r="I519" i="2"/>
  <c r="C519" i="2" s="1"/>
  <c r="K519" i="2" s="1"/>
  <c r="E519" i="2" a="1"/>
  <c r="I520" i="2"/>
  <c r="C520" i="2" s="1"/>
  <c r="M520" i="2" a="1"/>
  <c r="E520" i="2" s="1" a="1"/>
  <c r="D520" i="2" a="1"/>
  <c r="L520" i="2" s="1"/>
  <c r="M521" i="2" a="1"/>
  <c r="D521" i="2" a="1"/>
  <c r="I521" i="2"/>
  <c r="E521" i="2" a="1"/>
  <c r="M522" i="2" a="1"/>
  <c r="I522" i="2"/>
  <c r="C522" i="2" s="1"/>
  <c r="K522" i="2" s="1"/>
  <c r="D522" i="2" a="1"/>
  <c r="L522" i="2" s="1"/>
  <c r="E522" i="2" a="1"/>
  <c r="M523" i="2" a="1"/>
  <c r="I523" i="2"/>
  <c r="D523" i="2" a="1"/>
  <c r="E523" i="2" a="1"/>
  <c r="M524" i="2" a="1"/>
  <c r="E524" i="2" s="1" a="1"/>
  <c r="I524" i="2"/>
  <c r="D524" i="2" a="1"/>
  <c r="M525" i="2" a="1"/>
  <c r="E525" i="2" a="1"/>
  <c r="I525" i="2"/>
  <c r="C525" i="2" s="1"/>
  <c r="K525" i="2" s="1"/>
  <c r="D525" i="2" a="1"/>
  <c r="L525" i="2" s="1"/>
  <c r="D526" i="2" a="1"/>
  <c r="I526" i="2"/>
  <c r="M526" i="2" a="1"/>
  <c r="E526" i="2" s="1" a="1"/>
  <c r="M527" i="2" a="1"/>
  <c r="I527" i="2"/>
  <c r="E527" i="2" a="1"/>
  <c r="D527" i="2" a="1"/>
  <c r="M528" i="2" a="1"/>
  <c r="E528" i="2" s="1" a="1"/>
  <c r="D528" i="2" a="1"/>
  <c r="I528" i="2"/>
  <c r="M529" i="2" a="1"/>
  <c r="E529" i="2" a="1"/>
  <c r="D529" i="2" a="1"/>
  <c r="I529" i="2"/>
  <c r="M530" i="2" a="1"/>
  <c r="E530" i="2" a="1"/>
  <c r="D530" i="2" a="1"/>
  <c r="I530" i="2"/>
  <c r="M531" i="2" a="1"/>
  <c r="E531" i="2" a="1"/>
  <c r="D531" i="2" a="1"/>
  <c r="I531" i="2"/>
  <c r="M532" i="2" a="1"/>
  <c r="E532" i="2" a="1"/>
  <c r="D532" i="2" a="1"/>
  <c r="I532" i="2"/>
  <c r="I533" i="2"/>
  <c r="C533" i="2" s="1"/>
  <c r="D533" i="2" a="1"/>
  <c r="L533" i="2" s="1"/>
  <c r="M533" i="2" a="1"/>
  <c r="E533" i="2" s="1" a="1"/>
  <c r="I534" i="2"/>
  <c r="M534" i="2" a="1"/>
  <c r="E534" i="2" a="1"/>
  <c r="D534" i="2" a="1"/>
  <c r="M535" i="2" a="1"/>
  <c r="D535" i="2" a="1"/>
  <c r="I535" i="2"/>
  <c r="E535" i="2" a="1"/>
  <c r="D536" i="2" a="1"/>
  <c r="M536" i="2" a="1"/>
  <c r="I536" i="2"/>
  <c r="E536" i="2" a="1"/>
  <c r="M537" i="2" a="1"/>
  <c r="E537" i="2" s="1" a="1"/>
  <c r="D537" i="2" a="1"/>
  <c r="I537" i="2"/>
  <c r="M538" i="2" a="1"/>
  <c r="E538" i="2" s="1" a="1"/>
  <c r="D538" i="2" a="1"/>
  <c r="L538" i="2" s="1"/>
  <c r="I538" i="2"/>
  <c r="C538" i="2" s="1"/>
  <c r="K538" i="2" s="1"/>
  <c r="M539" i="2" a="1"/>
  <c r="E539" i="2" a="1"/>
  <c r="D539" i="2" a="1"/>
  <c r="L539" i="2" s="1"/>
  <c r="I539" i="2"/>
  <c r="C539" i="2" s="1"/>
  <c r="K539" i="2" s="1"/>
  <c r="D540" i="2" a="1"/>
  <c r="L540" i="2" s="1"/>
  <c r="I540" i="2"/>
  <c r="C540" i="2" s="1"/>
  <c r="M540" i="2" a="1"/>
  <c r="E540" i="2" s="1" a="1"/>
  <c r="D541" i="2" a="1"/>
  <c r="L541" i="2" s="1"/>
  <c r="I541" i="2"/>
  <c r="C541" i="2" s="1"/>
  <c r="M541" i="2" a="1"/>
  <c r="E541" i="2" s="1" a="1"/>
  <c r="M542" i="2" a="1"/>
  <c r="E542" i="2" s="1" a="1"/>
  <c r="D542" i="2" a="1"/>
  <c r="I542" i="2"/>
  <c r="M543" i="2" a="1"/>
  <c r="I543" i="2"/>
  <c r="D543" i="2" a="1"/>
  <c r="E543" i="2" a="1"/>
  <c r="I544" i="2"/>
  <c r="C544" i="2" s="1"/>
  <c r="M544" i="2" a="1"/>
  <c r="E544" i="2" a="1"/>
  <c r="D544" i="2" a="1"/>
  <c r="L544" i="2" s="1"/>
  <c r="I545" i="2"/>
  <c r="C545" i="2" s="1"/>
  <c r="M545" i="2" a="1"/>
  <c r="E545" i="2" a="1"/>
  <c r="D545" i="2" a="1"/>
  <c r="L545" i="2" s="1"/>
  <c r="I546" i="2"/>
  <c r="C546" i="2" s="1"/>
  <c r="M546" i="2" a="1"/>
  <c r="E546" i="2" a="1"/>
  <c r="D546" i="2" a="1"/>
  <c r="L546" i="2" s="1"/>
  <c r="I547" i="2"/>
  <c r="C547" i="2" s="1"/>
  <c r="D547" i="2" a="1"/>
  <c r="L547" i="2" s="1"/>
  <c r="E547" i="2" a="1"/>
  <c r="M547" i="2" a="1"/>
  <c r="I548" i="2"/>
  <c r="C548" i="2" s="1"/>
  <c r="D548" i="2" a="1"/>
  <c r="L548" i="2" s="1"/>
  <c r="M548" i="2" a="1"/>
  <c r="E548" i="2" s="1" a="1"/>
  <c r="I549" i="2"/>
  <c r="C549" i="2" s="1"/>
  <c r="M549" i="2" a="1"/>
  <c r="D549" i="2" a="1"/>
  <c r="L549" i="2" s="1"/>
  <c r="E549" i="2" a="1"/>
  <c r="D550" i="2" a="1"/>
  <c r="I550" i="2"/>
  <c r="M550" i="2" a="1"/>
  <c r="E550" i="2" s="1" a="1"/>
  <c r="D551" i="2" a="1"/>
  <c r="M551" i="2" a="1"/>
  <c r="E551" i="2" a="1"/>
  <c r="I551" i="2"/>
  <c r="D552" i="2" a="1"/>
  <c r="M552" i="2" a="1"/>
  <c r="E552" i="2" s="1" a="1"/>
  <c r="I552" i="2"/>
  <c r="D553" i="2" a="1"/>
  <c r="L553" i="2" s="1"/>
  <c r="M553" i="2" a="1"/>
  <c r="I553" i="2"/>
  <c r="C553" i="2" s="1"/>
  <c r="K553" i="2" s="1"/>
  <c r="E553" i="2" a="1"/>
  <c r="I554" i="2"/>
  <c r="C554" i="2" s="1"/>
  <c r="D554" i="2" a="1"/>
  <c r="L554" i="2" s="1"/>
  <c r="M554" i="2" a="1"/>
  <c r="E554" i="2" s="1" a="1"/>
  <c r="I555" i="2"/>
  <c r="C555" i="2" s="1"/>
  <c r="K555" i="2" s="1"/>
  <c r="M555" i="2" a="1"/>
  <c r="D555" i="2" a="1"/>
  <c r="L555" i="2" s="1"/>
  <c r="E555" i="2" a="1"/>
  <c r="I556" i="2"/>
  <c r="M556" i="2" a="1"/>
  <c r="D556" i="2" a="1"/>
  <c r="E556" i="2" a="1"/>
  <c r="I557" i="2"/>
  <c r="C557" i="2" s="1"/>
  <c r="M557" i="2" a="1"/>
  <c r="E557" i="2" s="1" a="1"/>
  <c r="D557" i="2" a="1"/>
  <c r="L557" i="2" s="1"/>
  <c r="I558" i="2"/>
  <c r="C558" i="2" s="1"/>
  <c r="D558" i="2" a="1"/>
  <c r="L558" i="2" s="1"/>
  <c r="M558" i="2" a="1"/>
  <c r="E558" i="2" s="1" a="1"/>
  <c r="D559" i="2" a="1"/>
  <c r="M559" i="2" a="1"/>
  <c r="E559" i="2" s="1" a="1"/>
  <c r="I559" i="2"/>
  <c r="I560" i="2"/>
  <c r="C560" i="2" s="1"/>
  <c r="D560" i="2" a="1"/>
  <c r="M560" i="2" a="1"/>
  <c r="E560" i="2" s="1" a="1"/>
  <c r="L560" i="2"/>
  <c r="I561" i="2"/>
  <c r="C561" i="2" s="1"/>
  <c r="M561" i="2" a="1"/>
  <c r="E561" i="2" a="1"/>
  <c r="D561" i="2" a="1"/>
  <c r="L561" i="2" s="1"/>
  <c r="M562" i="2" a="1"/>
  <c r="E562" i="2" s="1" a="1"/>
  <c r="I562" i="2"/>
  <c r="C562" i="2" s="1"/>
  <c r="K562" i="2" s="1"/>
  <c r="D562" i="2" a="1"/>
  <c r="L562" i="2" s="1"/>
  <c r="M563" i="2" a="1"/>
  <c r="E563" i="2" a="1"/>
  <c r="D563" i="2" a="1"/>
  <c r="L563" i="2" s="1"/>
  <c r="I563" i="2"/>
  <c r="C563" i="2" s="1"/>
  <c r="K563" i="2" s="1"/>
  <c r="M564" i="2" a="1"/>
  <c r="E564" i="2" a="1"/>
  <c r="I564" i="2"/>
  <c r="D564" i="2" a="1"/>
  <c r="M565" i="2" a="1"/>
  <c r="E565" i="2" s="1" a="1"/>
  <c r="I565" i="2"/>
  <c r="D565" i="2" a="1"/>
  <c r="M566" i="2" a="1"/>
  <c r="I566" i="2"/>
  <c r="E566" i="2" a="1"/>
  <c r="D566" i="2" a="1"/>
  <c r="M567" i="2" a="1"/>
  <c r="E567" i="2" a="1"/>
  <c r="D567" i="2" a="1"/>
  <c r="L567" i="2" s="1"/>
  <c r="I567" i="2"/>
  <c r="C567" i="2" s="1"/>
  <c r="K567" i="2" s="1"/>
  <c r="M568" i="2" a="1"/>
  <c r="E568" i="2" a="1"/>
  <c r="D568" i="2" a="1"/>
  <c r="I568" i="2"/>
  <c r="I569" i="2"/>
  <c r="C569" i="2" s="1"/>
  <c r="K569" i="2" s="1"/>
  <c r="M569" i="2" a="1"/>
  <c r="E569" i="2" a="1"/>
  <c r="D569" i="2" a="1"/>
  <c r="L569" i="2" s="1"/>
  <c r="D570" i="2" a="1"/>
  <c r="M570" i="2" a="1"/>
  <c r="E570" i="2" a="1"/>
  <c r="I570" i="2"/>
  <c r="M571" i="2" a="1"/>
  <c r="E571" i="2" s="1" a="1"/>
  <c r="I571" i="2"/>
  <c r="D571" i="2" a="1"/>
  <c r="D572" i="2" a="1"/>
  <c r="L572" i="2" s="1"/>
  <c r="M572" i="2" a="1"/>
  <c r="I572" i="2"/>
  <c r="C572" i="2" s="1"/>
  <c r="K572" i="2" s="1"/>
  <c r="E572" i="2" a="1"/>
  <c r="M573" i="2" a="1"/>
  <c r="E573" i="2" a="1"/>
  <c r="I573" i="2"/>
  <c r="D573" i="2" a="1"/>
  <c r="D574" i="2" a="1"/>
  <c r="L574" i="2" s="1"/>
  <c r="I574" i="2"/>
  <c r="C574" i="2" s="1"/>
  <c r="K574" i="2" s="1"/>
  <c r="M574" i="2" a="1"/>
  <c r="E574" i="2" s="1" a="1"/>
  <c r="D575" i="2" a="1"/>
  <c r="M575" i="2" a="1"/>
  <c r="E575" i="2" s="1" a="1"/>
  <c r="I575" i="2"/>
  <c r="D576" i="2" a="1"/>
  <c r="I576" i="2"/>
  <c r="C576" i="2" s="1"/>
  <c r="K576" i="2" s="1"/>
  <c r="M576" i="2" a="1"/>
  <c r="E576" i="2" s="1" a="1"/>
  <c r="L576" i="2"/>
  <c r="D577" i="2" a="1"/>
  <c r="L577" i="2" s="1"/>
  <c r="M577" i="2" a="1"/>
  <c r="E577" i="2" s="1" a="1"/>
  <c r="I577" i="2"/>
  <c r="C577" i="2" s="1"/>
  <c r="K577" i="2" s="1"/>
  <c r="D578" i="2" a="1"/>
  <c r="L578" i="2" s="1"/>
  <c r="I578" i="2"/>
  <c r="C578" i="2" s="1"/>
  <c r="K578" i="2" s="1"/>
  <c r="M578" i="2" a="1"/>
  <c r="E578" i="2" s="1" a="1"/>
  <c r="M579" i="2" a="1"/>
  <c r="E579" i="2" s="1" a="1"/>
  <c r="I579" i="2"/>
  <c r="D579" i="2" a="1"/>
  <c r="M580" i="2" a="1"/>
  <c r="I580" i="2"/>
  <c r="C580" i="2" s="1"/>
  <c r="K580" i="2" s="1"/>
  <c r="D580" i="2" a="1"/>
  <c r="L580" i="2" s="1"/>
  <c r="E580" i="2" a="1"/>
  <c r="I581" i="2"/>
  <c r="D581" i="2" a="1"/>
  <c r="E581" i="2" a="1"/>
  <c r="M581" i="2" a="1"/>
  <c r="D582" i="2" a="1"/>
  <c r="I582" i="2"/>
  <c r="M582" i="2" a="1"/>
  <c r="E582" i="2" s="1" a="1"/>
  <c r="I583" i="2"/>
  <c r="M583" i="2" a="1"/>
  <c r="E583" i="2" s="1" a="1"/>
  <c r="D583" i="2" a="1"/>
  <c r="M584" i="2" a="1"/>
  <c r="D584" i="2" a="1"/>
  <c r="E584" i="2" a="1"/>
  <c r="I584" i="2"/>
  <c r="D585" i="2" a="1"/>
  <c r="M585" i="2" a="1"/>
  <c r="E585" i="2" a="1"/>
  <c r="I585" i="2"/>
  <c r="D586" i="2" a="1"/>
  <c r="M586" i="2" a="1"/>
  <c r="I586" i="2"/>
  <c r="E586" i="2" a="1"/>
  <c r="M587" i="2" a="1"/>
  <c r="E587" i="2" s="1" a="1"/>
  <c r="I587" i="2"/>
  <c r="D587" i="2" a="1"/>
  <c r="M588" i="2" a="1"/>
  <c r="E588" i="2" s="1" a="1"/>
  <c r="I588" i="2"/>
  <c r="D588" i="2" a="1"/>
  <c r="M589" i="2" a="1"/>
  <c r="D589" i="2" a="1"/>
  <c r="I589" i="2"/>
  <c r="E589" i="2" a="1"/>
  <c r="I590" i="2"/>
  <c r="D590" i="2" a="1"/>
  <c r="M590" i="2" a="1"/>
  <c r="E590" i="2" a="1"/>
  <c r="I591" i="2"/>
  <c r="D591" i="2" a="1"/>
  <c r="M591" i="2" a="1"/>
  <c r="E591" i="2" s="1" a="1"/>
  <c r="I592" i="2"/>
  <c r="M592" i="2" a="1"/>
  <c r="E592" i="2" s="1" a="1"/>
  <c r="D592" i="2" a="1"/>
  <c r="M593" i="2" a="1"/>
  <c r="E593" i="2" s="1" a="1"/>
  <c r="D593" i="2" a="1"/>
  <c r="I593" i="2"/>
  <c r="D594" i="2" a="1"/>
  <c r="I594" i="2"/>
  <c r="M594" i="2" a="1"/>
  <c r="E594" i="2" a="1"/>
  <c r="D595" i="2" a="1"/>
  <c r="M595" i="2" a="1"/>
  <c r="E595" i="2" a="1"/>
  <c r="I595" i="2"/>
  <c r="D596" i="2" a="1"/>
  <c r="M596" i="2" a="1"/>
  <c r="I596" i="2"/>
  <c r="E596" i="2" a="1"/>
  <c r="M597" i="2" a="1"/>
  <c r="D597" i="2" a="1"/>
  <c r="I597" i="2"/>
  <c r="E597" i="2" a="1"/>
  <c r="D598" i="2" a="1"/>
  <c r="M598" i="2" a="1"/>
  <c r="I598" i="2"/>
  <c r="E598" i="2" a="1"/>
  <c r="I599" i="2"/>
  <c r="D599" i="2" a="1"/>
  <c r="M599" i="2" a="1"/>
  <c r="E599" i="2" s="1" a="1"/>
  <c r="I600" i="2"/>
  <c r="C600" i="2" s="1"/>
  <c r="K600" i="2" s="1"/>
  <c r="M600" i="2" a="1"/>
  <c r="E600" i="2" s="1" a="1"/>
  <c r="D600" i="2" a="1"/>
  <c r="L600" i="2" s="1"/>
  <c r="D601" i="2" a="1"/>
  <c r="M601" i="2" a="1"/>
  <c r="E601" i="2" a="1"/>
  <c r="I601" i="2"/>
  <c r="D602" i="2" a="1"/>
  <c r="M602" i="2" a="1"/>
  <c r="I602" i="2"/>
  <c r="E602" i="2" a="1"/>
  <c r="D603" i="2" a="1"/>
  <c r="M603" i="2" a="1"/>
  <c r="I603" i="2"/>
  <c r="E603" i="2" a="1"/>
  <c r="M604" i="2" a="1"/>
  <c r="D604" i="2" a="1"/>
  <c r="I604" i="2"/>
  <c r="E604" i="2" a="1"/>
  <c r="M605" i="2" a="1"/>
  <c r="I605" i="2"/>
  <c r="D605" i="2" a="1"/>
  <c r="E605" i="2" a="1"/>
  <c r="I606" i="2"/>
  <c r="D606" i="2" a="1"/>
  <c r="M606" i="2" a="1"/>
  <c r="E606" i="2" s="1" a="1"/>
  <c r="I607" i="2"/>
  <c r="C607" i="2" s="1"/>
  <c r="K607" i="2" s="1"/>
  <c r="D607" i="2" a="1"/>
  <c r="L607" i="2" s="1"/>
  <c r="M607" i="2" a="1"/>
  <c r="E607" i="2" a="1"/>
  <c r="M608" i="2" a="1"/>
  <c r="E608" i="2" s="1" a="1"/>
  <c r="I608" i="2"/>
  <c r="D608" i="2" a="1"/>
  <c r="I609" i="2"/>
  <c r="M609" i="2" a="1"/>
  <c r="E609" i="2" s="1" a="1"/>
  <c r="D609" i="2" a="1"/>
  <c r="D610" i="2" a="1"/>
  <c r="L610" i="2" s="1"/>
  <c r="M610" i="2" a="1"/>
  <c r="E610" i="2" s="1" a="1"/>
  <c r="I610" i="2"/>
  <c r="C610" i="2" s="1"/>
  <c r="K610" i="2" s="1"/>
  <c r="I611" i="2"/>
  <c r="D611" i="2" a="1"/>
  <c r="M611" i="2" a="1"/>
  <c r="E611" i="2" s="1" a="1"/>
  <c r="D612" i="2" a="1"/>
  <c r="M612" i="2" a="1"/>
  <c r="E612" i="2" s="1" a="1"/>
  <c r="I612" i="2"/>
  <c r="M613" i="2" a="1"/>
  <c r="D613" i="2" a="1"/>
  <c r="I613" i="2"/>
  <c r="E613" i="2" a="1"/>
  <c r="D614" i="2" a="1"/>
  <c r="M614" i="2" a="1"/>
  <c r="I614" i="2"/>
  <c r="E614" i="2" a="1"/>
  <c r="I615" i="2"/>
  <c r="D615" i="2" a="1"/>
  <c r="M615" i="2" a="1"/>
  <c r="E615" i="2" a="1"/>
  <c r="D616" i="2" a="1"/>
  <c r="M616" i="2" a="1"/>
  <c r="I616" i="2"/>
  <c r="E616" i="2" a="1"/>
  <c r="D617" i="2" a="1"/>
  <c r="E617" i="2" a="1"/>
  <c r="M617" i="2" a="1"/>
  <c r="I617" i="2"/>
  <c r="D618" i="2" a="1"/>
  <c r="M618" i="2" a="1"/>
  <c r="E618" i="2" a="1"/>
  <c r="I618" i="2"/>
  <c r="D619" i="2" a="1"/>
  <c r="M619" i="2" a="1"/>
  <c r="E619" i="2" a="1"/>
  <c r="I619" i="2"/>
  <c r="D620" i="2" a="1"/>
  <c r="M620" i="2" a="1"/>
  <c r="I620" i="2"/>
  <c r="E620" i="2" a="1"/>
  <c r="M621" i="2" a="1"/>
  <c r="I621" i="2"/>
  <c r="C621" i="2" s="1"/>
  <c r="K621" i="2" s="1"/>
  <c r="E621" i="2" a="1"/>
  <c r="D621" i="2" a="1"/>
  <c r="L621" i="2" s="1"/>
  <c r="M622" i="2" a="1"/>
  <c r="E622" i="2" a="1"/>
  <c r="I622" i="2"/>
  <c r="D622" i="2" a="1"/>
  <c r="M623" i="2" a="1"/>
  <c r="E623" i="2" a="1"/>
  <c r="I623" i="2"/>
  <c r="D623" i="2" a="1"/>
  <c r="M624" i="2" a="1"/>
  <c r="I624" i="2"/>
  <c r="D624" i="2" a="1"/>
  <c r="E624" i="2" a="1"/>
  <c r="M625" i="2" a="1"/>
  <c r="I625" i="2"/>
  <c r="E625" i="2" a="1"/>
  <c r="D625" i="2" a="1"/>
  <c r="M626" i="2" a="1"/>
  <c r="D626" i="2" a="1"/>
  <c r="I626" i="2"/>
  <c r="E626" i="2" a="1"/>
  <c r="M627" i="2" a="1"/>
  <c r="I627" i="2"/>
  <c r="D627" i="2" a="1"/>
  <c r="E627" i="2" a="1"/>
  <c r="M628" i="2" a="1"/>
  <c r="E628" i="2" a="1"/>
  <c r="D628" i="2" a="1"/>
  <c r="I628" i="2"/>
  <c r="M629" i="2" a="1"/>
  <c r="I629" i="2"/>
  <c r="D629" i="2" a="1"/>
  <c r="E629" i="2" a="1"/>
  <c r="A2" i="2" l="1"/>
  <c r="J2" i="2"/>
  <c r="E2" i="2" a="1"/>
  <c r="A3" i="2"/>
  <c r="E3" i="2" a="1"/>
  <c r="J3" i="2"/>
  <c r="A4" i="2"/>
  <c r="E4" i="2" a="1"/>
  <c r="J4" i="2"/>
  <c r="A5" i="2"/>
  <c r="E5" i="2" a="1"/>
  <c r="J5" i="2"/>
  <c r="A6" i="2"/>
  <c r="J6" i="2"/>
  <c r="E6" i="2" a="1"/>
  <c r="A7" i="2"/>
  <c r="J7" i="2"/>
  <c r="E7" i="2" a="1"/>
  <c r="A8" i="2"/>
  <c r="J8" i="2"/>
  <c r="E8" i="2" a="1"/>
  <c r="A9" i="2"/>
  <c r="J9" i="2"/>
  <c r="E9" i="2" a="1"/>
  <c r="A10" i="2"/>
  <c r="E10" i="2" a="1"/>
  <c r="J10" i="2"/>
  <c r="A11" i="2"/>
  <c r="E11" i="2" a="1"/>
  <c r="J11" i="2"/>
  <c r="A12" i="2"/>
  <c r="E12" i="2" a="1"/>
  <c r="J12" i="2"/>
  <c r="A13" i="2"/>
  <c r="J13" i="2"/>
  <c r="E13" i="2" a="1"/>
  <c r="A14" i="2"/>
  <c r="J14" i="2"/>
  <c r="E14" i="2" a="1"/>
  <c r="A15" i="2"/>
  <c r="E15" i="2" a="1"/>
  <c r="J15" i="2"/>
  <c r="A16" i="2"/>
  <c r="E16" i="2" a="1"/>
  <c r="J16" i="2"/>
  <c r="A17" i="2"/>
  <c r="E17" i="2" a="1"/>
  <c r="J17" i="2"/>
  <c r="A18" i="2"/>
  <c r="J18" i="2"/>
  <c r="E18" i="2" a="1"/>
  <c r="A19" i="2"/>
  <c r="J19" i="2"/>
  <c r="E19" i="2" a="1"/>
  <c r="A20" i="2"/>
  <c r="E20" i="2" a="1"/>
  <c r="J20" i="2"/>
  <c r="A21" i="2"/>
  <c r="E21" i="2" a="1"/>
  <c r="J21" i="2"/>
  <c r="A22" i="2"/>
  <c r="J22" i="2"/>
  <c r="E22" i="2" a="1"/>
  <c r="A23" i="2"/>
  <c r="E23" i="2" a="1"/>
  <c r="J23" i="2"/>
  <c r="A24" i="2"/>
  <c r="E24" i="2" a="1"/>
  <c r="J24" i="2"/>
  <c r="A25" i="2"/>
  <c r="J25" i="2"/>
  <c r="E25" i="2" a="1"/>
  <c r="A26" i="2"/>
  <c r="E26" i="2" a="1"/>
  <c r="J26" i="2"/>
  <c r="A27" i="2"/>
  <c r="E27" i="2" a="1"/>
  <c r="J27" i="2"/>
  <c r="A28" i="2"/>
  <c r="J28" i="2"/>
  <c r="E28" i="2" a="1"/>
  <c r="A29" i="2"/>
  <c r="J29" i="2"/>
  <c r="E29" i="2" a="1"/>
  <c r="A30" i="2"/>
  <c r="E30" i="2" a="1"/>
  <c r="J30" i="2"/>
  <c r="A31" i="2"/>
  <c r="E31" i="2" a="1"/>
  <c r="J31" i="2"/>
  <c r="A32" i="2"/>
  <c r="E32" i="2" a="1"/>
  <c r="J32" i="2"/>
  <c r="A33" i="2"/>
  <c r="J33" i="2"/>
  <c r="E33" i="2" a="1"/>
  <c r="A34" i="2"/>
  <c r="J34" i="2"/>
  <c r="E34" i="2" a="1"/>
  <c r="A35" i="2"/>
  <c r="E35" i="2" a="1"/>
  <c r="J35" i="2"/>
  <c r="A36" i="2"/>
  <c r="E36" i="2" a="1"/>
  <c r="J36" i="2"/>
  <c r="A37" i="2"/>
  <c r="J37" i="2"/>
  <c r="A38" i="2"/>
  <c r="J38" i="2"/>
  <c r="A39" i="2"/>
  <c r="J39" i="2"/>
  <c r="A40" i="2"/>
  <c r="J40" i="2"/>
  <c r="A41" i="2"/>
  <c r="J41" i="2"/>
  <c r="A42" i="2"/>
  <c r="J42" i="2"/>
  <c r="A43" i="2"/>
  <c r="J43" i="2"/>
  <c r="A44" i="2"/>
  <c r="J44" i="2"/>
  <c r="A45" i="2"/>
  <c r="J45" i="2"/>
  <c r="A46" i="2"/>
  <c r="J46" i="2"/>
  <c r="A47" i="2"/>
  <c r="J47" i="2"/>
  <c r="A48" i="2"/>
  <c r="J48" i="2"/>
  <c r="A49" i="2"/>
  <c r="J49" i="2"/>
  <c r="A50" i="2"/>
  <c r="J50" i="2"/>
  <c r="A51" i="2"/>
  <c r="J51" i="2"/>
  <c r="A52" i="2"/>
  <c r="J52" i="2"/>
  <c r="A53" i="2"/>
  <c r="J53" i="2"/>
  <c r="A54" i="2"/>
  <c r="J54" i="2"/>
  <c r="A55" i="2"/>
  <c r="J55" i="2"/>
  <c r="A56" i="2"/>
  <c r="J56" i="2"/>
  <c r="A57" i="2"/>
  <c r="J57" i="2"/>
  <c r="A58" i="2"/>
  <c r="J58" i="2"/>
  <c r="A59" i="2"/>
  <c r="J59" i="2"/>
  <c r="A60" i="2"/>
  <c r="J60" i="2"/>
  <c r="A61" i="2"/>
  <c r="J61" i="2"/>
  <c r="A62" i="2"/>
  <c r="J62" i="2"/>
  <c r="A63" i="2"/>
  <c r="J63" i="2"/>
  <c r="A64" i="2"/>
  <c r="J64" i="2"/>
  <c r="A65" i="2"/>
  <c r="J65" i="2"/>
  <c r="A66" i="2"/>
  <c r="J66" i="2"/>
  <c r="A67" i="2"/>
  <c r="J67" i="2"/>
  <c r="A68" i="2"/>
  <c r="J68" i="2"/>
  <c r="A69" i="2"/>
  <c r="J69" i="2"/>
  <c r="A70" i="2"/>
  <c r="J70" i="2"/>
  <c r="A71" i="2"/>
  <c r="J71" i="2"/>
  <c r="A72" i="2"/>
  <c r="J72" i="2"/>
  <c r="A73" i="2"/>
  <c r="J73" i="2"/>
  <c r="A74" i="2"/>
  <c r="J74" i="2"/>
  <c r="A75" i="2"/>
  <c r="J75" i="2"/>
  <c r="A76" i="2"/>
  <c r="J76" i="2"/>
  <c r="A77" i="2"/>
  <c r="J77" i="2"/>
  <c r="A78" i="2"/>
  <c r="J78" i="2"/>
  <c r="A79" i="2"/>
  <c r="J79" i="2"/>
  <c r="A80" i="2"/>
  <c r="J80" i="2"/>
  <c r="A81" i="2"/>
  <c r="J81" i="2"/>
  <c r="A82" i="2"/>
  <c r="J82" i="2"/>
  <c r="A83" i="2"/>
  <c r="J83" i="2"/>
  <c r="A84" i="2"/>
  <c r="J84" i="2"/>
  <c r="A85" i="2"/>
  <c r="J85" i="2"/>
  <c r="A86" i="2"/>
  <c r="J86" i="2"/>
  <c r="A87" i="2"/>
  <c r="J87" i="2"/>
  <c r="A88" i="2"/>
  <c r="J88" i="2"/>
  <c r="A89" i="2"/>
  <c r="J89" i="2"/>
  <c r="A90" i="2"/>
  <c r="J90" i="2"/>
  <c r="A91" i="2"/>
  <c r="J91" i="2"/>
  <c r="A92" i="2"/>
  <c r="J92" i="2"/>
  <c r="A93" i="2"/>
  <c r="J93" i="2"/>
  <c r="A94" i="2"/>
  <c r="J94" i="2"/>
  <c r="A95" i="2"/>
  <c r="J95" i="2"/>
  <c r="A96" i="2"/>
  <c r="J96" i="2"/>
  <c r="A97" i="2"/>
  <c r="J97" i="2"/>
  <c r="A98" i="2"/>
  <c r="J98" i="2"/>
  <c r="A99" i="2"/>
  <c r="J99" i="2"/>
  <c r="A100" i="2"/>
  <c r="J100" i="2"/>
  <c r="A101" i="2"/>
  <c r="J101" i="2"/>
  <c r="A102" i="2"/>
  <c r="J102" i="2"/>
  <c r="A103" i="2"/>
  <c r="J103" i="2"/>
  <c r="A104" i="2"/>
  <c r="J104" i="2"/>
  <c r="A105" i="2"/>
  <c r="J105" i="2"/>
  <c r="A106" i="2"/>
  <c r="J106" i="2"/>
  <c r="A107" i="2"/>
  <c r="J107" i="2"/>
  <c r="A108" i="2"/>
  <c r="J108" i="2"/>
  <c r="A109" i="2"/>
  <c r="J109" i="2"/>
  <c r="A110" i="2"/>
  <c r="J110" i="2"/>
  <c r="A111" i="2"/>
  <c r="J111" i="2"/>
  <c r="A112" i="2"/>
  <c r="J112" i="2"/>
  <c r="A113" i="2"/>
  <c r="J113" i="2"/>
  <c r="A114" i="2"/>
  <c r="J114" i="2"/>
  <c r="A115" i="2"/>
  <c r="J115" i="2"/>
  <c r="A116" i="2"/>
  <c r="J116" i="2"/>
  <c r="A117" i="2"/>
  <c r="J117" i="2"/>
  <c r="A118" i="2"/>
  <c r="J118" i="2"/>
  <c r="A119" i="2"/>
  <c r="J119" i="2"/>
  <c r="A120" i="2"/>
  <c r="J120" i="2"/>
  <c r="A121" i="2"/>
  <c r="J121" i="2"/>
  <c r="A122" i="2"/>
  <c r="J122" i="2"/>
  <c r="A123" i="2"/>
  <c r="J123" i="2"/>
  <c r="A124" i="2"/>
  <c r="J124" i="2"/>
  <c r="A125" i="2"/>
  <c r="J125" i="2"/>
  <c r="A126" i="2"/>
  <c r="J126" i="2"/>
  <c r="A127" i="2"/>
  <c r="J127" i="2"/>
  <c r="A128" i="2"/>
  <c r="J128" i="2"/>
  <c r="A129" i="2"/>
  <c r="J129" i="2"/>
  <c r="A130" i="2"/>
  <c r="J130" i="2"/>
  <c r="A131" i="2"/>
  <c r="J131" i="2"/>
  <c r="A132" i="2"/>
  <c r="J132" i="2"/>
  <c r="A133" i="2"/>
  <c r="J133" i="2"/>
  <c r="A134" i="2"/>
  <c r="J134" i="2"/>
  <c r="A135" i="2"/>
  <c r="J135" i="2"/>
  <c r="A136" i="2"/>
  <c r="J136" i="2"/>
  <c r="A137" i="2"/>
  <c r="J137" i="2"/>
  <c r="A138" i="2"/>
  <c r="J138" i="2"/>
  <c r="A139" i="2"/>
  <c r="J139" i="2"/>
  <c r="A140" i="2"/>
  <c r="J140" i="2"/>
  <c r="A141" i="2"/>
  <c r="J141" i="2"/>
  <c r="A142" i="2"/>
  <c r="J142" i="2"/>
  <c r="A143" i="2"/>
  <c r="J143" i="2"/>
  <c r="A144" i="2"/>
  <c r="J144" i="2"/>
  <c r="A145" i="2"/>
  <c r="J145" i="2"/>
  <c r="A146" i="2"/>
  <c r="J146" i="2"/>
  <c r="A147" i="2"/>
  <c r="J147" i="2"/>
  <c r="A148" i="2"/>
  <c r="J148" i="2"/>
  <c r="A149" i="2"/>
  <c r="J149" i="2"/>
  <c r="A150" i="2"/>
  <c r="J150" i="2"/>
  <c r="A151" i="2"/>
  <c r="J151" i="2"/>
  <c r="A152" i="2"/>
  <c r="J152" i="2"/>
  <c r="A153" i="2"/>
  <c r="J153" i="2"/>
  <c r="A154" i="2"/>
  <c r="J154" i="2"/>
  <c r="A155" i="2"/>
  <c r="J155" i="2"/>
  <c r="A156" i="2"/>
  <c r="J156" i="2"/>
  <c r="A157" i="2"/>
  <c r="J157" i="2"/>
  <c r="A158" i="2"/>
  <c r="J158" i="2"/>
  <c r="A159" i="2"/>
  <c r="J159" i="2"/>
  <c r="A160" i="2"/>
  <c r="J160" i="2"/>
  <c r="A161" i="2"/>
  <c r="J161" i="2"/>
  <c r="A162" i="2"/>
  <c r="J162" i="2"/>
  <c r="A163" i="2"/>
  <c r="J163" i="2"/>
  <c r="A164" i="2"/>
  <c r="J164" i="2"/>
  <c r="A165" i="2"/>
  <c r="J165" i="2"/>
  <c r="A166" i="2"/>
  <c r="J166" i="2"/>
  <c r="A167" i="2"/>
  <c r="J167" i="2"/>
  <c r="A168" i="2"/>
  <c r="J168" i="2"/>
  <c r="A169" i="2"/>
  <c r="J169" i="2"/>
  <c r="A170" i="2"/>
  <c r="J170" i="2"/>
  <c r="A171" i="2"/>
  <c r="J171" i="2"/>
  <c r="A172" i="2"/>
  <c r="J172" i="2"/>
  <c r="A173" i="2"/>
  <c r="J173" i="2"/>
  <c r="A174" i="2"/>
  <c r="J174" i="2"/>
  <c r="A175" i="2"/>
  <c r="J175" i="2"/>
  <c r="A176" i="2"/>
  <c r="J176" i="2"/>
  <c r="A177" i="2"/>
  <c r="J177" i="2"/>
  <c r="A178" i="2"/>
  <c r="J178" i="2"/>
  <c r="A179" i="2"/>
  <c r="J179" i="2"/>
  <c r="A180" i="2"/>
  <c r="J180" i="2"/>
  <c r="A181" i="2"/>
  <c r="J181" i="2"/>
  <c r="A182" i="2"/>
  <c r="J182" i="2"/>
  <c r="A183" i="2"/>
  <c r="J183" i="2"/>
  <c r="A184" i="2"/>
  <c r="J184" i="2"/>
  <c r="A185" i="2"/>
  <c r="J185" i="2"/>
  <c r="A186" i="2"/>
  <c r="J186" i="2"/>
  <c r="A187" i="2"/>
  <c r="J187" i="2"/>
  <c r="A188" i="2"/>
  <c r="J188" i="2"/>
  <c r="A189" i="2"/>
  <c r="J189" i="2"/>
  <c r="A190" i="2"/>
  <c r="J190" i="2"/>
  <c r="A191" i="2"/>
  <c r="J191" i="2"/>
  <c r="A192" i="2"/>
  <c r="J192" i="2"/>
  <c r="A193" i="2"/>
  <c r="J193" i="2"/>
  <c r="A194" i="2"/>
  <c r="J194" i="2"/>
  <c r="A195" i="2"/>
  <c r="J195" i="2"/>
  <c r="A196" i="2"/>
  <c r="J196" i="2"/>
  <c r="A197" i="2"/>
  <c r="J197" i="2"/>
  <c r="A198" i="2"/>
  <c r="J198" i="2"/>
  <c r="A199" i="2"/>
  <c r="J199" i="2"/>
  <c r="A200" i="2"/>
  <c r="J200" i="2"/>
  <c r="A201" i="2"/>
  <c r="J201" i="2"/>
  <c r="A202" i="2"/>
  <c r="J202" i="2"/>
  <c r="A203" i="2"/>
  <c r="J203" i="2"/>
  <c r="A204" i="2"/>
  <c r="J204" i="2"/>
  <c r="A205" i="2"/>
  <c r="J205" i="2"/>
  <c r="A206" i="2"/>
  <c r="J206" i="2"/>
  <c r="A207" i="2"/>
  <c r="J207" i="2"/>
  <c r="A208" i="2"/>
  <c r="J208" i="2"/>
  <c r="A209" i="2"/>
  <c r="J209" i="2"/>
  <c r="A210" i="2"/>
  <c r="J210" i="2"/>
  <c r="A211" i="2"/>
  <c r="J211" i="2"/>
  <c r="A212" i="2"/>
  <c r="J212" i="2"/>
  <c r="A213" i="2"/>
  <c r="J213" i="2"/>
  <c r="A214" i="2"/>
  <c r="J214" i="2"/>
  <c r="A215" i="2"/>
  <c r="J215" i="2"/>
  <c r="A216" i="2"/>
  <c r="J216" i="2"/>
  <c r="A217" i="2"/>
  <c r="J217" i="2"/>
  <c r="A218" i="2"/>
  <c r="J218" i="2"/>
  <c r="A219" i="2"/>
  <c r="J219" i="2"/>
  <c r="A220" i="2"/>
  <c r="J220" i="2"/>
  <c r="A221" i="2"/>
  <c r="J221" i="2"/>
  <c r="A222" i="2"/>
  <c r="J222" i="2"/>
  <c r="A223" i="2"/>
  <c r="J223" i="2"/>
  <c r="A224" i="2"/>
  <c r="J224" i="2"/>
  <c r="A225" i="2"/>
  <c r="J225" i="2"/>
  <c r="A226" i="2"/>
  <c r="J226" i="2"/>
  <c r="A227" i="2"/>
  <c r="J227" i="2"/>
  <c r="A228" i="2"/>
  <c r="J228" i="2"/>
  <c r="A229" i="2"/>
  <c r="J229" i="2"/>
  <c r="A230" i="2"/>
  <c r="J230" i="2"/>
  <c r="A231" i="2"/>
  <c r="J231" i="2"/>
  <c r="A232" i="2"/>
  <c r="J232" i="2"/>
  <c r="A233" i="2"/>
  <c r="J233" i="2"/>
  <c r="A234" i="2"/>
  <c r="J234" i="2"/>
  <c r="A235" i="2"/>
  <c r="J235" i="2"/>
  <c r="A236" i="2"/>
  <c r="J236" i="2"/>
  <c r="A237" i="2"/>
  <c r="J237" i="2"/>
  <c r="A238" i="2"/>
  <c r="J238" i="2"/>
  <c r="A239" i="2"/>
  <c r="J239" i="2"/>
  <c r="A240" i="2"/>
  <c r="J240" i="2"/>
  <c r="A241" i="2"/>
  <c r="J241" i="2"/>
  <c r="A242" i="2"/>
  <c r="J242" i="2"/>
  <c r="A243" i="2"/>
  <c r="J243" i="2"/>
  <c r="A244" i="2"/>
  <c r="J244" i="2"/>
  <c r="A245" i="2"/>
  <c r="J245" i="2"/>
  <c r="A246" i="2"/>
  <c r="J246" i="2"/>
  <c r="A247" i="2"/>
  <c r="J247" i="2"/>
  <c r="A248" i="2"/>
  <c r="J248" i="2"/>
  <c r="A249" i="2"/>
  <c r="J249" i="2"/>
  <c r="A250" i="2"/>
  <c r="J250" i="2"/>
  <c r="A251" i="2"/>
  <c r="J251" i="2"/>
  <c r="A252" i="2"/>
  <c r="J252" i="2"/>
  <c r="A253" i="2"/>
  <c r="J253" i="2"/>
  <c r="A254" i="2"/>
  <c r="J254" i="2"/>
  <c r="A255" i="2"/>
  <c r="J255" i="2"/>
  <c r="A256" i="2"/>
  <c r="J256" i="2"/>
  <c r="A257" i="2"/>
  <c r="J257" i="2"/>
  <c r="A258" i="2"/>
  <c r="J258" i="2"/>
  <c r="A259" i="2"/>
  <c r="J259" i="2"/>
  <c r="A260" i="2"/>
  <c r="J260" i="2"/>
  <c r="A261" i="2"/>
  <c r="J261" i="2"/>
  <c r="A262" i="2"/>
  <c r="J262" i="2"/>
  <c r="A263" i="2"/>
  <c r="J263" i="2"/>
  <c r="A264" i="2"/>
  <c r="J264" i="2"/>
  <c r="A265" i="2"/>
  <c r="J265" i="2"/>
  <c r="A266" i="2"/>
  <c r="J266" i="2"/>
  <c r="A267" i="2"/>
  <c r="J267" i="2"/>
  <c r="A268" i="2"/>
  <c r="J268" i="2"/>
  <c r="A269" i="2"/>
  <c r="J269" i="2"/>
  <c r="A270" i="2"/>
  <c r="J270" i="2"/>
  <c r="A271" i="2"/>
  <c r="J271" i="2"/>
  <c r="A272" i="2"/>
  <c r="J272" i="2"/>
  <c r="A273" i="2"/>
  <c r="J273" i="2"/>
  <c r="A274" i="2"/>
  <c r="J274" i="2"/>
  <c r="A275" i="2"/>
  <c r="J275" i="2"/>
  <c r="A276" i="2"/>
  <c r="J276" i="2"/>
  <c r="A277" i="2"/>
  <c r="J277" i="2"/>
  <c r="A278" i="2"/>
  <c r="J278" i="2"/>
  <c r="A279" i="2"/>
  <c r="J279" i="2"/>
  <c r="A280" i="2"/>
  <c r="J280" i="2"/>
  <c r="A281" i="2"/>
  <c r="J281" i="2"/>
  <c r="A282" i="2"/>
  <c r="J282" i="2"/>
  <c r="A283" i="2"/>
  <c r="J283" i="2"/>
  <c r="A284" i="2"/>
  <c r="J284" i="2"/>
  <c r="A285" i="2"/>
  <c r="J285" i="2"/>
  <c r="A286" i="2"/>
  <c r="J286" i="2"/>
  <c r="A287" i="2"/>
  <c r="J287" i="2"/>
  <c r="A288" i="2"/>
  <c r="J288" i="2"/>
  <c r="A289" i="2"/>
  <c r="J289" i="2"/>
  <c r="A290" i="2"/>
  <c r="J290" i="2"/>
  <c r="A291" i="2"/>
  <c r="J291" i="2"/>
  <c r="A292" i="2"/>
  <c r="J292" i="2"/>
  <c r="A293" i="2"/>
  <c r="J293" i="2"/>
  <c r="A294" i="2"/>
  <c r="J294" i="2"/>
  <c r="A295" i="2"/>
  <c r="J295" i="2"/>
  <c r="A296" i="2"/>
  <c r="J296" i="2"/>
  <c r="A297" i="2"/>
  <c r="J297" i="2"/>
  <c r="A298" i="2"/>
  <c r="J298" i="2"/>
  <c r="A299" i="2"/>
  <c r="J299" i="2"/>
  <c r="A300" i="2"/>
  <c r="J300" i="2"/>
  <c r="A301" i="2"/>
  <c r="J301" i="2"/>
  <c r="A302" i="2"/>
  <c r="J302" i="2"/>
  <c r="A303" i="2"/>
  <c r="J303" i="2"/>
  <c r="A304" i="2"/>
  <c r="J304" i="2"/>
  <c r="A305" i="2"/>
  <c r="J305" i="2"/>
  <c r="A306" i="2"/>
  <c r="J306" i="2"/>
  <c r="A307" i="2"/>
  <c r="J307" i="2"/>
  <c r="A308" i="2"/>
  <c r="J308" i="2"/>
  <c r="A309" i="2"/>
  <c r="J309" i="2"/>
  <c r="A310" i="2"/>
  <c r="J310" i="2"/>
  <c r="A311" i="2"/>
  <c r="J311" i="2"/>
  <c r="A312" i="2"/>
  <c r="J312" i="2"/>
  <c r="A313" i="2"/>
  <c r="J313" i="2"/>
  <c r="A314" i="2"/>
  <c r="J314" i="2"/>
  <c r="A315" i="2"/>
  <c r="J315" i="2"/>
  <c r="A316" i="2"/>
  <c r="J316" i="2"/>
  <c r="A317" i="2"/>
  <c r="J317" i="2"/>
  <c r="A318" i="2"/>
  <c r="J318" i="2"/>
  <c r="A319" i="2"/>
  <c r="J319" i="2"/>
  <c r="A320" i="2"/>
  <c r="J320" i="2"/>
  <c r="A321" i="2"/>
  <c r="J321" i="2"/>
  <c r="A322" i="2"/>
  <c r="J322" i="2"/>
  <c r="A323" i="2"/>
  <c r="J323" i="2"/>
  <c r="A324" i="2"/>
  <c r="J324" i="2"/>
  <c r="A325" i="2"/>
  <c r="J325" i="2"/>
  <c r="A326" i="2"/>
  <c r="J326" i="2"/>
  <c r="A327" i="2"/>
  <c r="J327" i="2"/>
  <c r="A328" i="2"/>
  <c r="J328" i="2"/>
  <c r="A329" i="2"/>
  <c r="J329" i="2"/>
  <c r="A330" i="2"/>
  <c r="J330" i="2"/>
  <c r="A331" i="2"/>
  <c r="J331" i="2"/>
  <c r="A332" i="2"/>
  <c r="J332" i="2"/>
  <c r="A333" i="2"/>
  <c r="J333" i="2"/>
  <c r="A334" i="2"/>
  <c r="J334" i="2"/>
  <c r="A335" i="2"/>
  <c r="J335" i="2"/>
  <c r="A336" i="2"/>
  <c r="J336" i="2"/>
  <c r="A337" i="2"/>
  <c r="J337" i="2"/>
  <c r="A338" i="2"/>
  <c r="J338" i="2"/>
  <c r="A339" i="2"/>
  <c r="J339" i="2"/>
  <c r="A340" i="2"/>
  <c r="J340" i="2"/>
  <c r="A341" i="2"/>
  <c r="J341" i="2"/>
  <c r="A342" i="2"/>
  <c r="J342" i="2"/>
  <c r="A343" i="2"/>
  <c r="J343" i="2"/>
  <c r="A344" i="2"/>
  <c r="J344" i="2"/>
  <c r="A345" i="2"/>
  <c r="J345" i="2"/>
  <c r="A346" i="2"/>
  <c r="J346" i="2"/>
  <c r="A347" i="2"/>
  <c r="J347" i="2"/>
  <c r="A348" i="2"/>
  <c r="J348" i="2"/>
  <c r="A349" i="2"/>
  <c r="J349" i="2"/>
  <c r="A350" i="2"/>
  <c r="J350" i="2"/>
  <c r="A351" i="2"/>
  <c r="J351" i="2"/>
  <c r="A352" i="2"/>
  <c r="J352" i="2"/>
  <c r="A353" i="2"/>
  <c r="J353" i="2"/>
  <c r="A354" i="2"/>
  <c r="J354" i="2"/>
  <c r="A355" i="2"/>
  <c r="J355" i="2"/>
  <c r="A356" i="2"/>
  <c r="J356" i="2"/>
  <c r="A357" i="2"/>
  <c r="J357" i="2"/>
  <c r="A358" i="2"/>
  <c r="J358" i="2"/>
  <c r="A359" i="2"/>
  <c r="J359" i="2"/>
  <c r="A360" i="2"/>
  <c r="J360" i="2"/>
  <c r="A361" i="2"/>
  <c r="J361" i="2"/>
  <c r="A362" i="2"/>
  <c r="J362" i="2"/>
  <c r="A363" i="2"/>
  <c r="J363" i="2"/>
  <c r="A364" i="2"/>
  <c r="J364" i="2"/>
  <c r="A365" i="2"/>
  <c r="J365" i="2"/>
  <c r="A366" i="2"/>
  <c r="J366" i="2"/>
  <c r="A367" i="2"/>
  <c r="J367" i="2"/>
  <c r="A368" i="2"/>
  <c r="J368" i="2"/>
  <c r="A369" i="2"/>
  <c r="J369" i="2"/>
  <c r="A370" i="2"/>
  <c r="J370" i="2"/>
  <c r="A371" i="2"/>
  <c r="J371" i="2"/>
  <c r="A372" i="2"/>
  <c r="J372" i="2"/>
  <c r="A373" i="2"/>
  <c r="J373" i="2"/>
  <c r="A374" i="2"/>
  <c r="J374" i="2"/>
  <c r="A375" i="2"/>
  <c r="J375" i="2"/>
  <c r="A376" i="2"/>
  <c r="J376" i="2"/>
  <c r="A377" i="2"/>
  <c r="J377" i="2"/>
  <c r="A378" i="2"/>
  <c r="J378" i="2"/>
  <c r="A379" i="2"/>
  <c r="J379" i="2"/>
  <c r="A380" i="2"/>
  <c r="J380" i="2"/>
  <c r="A381" i="2"/>
  <c r="J381" i="2"/>
  <c r="A382" i="2"/>
  <c r="J382" i="2"/>
  <c r="A383" i="2"/>
  <c r="J383" i="2"/>
  <c r="A384" i="2"/>
  <c r="J384" i="2"/>
  <c r="A385" i="2"/>
  <c r="J385" i="2"/>
  <c r="A386" i="2"/>
  <c r="J386" i="2"/>
  <c r="A387" i="2"/>
  <c r="J387" i="2"/>
  <c r="A388" i="2"/>
  <c r="J388" i="2"/>
  <c r="A389" i="2"/>
  <c r="J389" i="2"/>
  <c r="A390" i="2"/>
  <c r="J390" i="2"/>
  <c r="A391" i="2"/>
  <c r="J391" i="2"/>
  <c r="A392" i="2"/>
  <c r="J392" i="2"/>
  <c r="A393" i="2"/>
  <c r="J393" i="2"/>
  <c r="A394" i="2"/>
  <c r="J394" i="2"/>
  <c r="A395" i="2"/>
  <c r="J395" i="2"/>
  <c r="A396" i="2"/>
  <c r="J396" i="2"/>
  <c r="A397" i="2"/>
  <c r="J397" i="2"/>
  <c r="A398" i="2"/>
  <c r="J398" i="2"/>
  <c r="A399" i="2"/>
  <c r="J399" i="2"/>
  <c r="A400" i="2"/>
  <c r="J400" i="2"/>
  <c r="A401" i="2"/>
  <c r="J401" i="2"/>
  <c r="A402" i="2"/>
  <c r="J402" i="2"/>
  <c r="A403" i="2"/>
  <c r="J403" i="2"/>
  <c r="A404" i="2"/>
  <c r="J404" i="2"/>
  <c r="A405" i="2"/>
  <c r="J405" i="2"/>
  <c r="A406" i="2"/>
  <c r="J406" i="2"/>
  <c r="A407" i="2"/>
  <c r="J407" i="2"/>
  <c r="A408" i="2"/>
  <c r="J408" i="2"/>
  <c r="A409" i="2"/>
  <c r="J409" i="2"/>
  <c r="A410" i="2"/>
  <c r="J410" i="2"/>
  <c r="A411" i="2"/>
  <c r="J411" i="2"/>
  <c r="A412" i="2"/>
  <c r="J412" i="2"/>
  <c r="A413" i="2"/>
  <c r="J413" i="2"/>
  <c r="A414" i="2"/>
  <c r="J414" i="2"/>
  <c r="A415" i="2"/>
  <c r="J415" i="2"/>
  <c r="A416" i="2"/>
  <c r="J416" i="2"/>
  <c r="A417" i="2"/>
  <c r="J417" i="2"/>
  <c r="A418" i="2"/>
  <c r="J418" i="2"/>
  <c r="A419" i="2"/>
  <c r="J419" i="2"/>
  <c r="A420" i="2"/>
  <c r="J420" i="2"/>
  <c r="A421" i="2"/>
  <c r="J421" i="2"/>
  <c r="A422" i="2"/>
  <c r="J422" i="2"/>
  <c r="A423" i="2"/>
  <c r="J423" i="2"/>
  <c r="A424" i="2"/>
  <c r="J424" i="2"/>
  <c r="A425" i="2"/>
  <c r="J425" i="2"/>
  <c r="A426" i="2"/>
  <c r="J426" i="2"/>
  <c r="A427" i="2"/>
  <c r="J427" i="2"/>
  <c r="A428" i="2"/>
  <c r="J428" i="2"/>
  <c r="A429" i="2"/>
  <c r="J429" i="2"/>
  <c r="A430" i="2"/>
  <c r="J430" i="2"/>
  <c r="A431" i="2"/>
  <c r="J431" i="2"/>
  <c r="A432" i="2"/>
  <c r="J432" i="2"/>
  <c r="A433" i="2"/>
  <c r="J433" i="2"/>
  <c r="A434" i="2"/>
  <c r="J434" i="2"/>
  <c r="A435" i="2"/>
  <c r="J435" i="2"/>
  <c r="A436" i="2"/>
  <c r="J436" i="2"/>
  <c r="A437" i="2"/>
  <c r="J437" i="2"/>
  <c r="A438" i="2"/>
  <c r="J438" i="2"/>
  <c r="A439" i="2"/>
  <c r="J439" i="2"/>
  <c r="A440" i="2"/>
  <c r="J440" i="2"/>
  <c r="A441" i="2"/>
  <c r="J441" i="2"/>
  <c r="A442" i="2"/>
  <c r="J442" i="2"/>
  <c r="A443" i="2"/>
  <c r="J443" i="2"/>
  <c r="A444" i="2"/>
  <c r="J444" i="2"/>
  <c r="A445" i="2"/>
  <c r="J445" i="2"/>
  <c r="A446" i="2"/>
  <c r="J446" i="2"/>
  <c r="A447" i="2"/>
  <c r="J447" i="2"/>
  <c r="A448" i="2"/>
  <c r="J448" i="2"/>
  <c r="A449" i="2"/>
  <c r="J449" i="2"/>
  <c r="A450" i="2"/>
  <c r="J450" i="2"/>
  <c r="A451" i="2"/>
  <c r="J451" i="2"/>
  <c r="A452" i="2"/>
  <c r="J452" i="2"/>
  <c r="A453" i="2"/>
  <c r="J453" i="2"/>
  <c r="A454" i="2"/>
  <c r="J454" i="2"/>
  <c r="A455" i="2"/>
  <c r="J455" i="2"/>
  <c r="A456" i="2"/>
  <c r="J456" i="2"/>
  <c r="A457" i="2"/>
  <c r="J457" i="2"/>
  <c r="A458" i="2"/>
  <c r="J458" i="2"/>
  <c r="A459" i="2"/>
  <c r="J459" i="2"/>
  <c r="A460" i="2"/>
  <c r="J460" i="2"/>
  <c r="A461" i="2"/>
  <c r="J461" i="2"/>
  <c r="A462" i="2"/>
  <c r="J462" i="2"/>
  <c r="A463" i="2"/>
  <c r="J463" i="2"/>
  <c r="A464" i="2"/>
  <c r="J464" i="2"/>
  <c r="A465" i="2"/>
  <c r="J465" i="2"/>
  <c r="A466" i="2"/>
  <c r="J466" i="2"/>
  <c r="A467" i="2"/>
  <c r="J467" i="2"/>
  <c r="A468" i="2"/>
  <c r="J468" i="2"/>
  <c r="A469" i="2"/>
  <c r="J469" i="2"/>
  <c r="A470" i="2"/>
  <c r="J470" i="2"/>
  <c r="A471" i="2"/>
  <c r="J471" i="2"/>
  <c r="A472" i="2"/>
  <c r="J472" i="2"/>
  <c r="A473" i="2"/>
  <c r="J473" i="2"/>
  <c r="A474" i="2"/>
  <c r="J474" i="2"/>
  <c r="A475" i="2"/>
  <c r="J475" i="2"/>
  <c r="A476" i="2"/>
  <c r="J476" i="2"/>
  <c r="A477" i="2"/>
  <c r="J477" i="2"/>
  <c r="A478" i="2"/>
  <c r="J478" i="2"/>
  <c r="A479" i="2"/>
  <c r="J479" i="2"/>
  <c r="A480" i="2"/>
  <c r="J480" i="2"/>
  <c r="A481" i="2"/>
  <c r="J481" i="2"/>
  <c r="A482" i="2"/>
  <c r="J482" i="2"/>
  <c r="A483" i="2"/>
  <c r="J483" i="2"/>
  <c r="A484" i="2"/>
  <c r="J484" i="2"/>
  <c r="A485" i="2"/>
  <c r="J485" i="2"/>
  <c r="A486" i="2"/>
  <c r="J486" i="2"/>
  <c r="A487" i="2"/>
  <c r="J487" i="2"/>
  <c r="A488" i="2"/>
  <c r="J488" i="2"/>
  <c r="A489" i="2"/>
  <c r="J489" i="2"/>
  <c r="A490" i="2"/>
  <c r="J490" i="2"/>
  <c r="A491" i="2"/>
  <c r="J491" i="2"/>
  <c r="A492" i="2"/>
  <c r="J492" i="2"/>
  <c r="A493" i="2"/>
  <c r="J493" i="2"/>
  <c r="A494" i="2"/>
  <c r="J494" i="2"/>
  <c r="A495" i="2"/>
  <c r="J495" i="2"/>
  <c r="A496" i="2"/>
  <c r="J496" i="2"/>
  <c r="A497" i="2"/>
  <c r="J497" i="2"/>
  <c r="A498" i="2"/>
  <c r="J498" i="2"/>
  <c r="A499" i="2"/>
  <c r="J499" i="2"/>
  <c r="A500" i="2"/>
  <c r="J500" i="2"/>
  <c r="A501" i="2"/>
  <c r="J501" i="2"/>
  <c r="A502" i="2"/>
  <c r="J502" i="2"/>
  <c r="A503" i="2"/>
  <c r="J503" i="2"/>
  <c r="A504" i="2"/>
  <c r="J504" i="2"/>
  <c r="A505" i="2"/>
  <c r="J505" i="2"/>
  <c r="A506" i="2"/>
  <c r="J506" i="2"/>
  <c r="A507" i="2"/>
  <c r="J507" i="2"/>
  <c r="A508" i="2"/>
  <c r="J508" i="2"/>
  <c r="A509" i="2"/>
  <c r="J509" i="2"/>
  <c r="A510" i="2"/>
  <c r="J510" i="2"/>
  <c r="A511" i="2"/>
  <c r="J511" i="2"/>
  <c r="A512" i="2"/>
  <c r="J512" i="2"/>
  <c r="A513" i="2"/>
  <c r="J513" i="2"/>
  <c r="A514" i="2"/>
  <c r="J514" i="2"/>
  <c r="A515" i="2"/>
  <c r="J515" i="2"/>
  <c r="A516" i="2"/>
  <c r="J516" i="2"/>
  <c r="A517" i="2"/>
  <c r="J517" i="2"/>
  <c r="A518" i="2"/>
  <c r="J518" i="2"/>
  <c r="A519" i="2"/>
  <c r="J519" i="2"/>
  <c r="A520" i="2"/>
  <c r="J520" i="2"/>
  <c r="A521" i="2"/>
  <c r="J521" i="2"/>
  <c r="A522" i="2"/>
  <c r="J522" i="2"/>
  <c r="A523" i="2"/>
  <c r="J523" i="2"/>
  <c r="A524" i="2"/>
  <c r="J524" i="2"/>
  <c r="A525" i="2"/>
  <c r="J525" i="2"/>
  <c r="A526" i="2"/>
  <c r="J526" i="2"/>
  <c r="A527" i="2"/>
  <c r="J527" i="2"/>
  <c r="A528" i="2"/>
  <c r="J528" i="2"/>
  <c r="A529" i="2"/>
  <c r="J529" i="2"/>
  <c r="A530" i="2"/>
  <c r="J530" i="2"/>
  <c r="A531" i="2"/>
  <c r="J531" i="2"/>
  <c r="A532" i="2"/>
  <c r="J532" i="2"/>
  <c r="A533" i="2"/>
  <c r="J533" i="2"/>
  <c r="A534" i="2"/>
  <c r="J534" i="2"/>
  <c r="A535" i="2"/>
  <c r="J535" i="2"/>
  <c r="A536" i="2"/>
  <c r="J536" i="2"/>
  <c r="A537" i="2"/>
  <c r="J537" i="2"/>
  <c r="A538" i="2"/>
  <c r="J538" i="2"/>
  <c r="A539" i="2"/>
  <c r="J539" i="2"/>
  <c r="A540" i="2"/>
  <c r="J540" i="2"/>
  <c r="A541" i="2"/>
  <c r="J541" i="2"/>
  <c r="A542" i="2"/>
  <c r="J542" i="2"/>
  <c r="A543" i="2"/>
  <c r="J543" i="2"/>
  <c r="A544" i="2"/>
  <c r="J544" i="2"/>
  <c r="A545" i="2"/>
  <c r="J545" i="2"/>
  <c r="A546" i="2"/>
  <c r="J546" i="2"/>
  <c r="A547" i="2"/>
  <c r="J547" i="2"/>
  <c r="A548" i="2"/>
  <c r="J548" i="2"/>
  <c r="A549" i="2"/>
  <c r="J549" i="2"/>
  <c r="A550" i="2"/>
  <c r="J550" i="2"/>
  <c r="A551" i="2"/>
  <c r="J551" i="2"/>
  <c r="A552" i="2"/>
  <c r="J552" i="2"/>
  <c r="A553" i="2"/>
  <c r="J553" i="2"/>
  <c r="A554" i="2"/>
  <c r="J554" i="2"/>
  <c r="A555" i="2"/>
  <c r="J555" i="2"/>
  <c r="A556" i="2"/>
  <c r="J556" i="2"/>
  <c r="A557" i="2"/>
  <c r="J557" i="2"/>
  <c r="A558" i="2"/>
  <c r="J558" i="2"/>
  <c r="A559" i="2"/>
  <c r="J559" i="2"/>
  <c r="A560" i="2"/>
  <c r="J560" i="2"/>
  <c r="A561" i="2"/>
  <c r="J561" i="2"/>
  <c r="A562" i="2"/>
  <c r="J562" i="2"/>
  <c r="A563" i="2"/>
  <c r="J563" i="2"/>
  <c r="A564" i="2"/>
  <c r="J564" i="2"/>
  <c r="A565" i="2"/>
  <c r="J565" i="2"/>
  <c r="A566" i="2"/>
  <c r="J566" i="2"/>
  <c r="A567" i="2"/>
  <c r="J567" i="2"/>
  <c r="A568" i="2"/>
  <c r="J568" i="2"/>
  <c r="A569" i="2"/>
  <c r="J569" i="2"/>
  <c r="A570" i="2"/>
  <c r="J570" i="2"/>
  <c r="A571" i="2"/>
  <c r="J571" i="2"/>
  <c r="A572" i="2"/>
  <c r="J572" i="2"/>
  <c r="A573" i="2"/>
  <c r="J573" i="2"/>
  <c r="A574" i="2"/>
  <c r="J574" i="2"/>
  <c r="A575" i="2"/>
  <c r="J575" i="2"/>
  <c r="A576" i="2"/>
  <c r="J576" i="2"/>
  <c r="A577" i="2"/>
  <c r="J577" i="2"/>
  <c r="A578" i="2"/>
  <c r="J578" i="2"/>
  <c r="A579" i="2"/>
  <c r="J579" i="2"/>
  <c r="A580" i="2"/>
  <c r="J580" i="2"/>
  <c r="A581" i="2"/>
  <c r="J581" i="2"/>
  <c r="A582" i="2"/>
  <c r="J582" i="2"/>
  <c r="A583" i="2"/>
  <c r="J583" i="2"/>
  <c r="A584" i="2"/>
  <c r="J584" i="2"/>
  <c r="A585" i="2"/>
  <c r="J585" i="2"/>
  <c r="A586" i="2"/>
  <c r="J586" i="2"/>
  <c r="A587" i="2"/>
  <c r="J587" i="2"/>
  <c r="A588" i="2"/>
  <c r="J588" i="2"/>
  <c r="A589" i="2"/>
  <c r="J589" i="2"/>
  <c r="A590" i="2"/>
  <c r="J590" i="2"/>
  <c r="A591" i="2"/>
  <c r="J591" i="2"/>
  <c r="A592" i="2"/>
  <c r="J592" i="2"/>
  <c r="A593" i="2"/>
  <c r="J593" i="2"/>
  <c r="A594" i="2"/>
  <c r="J594" i="2"/>
  <c r="A595" i="2"/>
  <c r="J595" i="2"/>
  <c r="A596" i="2"/>
  <c r="J596" i="2"/>
  <c r="A597" i="2"/>
  <c r="J597" i="2"/>
  <c r="A598" i="2"/>
  <c r="J598" i="2"/>
  <c r="A599" i="2"/>
  <c r="J599" i="2"/>
  <c r="A600" i="2"/>
  <c r="J600" i="2"/>
  <c r="A601" i="2"/>
  <c r="J601" i="2"/>
  <c r="A602" i="2"/>
  <c r="J602" i="2"/>
  <c r="A603" i="2"/>
  <c r="J603" i="2"/>
  <c r="A604" i="2"/>
  <c r="J604" i="2"/>
  <c r="A605" i="2"/>
  <c r="J605" i="2"/>
  <c r="A606" i="2"/>
  <c r="J606" i="2"/>
  <c r="A607" i="2"/>
  <c r="J607" i="2"/>
  <c r="A608" i="2"/>
  <c r="J608" i="2"/>
  <c r="A609" i="2"/>
  <c r="J609" i="2"/>
  <c r="A610" i="2"/>
  <c r="J610" i="2"/>
  <c r="A611" i="2"/>
  <c r="J611" i="2"/>
  <c r="A612" i="2"/>
  <c r="J612" i="2"/>
  <c r="A613" i="2"/>
  <c r="J613" i="2"/>
  <c r="A614" i="2"/>
  <c r="J614" i="2"/>
  <c r="A615" i="2"/>
  <c r="J615" i="2"/>
  <c r="A616" i="2"/>
  <c r="J616" i="2"/>
  <c r="A617" i="2"/>
  <c r="J617" i="2"/>
  <c r="A618" i="2"/>
  <c r="J618" i="2"/>
  <c r="A619" i="2"/>
  <c r="J619" i="2"/>
  <c r="A620" i="2"/>
  <c r="J620" i="2"/>
  <c r="A621" i="2"/>
  <c r="J621" i="2"/>
  <c r="A622" i="2"/>
  <c r="J622" i="2"/>
  <c r="A623" i="2"/>
  <c r="J623" i="2"/>
  <c r="A624" i="2"/>
  <c r="J624" i="2"/>
  <c r="A625" i="2"/>
  <c r="J625" i="2"/>
  <c r="A626" i="2"/>
  <c r="J626" i="2"/>
  <c r="A627" i="2"/>
  <c r="J627" i="2"/>
  <c r="A628" i="2"/>
  <c r="J628" i="2"/>
  <c r="A629" i="2"/>
  <c r="J629" i="2"/>
  <c r="K89" i="2"/>
  <c r="K100" i="2"/>
  <c r="K101" i="2"/>
  <c r="K102" i="2"/>
  <c r="K103" i="2"/>
  <c r="K104" i="2"/>
  <c r="K106" i="2"/>
  <c r="K107" i="2"/>
  <c r="K109" i="2"/>
  <c r="K110" i="2"/>
  <c r="K113" i="2"/>
  <c r="K127" i="2"/>
  <c r="K128" i="2"/>
  <c r="K134" i="2"/>
  <c r="K135" i="2"/>
  <c r="K138" i="2"/>
  <c r="K141" i="2"/>
  <c r="K144" i="2"/>
  <c r="K150" i="2"/>
  <c r="K153" i="2"/>
  <c r="K154" i="2"/>
  <c r="K155" i="2"/>
  <c r="K156" i="2"/>
  <c r="K157" i="2"/>
  <c r="K158" i="2"/>
  <c r="K159" i="2"/>
  <c r="K162" i="2"/>
  <c r="K163" i="2"/>
  <c r="K165" i="2"/>
  <c r="K166" i="2"/>
  <c r="K167" i="2"/>
  <c r="K169" i="2"/>
  <c r="K250" i="2"/>
  <c r="K325" i="2"/>
  <c r="K386" i="2"/>
  <c r="K390" i="2"/>
  <c r="K391" i="2"/>
  <c r="K400" i="2"/>
  <c r="K412" i="2"/>
  <c r="K80" i="2"/>
  <c r="K173" i="2"/>
  <c r="K183" i="2"/>
  <c r="K184" i="2"/>
  <c r="K186" i="2"/>
  <c r="K188" i="2"/>
  <c r="K189" i="2"/>
  <c r="K190" i="2"/>
  <c r="K192" i="2"/>
  <c r="K194" i="2"/>
  <c r="K196" i="2"/>
  <c r="K199" i="2"/>
  <c r="K203" i="2"/>
  <c r="K205" i="2"/>
  <c r="K212" i="2"/>
  <c r="K213" i="2"/>
  <c r="K214" i="2"/>
  <c r="K215" i="2"/>
  <c r="K218" i="2"/>
  <c r="K219" i="2"/>
  <c r="K221" i="2"/>
  <c r="K223" i="2"/>
  <c r="K224" i="2"/>
  <c r="K225" i="2"/>
  <c r="K226" i="2"/>
  <c r="K227" i="2"/>
  <c r="K228" i="2"/>
  <c r="K229" i="2"/>
  <c r="K231" i="2"/>
  <c r="K232" i="2"/>
  <c r="K234" i="2"/>
  <c r="K235" i="2"/>
  <c r="K236" i="2"/>
  <c r="K238" i="2"/>
  <c r="K239" i="2"/>
  <c r="K244" i="2"/>
  <c r="K245" i="2"/>
  <c r="K246" i="2"/>
  <c r="K249" i="2"/>
  <c r="K251" i="2"/>
  <c r="K327" i="2"/>
  <c r="K47" i="2"/>
  <c r="K253" i="2"/>
  <c r="K254" i="2"/>
  <c r="K256" i="2"/>
  <c r="K259" i="2"/>
  <c r="K266" i="2"/>
  <c r="K267" i="2"/>
  <c r="K270" i="2"/>
  <c r="K271" i="2"/>
  <c r="K272" i="2"/>
  <c r="K273" i="2"/>
  <c r="K274" i="2"/>
  <c r="K275" i="2"/>
  <c r="K279" i="2"/>
  <c r="K280" i="2"/>
  <c r="K281" i="2"/>
  <c r="K283" i="2"/>
  <c r="K284" i="2"/>
  <c r="K285" i="2"/>
  <c r="K288" i="2"/>
  <c r="K293" i="2"/>
  <c r="K294" i="2"/>
  <c r="K295" i="2"/>
  <c r="K296" i="2"/>
  <c r="K297" i="2"/>
  <c r="K298" i="2"/>
  <c r="K304" i="2"/>
  <c r="K305" i="2"/>
  <c r="K314" i="2"/>
  <c r="K315" i="2"/>
  <c r="K318" i="2"/>
  <c r="K319" i="2"/>
  <c r="K320" i="2"/>
  <c r="K321" i="2"/>
  <c r="K322" i="2"/>
  <c r="K324" i="2"/>
  <c r="K335" i="2"/>
  <c r="K336" i="2"/>
  <c r="K337" i="2"/>
  <c r="K338" i="2"/>
  <c r="K339" i="2"/>
  <c r="K340" i="2"/>
  <c r="K341" i="2"/>
  <c r="K345" i="2"/>
  <c r="K352" i="2"/>
  <c r="K354" i="2"/>
  <c r="K355" i="2"/>
  <c r="K367" i="2"/>
  <c r="K369" i="2"/>
  <c r="K370" i="2"/>
  <c r="K371" i="2"/>
  <c r="K372" i="2"/>
  <c r="K373" i="2"/>
  <c r="K374" i="2"/>
  <c r="K375" i="2"/>
  <c r="K376" i="2"/>
  <c r="K377" i="2"/>
  <c r="K378" i="2"/>
  <c r="K385" i="2"/>
  <c r="K394" i="2"/>
  <c r="K396" i="2"/>
  <c r="K52" i="2"/>
  <c r="K417" i="2"/>
  <c r="K424" i="2"/>
  <c r="K425" i="2"/>
  <c r="K430" i="2"/>
  <c r="K432" i="2"/>
  <c r="K446" i="2"/>
  <c r="K448" i="2"/>
  <c r="K449" i="2"/>
  <c r="K450" i="2"/>
  <c r="K451" i="2"/>
  <c r="K453" i="2"/>
  <c r="K461" i="2"/>
  <c r="K462" i="2"/>
  <c r="K464" i="2"/>
  <c r="K470" i="2"/>
  <c r="K471" i="2"/>
  <c r="K472" i="2"/>
  <c r="K473" i="2"/>
  <c r="K476" i="2"/>
  <c r="K477" i="2"/>
  <c r="K478" i="2"/>
  <c r="K479" i="2"/>
  <c r="K483" i="2"/>
  <c r="K485" i="2"/>
  <c r="K488" i="2"/>
  <c r="K557" i="2"/>
  <c r="K558" i="2"/>
  <c r="K606" i="2"/>
  <c r="K611" i="2"/>
  <c r="K490" i="2"/>
  <c r="K491" i="2"/>
  <c r="K492" i="2"/>
  <c r="K493" i="2"/>
  <c r="K498" i="2"/>
  <c r="K499" i="2"/>
  <c r="K505" i="2"/>
  <c r="K506" i="2"/>
  <c r="K507" i="2"/>
  <c r="K512" i="2"/>
  <c r="K514" i="2"/>
  <c r="K515" i="2"/>
  <c r="K516" i="2"/>
  <c r="K520" i="2"/>
  <c r="K526" i="2"/>
  <c r="K533" i="2"/>
  <c r="K534" i="2"/>
  <c r="K540" i="2"/>
  <c r="K541" i="2"/>
  <c r="K544" i="2"/>
  <c r="K545" i="2"/>
  <c r="K546" i="2"/>
  <c r="K547" i="2"/>
  <c r="K548" i="2"/>
  <c r="K549" i="2"/>
  <c r="K554" i="2"/>
  <c r="K560" i="2"/>
  <c r="K561" i="2"/>
  <c r="K615" i="2"/>
  <c r="K66" i="2"/>
  <c r="C2" i="2"/>
  <c r="K2" i="2" s="1"/>
  <c r="L2" i="2"/>
  <c r="C3" i="2"/>
  <c r="K3" i="2" s="1"/>
  <c r="L3" i="2"/>
  <c r="C4" i="2"/>
  <c r="K4" i="2" s="1"/>
  <c r="L4" i="2"/>
  <c r="C8" i="2"/>
  <c r="K8" i="2" s="1"/>
  <c r="L8" i="2"/>
  <c r="C9" i="2"/>
  <c r="K9" i="2" s="1"/>
  <c r="L9" i="2"/>
  <c r="C11" i="2"/>
  <c r="K11" i="2" s="1"/>
  <c r="L11" i="2"/>
  <c r="C16" i="2"/>
  <c r="K16" i="2" s="1"/>
  <c r="L16" i="2"/>
  <c r="C17" i="2"/>
  <c r="K17" i="2" s="1"/>
  <c r="L17" i="2"/>
  <c r="C18" i="2"/>
  <c r="K18" i="2" s="1"/>
  <c r="L18" i="2"/>
  <c r="C19" i="2"/>
  <c r="K19" i="2" s="1"/>
  <c r="L19" i="2"/>
  <c r="C20" i="2"/>
  <c r="K20" i="2" s="1"/>
  <c r="L20" i="2"/>
  <c r="C21" i="2"/>
  <c r="K21" i="2" s="1"/>
  <c r="L21" i="2"/>
  <c r="C22" i="2"/>
  <c r="K22" i="2" s="1"/>
  <c r="L22" i="2"/>
  <c r="C23" i="2"/>
  <c r="K23" i="2" s="1"/>
  <c r="L23" i="2"/>
  <c r="C24" i="2"/>
  <c r="K24" i="2" s="1"/>
  <c r="L24" i="2"/>
  <c r="C25" i="2"/>
  <c r="K25" i="2" s="1"/>
  <c r="L25" i="2"/>
  <c r="C27" i="2"/>
  <c r="K27" i="2" s="1"/>
  <c r="L27" i="2"/>
  <c r="C28" i="2"/>
  <c r="K28" i="2" s="1"/>
  <c r="L28" i="2"/>
  <c r="C30" i="2"/>
  <c r="K30" i="2" s="1"/>
  <c r="L30" i="2"/>
  <c r="C31" i="2"/>
  <c r="K31" i="2" s="1"/>
  <c r="L31" i="2"/>
  <c r="C32" i="2"/>
  <c r="K32" i="2" s="1"/>
  <c r="L32" i="2"/>
  <c r="C33" i="2"/>
  <c r="K33" i="2" s="1"/>
  <c r="L33" i="2"/>
  <c r="C34" i="2"/>
  <c r="K34" i="2" s="1"/>
  <c r="L34" i="2"/>
  <c r="C36" i="2"/>
  <c r="K36" i="2" s="1"/>
  <c r="L36" i="2"/>
  <c r="C37" i="2"/>
  <c r="K37" i="2" s="1"/>
  <c r="L37" i="2"/>
  <c r="C38" i="2"/>
  <c r="K38" i="2" s="1"/>
  <c r="L38" i="2"/>
  <c r="C39" i="2"/>
  <c r="K39" i="2" s="1"/>
  <c r="L39" i="2"/>
  <c r="C41" i="2"/>
  <c r="K41" i="2" s="1"/>
  <c r="L41" i="2"/>
  <c r="C48" i="2"/>
  <c r="K48" i="2" s="1"/>
  <c r="L48" i="2"/>
  <c r="C49" i="2"/>
  <c r="K49" i="2" s="1"/>
  <c r="L49" i="2"/>
  <c r="C50" i="2"/>
  <c r="K50" i="2" s="1"/>
  <c r="L50" i="2"/>
  <c r="C51" i="2"/>
  <c r="K51" i="2" s="1"/>
  <c r="L51" i="2"/>
  <c r="C53" i="2"/>
  <c r="K53" i="2" s="1"/>
  <c r="L53" i="2"/>
  <c r="C54" i="2"/>
  <c r="K54" i="2" s="1"/>
  <c r="L54" i="2"/>
  <c r="C56" i="2"/>
  <c r="K56" i="2" s="1"/>
  <c r="L56" i="2"/>
  <c r="C57" i="2"/>
  <c r="K57" i="2" s="1"/>
  <c r="L57" i="2"/>
  <c r="C61" i="2"/>
  <c r="K61" i="2" s="1"/>
  <c r="L61" i="2"/>
  <c r="C63" i="2"/>
  <c r="K63" i="2" s="1"/>
  <c r="L63" i="2"/>
  <c r="C64" i="2"/>
  <c r="K64" i="2" s="1"/>
  <c r="L64" i="2"/>
  <c r="C65" i="2"/>
  <c r="K65" i="2" s="1"/>
  <c r="L65" i="2"/>
  <c r="C67" i="2"/>
  <c r="K67" i="2" s="1"/>
  <c r="L67" i="2"/>
  <c r="C68" i="2"/>
  <c r="K68" i="2" s="1"/>
  <c r="L68" i="2"/>
  <c r="C69" i="2"/>
  <c r="K69" i="2" s="1"/>
  <c r="L69" i="2"/>
  <c r="C71" i="2"/>
  <c r="K71" i="2" s="1"/>
  <c r="L71" i="2"/>
  <c r="C72" i="2"/>
  <c r="K72" i="2" s="1"/>
  <c r="L72" i="2"/>
  <c r="C73" i="2"/>
  <c r="K73" i="2" s="1"/>
  <c r="L73" i="2"/>
  <c r="C74" i="2"/>
  <c r="K74" i="2" s="1"/>
  <c r="L74" i="2"/>
  <c r="C75" i="2"/>
  <c r="K75" i="2" s="1"/>
  <c r="L75" i="2"/>
  <c r="C77" i="2"/>
  <c r="K77" i="2" s="1"/>
  <c r="L77" i="2"/>
  <c r="C78" i="2"/>
  <c r="K78" i="2" s="1"/>
  <c r="L78" i="2"/>
  <c r="C79" i="2"/>
  <c r="K79" i="2" s="1"/>
  <c r="L79" i="2"/>
  <c r="C81" i="2"/>
  <c r="K81" i="2" s="1"/>
  <c r="L81" i="2"/>
  <c r="C82" i="2"/>
  <c r="K82" i="2" s="1"/>
  <c r="L82" i="2"/>
  <c r="C83" i="2"/>
  <c r="K83" i="2" s="1"/>
  <c r="L83" i="2"/>
  <c r="C84" i="2"/>
  <c r="K84" i="2" s="1"/>
  <c r="L84" i="2"/>
  <c r="C85" i="2"/>
  <c r="K85" i="2" s="1"/>
  <c r="L85" i="2"/>
  <c r="C86" i="2"/>
  <c r="K86" i="2" s="1"/>
  <c r="L86" i="2"/>
  <c r="C87" i="2"/>
  <c r="K87" i="2" s="1"/>
  <c r="L87" i="2"/>
  <c r="C88" i="2"/>
  <c r="K88" i="2" s="1"/>
  <c r="L88" i="2"/>
  <c r="C90" i="2"/>
  <c r="K90" i="2" s="1"/>
  <c r="L90" i="2"/>
  <c r="C91" i="2"/>
  <c r="K91" i="2" s="1"/>
  <c r="L91" i="2"/>
  <c r="C92" i="2"/>
  <c r="K92" i="2" s="1"/>
  <c r="L92" i="2"/>
  <c r="C93" i="2"/>
  <c r="K93" i="2" s="1"/>
  <c r="L93" i="2"/>
  <c r="C94" i="2"/>
  <c r="K94" i="2" s="1"/>
  <c r="L94" i="2"/>
  <c r="C95" i="2"/>
  <c r="K95" i="2" s="1"/>
  <c r="L95" i="2"/>
  <c r="C96" i="2"/>
  <c r="K96" i="2" s="1"/>
  <c r="L96" i="2"/>
  <c r="C98" i="2"/>
  <c r="K98" i="2" s="1"/>
  <c r="L98" i="2"/>
  <c r="C99" i="2"/>
  <c r="K99" i="2" s="1"/>
  <c r="L99" i="2"/>
  <c r="C102" i="2"/>
  <c r="L102" i="2"/>
  <c r="C103" i="2"/>
  <c r="L103" i="2"/>
  <c r="C104" i="2"/>
  <c r="L104" i="2"/>
  <c r="C105" i="2"/>
  <c r="K105" i="2" s="1"/>
  <c r="L105" i="2"/>
  <c r="C106" i="2"/>
  <c r="L106" i="2"/>
  <c r="C110" i="2"/>
  <c r="L110" i="2"/>
  <c r="C112" i="2"/>
  <c r="K112" i="2" s="1"/>
  <c r="L112" i="2"/>
  <c r="C114" i="2"/>
  <c r="K114" i="2" s="1"/>
  <c r="L114" i="2"/>
  <c r="C115" i="2"/>
  <c r="K115" i="2" s="1"/>
  <c r="L115" i="2"/>
  <c r="C116" i="2"/>
  <c r="K116" i="2" s="1"/>
  <c r="L116" i="2"/>
  <c r="C117" i="2"/>
  <c r="K117" i="2" s="1"/>
  <c r="L117" i="2"/>
  <c r="C118" i="2"/>
  <c r="K118" i="2" s="1"/>
  <c r="L118" i="2"/>
  <c r="C119" i="2"/>
  <c r="K119" i="2" s="1"/>
  <c r="L119" i="2"/>
  <c r="C120" i="2"/>
  <c r="K120" i="2" s="1"/>
  <c r="L120" i="2"/>
  <c r="C121" i="2"/>
  <c r="K121" i="2" s="1"/>
  <c r="L121" i="2"/>
  <c r="C122" i="2"/>
  <c r="K122" i="2" s="1"/>
  <c r="L122" i="2"/>
  <c r="C123" i="2"/>
  <c r="K123" i="2" s="1"/>
  <c r="L123" i="2"/>
  <c r="C124" i="2"/>
  <c r="K124" i="2" s="1"/>
  <c r="L124" i="2"/>
  <c r="C126" i="2"/>
  <c r="K126" i="2" s="1"/>
  <c r="L126" i="2"/>
  <c r="C127" i="2"/>
  <c r="L127" i="2"/>
  <c r="C128" i="2"/>
  <c r="L128" i="2"/>
  <c r="C134" i="2"/>
  <c r="L134" i="2"/>
  <c r="C136" i="2"/>
  <c r="K136" i="2" s="1"/>
  <c r="L136" i="2"/>
  <c r="C142" i="2"/>
  <c r="K142" i="2" s="1"/>
  <c r="L142" i="2"/>
  <c r="C143" i="2"/>
  <c r="K143" i="2" s="1"/>
  <c r="L143" i="2"/>
  <c r="C144" i="2"/>
  <c r="L144" i="2"/>
  <c r="C145" i="2"/>
  <c r="K145" i="2" s="1"/>
  <c r="L145" i="2"/>
  <c r="C146" i="2"/>
  <c r="K146" i="2" s="1"/>
  <c r="L146" i="2"/>
  <c r="C149" i="2"/>
  <c r="K149" i="2" s="1"/>
  <c r="L149" i="2"/>
  <c r="C150" i="2"/>
  <c r="L150" i="2"/>
  <c r="C151" i="2"/>
  <c r="K151" i="2" s="1"/>
  <c r="L151" i="2"/>
  <c r="C152" i="2"/>
  <c r="K152" i="2" s="1"/>
  <c r="L152" i="2"/>
  <c r="C154" i="2"/>
  <c r="L154" i="2"/>
  <c r="C155" i="2"/>
  <c r="L155" i="2"/>
  <c r="C156" i="2"/>
  <c r="L156" i="2"/>
  <c r="C157" i="2"/>
  <c r="L157" i="2"/>
  <c r="C158" i="2"/>
  <c r="L158" i="2"/>
  <c r="C160" i="2"/>
  <c r="K160" i="2" s="1"/>
  <c r="L160" i="2"/>
  <c r="C162" i="2"/>
  <c r="L162" i="2"/>
  <c r="C165" i="2"/>
  <c r="L165" i="2"/>
  <c r="C168" i="2"/>
  <c r="K168" i="2" s="1"/>
  <c r="L168" i="2"/>
  <c r="C171" i="2"/>
  <c r="K171" i="2" s="1"/>
  <c r="L171" i="2"/>
  <c r="C173" i="2"/>
  <c r="L173" i="2"/>
  <c r="C175" i="2"/>
  <c r="K175" i="2" s="1"/>
  <c r="L175" i="2"/>
  <c r="C180" i="2"/>
  <c r="K180" i="2" s="1"/>
  <c r="L180" i="2"/>
  <c r="C182" i="2"/>
  <c r="K182" i="2" s="1"/>
  <c r="L182" i="2"/>
  <c r="C185" i="2"/>
  <c r="K185" i="2" s="1"/>
  <c r="L185" i="2"/>
  <c r="C189" i="2"/>
  <c r="L189" i="2"/>
  <c r="C190" i="2"/>
  <c r="L190" i="2"/>
  <c r="C191" i="2"/>
  <c r="K191" i="2" s="1"/>
  <c r="L191" i="2"/>
  <c r="C192" i="2"/>
  <c r="L192" i="2"/>
  <c r="C193" i="2"/>
  <c r="K193" i="2" s="1"/>
  <c r="L193" i="2"/>
  <c r="C194" i="2"/>
  <c r="L194" i="2"/>
  <c r="C195" i="2"/>
  <c r="K195" i="2" s="1"/>
  <c r="L195" i="2"/>
  <c r="C196" i="2"/>
  <c r="L196" i="2"/>
  <c r="C197" i="2"/>
  <c r="K197" i="2" s="1"/>
  <c r="L197" i="2"/>
  <c r="C198" i="2"/>
  <c r="K198" i="2" s="1"/>
  <c r="L198" i="2"/>
  <c r="C204" i="2"/>
  <c r="K204" i="2" s="1"/>
  <c r="L204" i="2"/>
  <c r="C205" i="2"/>
  <c r="L205" i="2"/>
  <c r="C206" i="2"/>
  <c r="K206" i="2" s="1"/>
  <c r="L206" i="2"/>
  <c r="C208" i="2"/>
  <c r="K208" i="2" s="1"/>
  <c r="L208" i="2"/>
  <c r="C210" i="2"/>
  <c r="K210" i="2" s="1"/>
  <c r="L210" i="2"/>
  <c r="C211" i="2"/>
  <c r="K211" i="2" s="1"/>
  <c r="L211" i="2"/>
  <c r="C214" i="2"/>
  <c r="L214" i="2"/>
  <c r="C216" i="2"/>
  <c r="K216" i="2" s="1"/>
  <c r="L216" i="2"/>
  <c r="C217" i="2"/>
  <c r="K217" i="2" s="1"/>
  <c r="L217" i="2"/>
  <c r="C220" i="2"/>
  <c r="K220" i="2" s="1"/>
  <c r="L220" i="2"/>
  <c r="C222" i="2"/>
  <c r="K222" i="2" s="1"/>
  <c r="L222" i="2"/>
  <c r="C224" i="2"/>
  <c r="L224" i="2"/>
  <c r="C226" i="2"/>
  <c r="L226" i="2"/>
  <c r="C233" i="2"/>
  <c r="K233" i="2" s="1"/>
  <c r="L233" i="2"/>
  <c r="C236" i="2"/>
  <c r="L236" i="2"/>
  <c r="C241" i="2"/>
  <c r="K241" i="2" s="1"/>
  <c r="L241" i="2"/>
  <c r="C246" i="2"/>
  <c r="L246" i="2"/>
  <c r="C249" i="2"/>
  <c r="L249" i="2"/>
  <c r="C250" i="2"/>
  <c r="L250" i="2"/>
  <c r="C251" i="2"/>
  <c r="L251" i="2"/>
  <c r="C252" i="2"/>
  <c r="K252" i="2" s="1"/>
  <c r="L252" i="2"/>
  <c r="C253" i="2"/>
  <c r="L253" i="2"/>
  <c r="C255" i="2"/>
  <c r="K255" i="2" s="1"/>
  <c r="L255" i="2"/>
  <c r="C257" i="2"/>
  <c r="K257" i="2" s="1"/>
  <c r="L257" i="2"/>
  <c r="C258" i="2"/>
  <c r="K258" i="2" s="1"/>
  <c r="L258" i="2"/>
  <c r="C259" i="2"/>
  <c r="L259" i="2"/>
  <c r="C262" i="2"/>
  <c r="K262" i="2" s="1"/>
  <c r="L262" i="2"/>
  <c r="C263" i="2"/>
  <c r="K263" i="2" s="1"/>
  <c r="L263" i="2"/>
  <c r="C264" i="2"/>
  <c r="K264" i="2" s="1"/>
  <c r="L264" i="2"/>
  <c r="C265" i="2"/>
  <c r="K265" i="2" s="1"/>
  <c r="L265" i="2"/>
  <c r="C268" i="2"/>
  <c r="K268" i="2" s="1"/>
  <c r="L268" i="2"/>
  <c r="C269" i="2"/>
  <c r="K269" i="2" s="1"/>
  <c r="L269" i="2"/>
  <c r="C270" i="2"/>
  <c r="L270" i="2"/>
  <c r="C273" i="2"/>
  <c r="L273" i="2"/>
  <c r="C275" i="2"/>
  <c r="L275" i="2"/>
  <c r="C276" i="2"/>
  <c r="K276" i="2" s="1"/>
  <c r="L276" i="2"/>
  <c r="C278" i="2"/>
  <c r="K278" i="2" s="1"/>
  <c r="L278" i="2"/>
  <c r="C281" i="2"/>
  <c r="L281" i="2"/>
  <c r="C282" i="2"/>
  <c r="K282" i="2" s="1"/>
  <c r="L282" i="2"/>
  <c r="C284" i="2"/>
  <c r="L284" i="2"/>
  <c r="C285" i="2"/>
  <c r="L285" i="2"/>
  <c r="C286" i="2"/>
  <c r="K286" i="2" s="1"/>
  <c r="L286" i="2"/>
  <c r="C287" i="2"/>
  <c r="K287" i="2" s="1"/>
  <c r="L287" i="2"/>
  <c r="C288" i="2"/>
  <c r="L288" i="2"/>
  <c r="C289" i="2"/>
  <c r="K289" i="2" s="1"/>
  <c r="L289" i="2"/>
  <c r="C290" i="2"/>
  <c r="K290" i="2" s="1"/>
  <c r="L290" i="2"/>
  <c r="C291" i="2"/>
  <c r="K291" i="2" s="1"/>
  <c r="L291" i="2"/>
  <c r="C292" i="2"/>
  <c r="K292" i="2" s="1"/>
  <c r="L292" i="2"/>
  <c r="C300" i="2"/>
  <c r="K300" i="2" s="1"/>
  <c r="L300" i="2"/>
  <c r="C301" i="2"/>
  <c r="K301" i="2" s="1"/>
  <c r="L301" i="2"/>
  <c r="C307" i="2"/>
  <c r="K307" i="2" s="1"/>
  <c r="L307" i="2"/>
  <c r="C313" i="2"/>
  <c r="K313" i="2" s="1"/>
  <c r="L313" i="2"/>
  <c r="C317" i="2"/>
  <c r="K317" i="2" s="1"/>
  <c r="L317" i="2"/>
  <c r="C320" i="2"/>
  <c r="L320" i="2"/>
  <c r="C321" i="2"/>
  <c r="L321" i="2"/>
  <c r="C322" i="2"/>
  <c r="L322" i="2"/>
  <c r="C323" i="2"/>
  <c r="K323" i="2" s="1"/>
  <c r="L323" i="2"/>
  <c r="C324" i="2"/>
  <c r="L324" i="2"/>
  <c r="C325" i="2"/>
  <c r="L325" i="2"/>
  <c r="C328" i="2"/>
  <c r="K328" i="2" s="1"/>
  <c r="L328" i="2"/>
  <c r="C331" i="2"/>
  <c r="K331" i="2" s="1"/>
  <c r="L331" i="2"/>
  <c r="C332" i="2"/>
  <c r="K332" i="2" s="1"/>
  <c r="L332" i="2"/>
  <c r="C333" i="2"/>
  <c r="K333" i="2" s="1"/>
  <c r="L333" i="2"/>
  <c r="C334" i="2"/>
  <c r="K334" i="2" s="1"/>
  <c r="L334" i="2"/>
  <c r="C342" i="2"/>
  <c r="K342" i="2" s="1"/>
  <c r="L342" i="2"/>
  <c r="C343" i="2"/>
  <c r="K343" i="2" s="1"/>
  <c r="L343" i="2"/>
  <c r="C344" i="2"/>
  <c r="K344" i="2" s="1"/>
  <c r="L344" i="2"/>
  <c r="C347" i="2"/>
  <c r="K347" i="2" s="1"/>
  <c r="L347" i="2"/>
  <c r="C348" i="2"/>
  <c r="K348" i="2" s="1"/>
  <c r="L348" i="2"/>
  <c r="C349" i="2"/>
  <c r="K349" i="2" s="1"/>
  <c r="L349" i="2"/>
  <c r="C350" i="2"/>
  <c r="K350" i="2" s="1"/>
  <c r="L350" i="2"/>
  <c r="C351" i="2"/>
  <c r="K351" i="2" s="1"/>
  <c r="L351" i="2"/>
  <c r="C353" i="2"/>
  <c r="K353" i="2" s="1"/>
  <c r="L353" i="2"/>
  <c r="C354" i="2"/>
  <c r="L354" i="2"/>
  <c r="C357" i="2"/>
  <c r="K357" i="2" s="1"/>
  <c r="L357" i="2"/>
  <c r="C359" i="2"/>
  <c r="K359" i="2" s="1"/>
  <c r="L359" i="2"/>
  <c r="C360" i="2"/>
  <c r="K360" i="2" s="1"/>
  <c r="L360" i="2"/>
  <c r="C361" i="2"/>
  <c r="K361" i="2" s="1"/>
  <c r="L361" i="2"/>
  <c r="C362" i="2"/>
  <c r="K362" i="2" s="1"/>
  <c r="L362" i="2"/>
  <c r="C363" i="2"/>
  <c r="K363" i="2" s="1"/>
  <c r="L363" i="2"/>
  <c r="C364" i="2"/>
  <c r="K364" i="2" s="1"/>
  <c r="L364" i="2"/>
  <c r="C365" i="2"/>
  <c r="K365" i="2" s="1"/>
  <c r="L365" i="2"/>
  <c r="C366" i="2"/>
  <c r="K366" i="2" s="1"/>
  <c r="L366" i="2"/>
  <c r="C367" i="2"/>
  <c r="L367" i="2"/>
  <c r="C379" i="2"/>
  <c r="K379" i="2" s="1"/>
  <c r="L379" i="2"/>
  <c r="C380" i="2"/>
  <c r="K380" i="2" s="1"/>
  <c r="L380" i="2"/>
  <c r="C381" i="2"/>
  <c r="K381" i="2" s="1"/>
  <c r="L381" i="2"/>
  <c r="C382" i="2"/>
  <c r="K382" i="2" s="1"/>
  <c r="L382" i="2"/>
  <c r="C383" i="2"/>
  <c r="K383" i="2" s="1"/>
  <c r="L383" i="2"/>
  <c r="C384" i="2"/>
  <c r="K384" i="2" s="1"/>
  <c r="L384" i="2"/>
  <c r="C385" i="2"/>
  <c r="L385" i="2"/>
  <c r="C388" i="2"/>
  <c r="K388" i="2" s="1"/>
  <c r="L388" i="2"/>
  <c r="C389" i="2"/>
  <c r="K389" i="2" s="1"/>
  <c r="L389" i="2"/>
  <c r="C395" i="2"/>
  <c r="K395" i="2" s="1"/>
  <c r="L395" i="2"/>
  <c r="C397" i="2"/>
  <c r="K397" i="2" s="1"/>
  <c r="L397" i="2"/>
  <c r="C399" i="2"/>
  <c r="K399" i="2" s="1"/>
  <c r="L399" i="2"/>
  <c r="C400" i="2"/>
  <c r="L400" i="2"/>
  <c r="C401" i="2"/>
  <c r="K401" i="2" s="1"/>
  <c r="L401" i="2"/>
  <c r="C402" i="2"/>
  <c r="K402" i="2" s="1"/>
  <c r="L402" i="2"/>
  <c r="C405" i="2"/>
  <c r="K405" i="2" s="1"/>
  <c r="L405" i="2"/>
  <c r="C406" i="2"/>
  <c r="K406" i="2" s="1"/>
  <c r="L406" i="2"/>
  <c r="C407" i="2"/>
  <c r="K407" i="2" s="1"/>
  <c r="L407" i="2"/>
  <c r="C408" i="2"/>
  <c r="K408" i="2" s="1"/>
  <c r="L408" i="2"/>
  <c r="C409" i="2"/>
  <c r="K409" i="2" s="1"/>
  <c r="L409" i="2"/>
  <c r="C410" i="2"/>
  <c r="K410" i="2" s="1"/>
  <c r="L410" i="2"/>
  <c r="C411" i="2"/>
  <c r="K411" i="2" s="1"/>
  <c r="L411" i="2"/>
  <c r="C413" i="2"/>
  <c r="K413" i="2" s="1"/>
  <c r="L413" i="2"/>
  <c r="C416" i="2"/>
  <c r="K416" i="2" s="1"/>
  <c r="L416" i="2"/>
  <c r="C418" i="2"/>
  <c r="K418" i="2" s="1"/>
  <c r="L418" i="2"/>
  <c r="C419" i="2"/>
  <c r="K419" i="2" s="1"/>
  <c r="L419" i="2"/>
  <c r="C423" i="2"/>
  <c r="K423" i="2" s="1"/>
  <c r="L423" i="2"/>
  <c r="C427" i="2"/>
  <c r="K427" i="2" s="1"/>
  <c r="L427" i="2"/>
  <c r="C435" i="2"/>
  <c r="K435" i="2" s="1"/>
  <c r="L435" i="2"/>
  <c r="C436" i="2"/>
  <c r="K436" i="2" s="1"/>
  <c r="L436" i="2"/>
  <c r="C437" i="2"/>
  <c r="K437" i="2" s="1"/>
  <c r="L437" i="2"/>
  <c r="C438" i="2"/>
  <c r="K438" i="2" s="1"/>
  <c r="L438" i="2"/>
  <c r="C439" i="2"/>
  <c r="K439" i="2" s="1"/>
  <c r="L439" i="2"/>
  <c r="C440" i="2"/>
  <c r="K440" i="2" s="1"/>
  <c r="L440" i="2"/>
  <c r="C441" i="2"/>
  <c r="K441" i="2" s="1"/>
  <c r="L441" i="2"/>
  <c r="C442" i="2"/>
  <c r="K442" i="2" s="1"/>
  <c r="L442" i="2"/>
  <c r="C443" i="2"/>
  <c r="K443" i="2" s="1"/>
  <c r="L443" i="2"/>
  <c r="C444" i="2"/>
  <c r="K444" i="2" s="1"/>
  <c r="L444" i="2"/>
  <c r="C445" i="2"/>
  <c r="K445" i="2" s="1"/>
  <c r="L445" i="2"/>
  <c r="C446" i="2"/>
  <c r="L446" i="2"/>
  <c r="C447" i="2"/>
  <c r="K447" i="2" s="1"/>
  <c r="L447" i="2"/>
  <c r="C449" i="2"/>
  <c r="L449" i="2"/>
  <c r="C450" i="2"/>
  <c r="L450" i="2"/>
  <c r="C451" i="2"/>
  <c r="L451" i="2"/>
  <c r="C452" i="2"/>
  <c r="K452" i="2" s="1"/>
  <c r="L452" i="2"/>
  <c r="C453" i="2"/>
  <c r="L453" i="2"/>
  <c r="C455" i="2"/>
  <c r="K455" i="2" s="1"/>
  <c r="L455" i="2"/>
  <c r="C456" i="2"/>
  <c r="K456" i="2" s="1"/>
  <c r="L456" i="2"/>
  <c r="C457" i="2"/>
  <c r="K457" i="2" s="1"/>
  <c r="L457" i="2"/>
  <c r="C458" i="2"/>
  <c r="K458" i="2" s="1"/>
  <c r="L458" i="2"/>
  <c r="C459" i="2"/>
  <c r="K459" i="2" s="1"/>
  <c r="L459" i="2"/>
  <c r="C460" i="2"/>
  <c r="K460" i="2" s="1"/>
  <c r="L460" i="2"/>
  <c r="C461" i="2"/>
  <c r="L461" i="2"/>
  <c r="C462" i="2"/>
  <c r="L462" i="2"/>
  <c r="C463" i="2"/>
  <c r="K463" i="2" s="1"/>
  <c r="L463" i="2"/>
  <c r="C464" i="2"/>
  <c r="L464" i="2"/>
  <c r="C465" i="2"/>
  <c r="K465" i="2" s="1"/>
  <c r="L465" i="2"/>
  <c r="C466" i="2"/>
  <c r="K466" i="2" s="1"/>
  <c r="L466" i="2"/>
  <c r="C467" i="2"/>
  <c r="K467" i="2" s="1"/>
  <c r="L467" i="2"/>
  <c r="C468" i="2"/>
  <c r="K468" i="2" s="1"/>
  <c r="L468" i="2"/>
  <c r="C470" i="2"/>
  <c r="L470" i="2"/>
  <c r="C471" i="2"/>
  <c r="L471" i="2"/>
  <c r="C472" i="2"/>
  <c r="L472" i="2"/>
  <c r="C474" i="2"/>
  <c r="K474" i="2" s="1"/>
  <c r="L474" i="2"/>
  <c r="C475" i="2"/>
  <c r="K475" i="2" s="1"/>
  <c r="L475" i="2"/>
  <c r="C476" i="2"/>
  <c r="L476" i="2"/>
  <c r="C477" i="2"/>
  <c r="L477" i="2"/>
  <c r="C478" i="2"/>
  <c r="L478" i="2"/>
  <c r="C479" i="2"/>
  <c r="L479" i="2"/>
  <c r="C480" i="2"/>
  <c r="K480" i="2" s="1"/>
  <c r="L480" i="2"/>
  <c r="C481" i="2"/>
  <c r="K481" i="2" s="1"/>
  <c r="L481" i="2"/>
  <c r="C482" i="2"/>
  <c r="K482" i="2" s="1"/>
  <c r="L482" i="2"/>
  <c r="C483" i="2"/>
  <c r="L483" i="2"/>
  <c r="C484" i="2"/>
  <c r="K484" i="2" s="1"/>
  <c r="L484" i="2"/>
  <c r="C485" i="2"/>
  <c r="L485" i="2"/>
  <c r="C486" i="2"/>
  <c r="K486" i="2" s="1"/>
  <c r="L486" i="2"/>
  <c r="C487" i="2"/>
  <c r="K487" i="2" s="1"/>
  <c r="L487" i="2"/>
  <c r="C488" i="2"/>
  <c r="L488" i="2"/>
  <c r="C489" i="2"/>
  <c r="K489" i="2" s="1"/>
  <c r="L489" i="2"/>
  <c r="C497" i="2"/>
  <c r="K497" i="2" s="1"/>
  <c r="L497" i="2"/>
  <c r="C498" i="2"/>
  <c r="L498" i="2"/>
  <c r="C499" i="2"/>
  <c r="L499" i="2"/>
  <c r="C500" i="2"/>
  <c r="K500" i="2" s="1"/>
  <c r="L500" i="2"/>
  <c r="C502" i="2"/>
  <c r="K502" i="2" s="1"/>
  <c r="L502" i="2"/>
  <c r="C503" i="2"/>
  <c r="K503" i="2" s="1"/>
  <c r="L503" i="2"/>
  <c r="C507" i="2"/>
  <c r="L507" i="2"/>
  <c r="C508" i="2"/>
  <c r="K508" i="2" s="1"/>
  <c r="L508" i="2"/>
  <c r="C509" i="2"/>
  <c r="K509" i="2" s="1"/>
  <c r="L509" i="2"/>
  <c r="C510" i="2"/>
  <c r="K510" i="2" s="1"/>
  <c r="L510" i="2"/>
  <c r="C511" i="2"/>
  <c r="K511" i="2" s="1"/>
  <c r="L511" i="2"/>
  <c r="C514" i="2"/>
  <c r="L514" i="2"/>
  <c r="C517" i="2"/>
  <c r="K517" i="2" s="1"/>
  <c r="L517" i="2"/>
  <c r="C518" i="2"/>
  <c r="K518" i="2" s="1"/>
  <c r="L518" i="2"/>
  <c r="C521" i="2"/>
  <c r="K521" i="2" s="1"/>
  <c r="L521" i="2"/>
  <c r="C523" i="2"/>
  <c r="K523" i="2" s="1"/>
  <c r="L523" i="2"/>
  <c r="C524" i="2"/>
  <c r="K524" i="2" s="1"/>
  <c r="L524" i="2"/>
  <c r="C526" i="2"/>
  <c r="L526" i="2"/>
  <c r="C527" i="2"/>
  <c r="K527" i="2" s="1"/>
  <c r="L527" i="2"/>
  <c r="C528" i="2"/>
  <c r="K528" i="2" s="1"/>
  <c r="L528" i="2"/>
  <c r="C529" i="2"/>
  <c r="K529" i="2" s="1"/>
  <c r="L529" i="2"/>
  <c r="C530" i="2"/>
  <c r="K530" i="2" s="1"/>
  <c r="L530" i="2"/>
  <c r="C531" i="2"/>
  <c r="K531" i="2" s="1"/>
  <c r="L531" i="2"/>
  <c r="C532" i="2"/>
  <c r="K532" i="2" s="1"/>
  <c r="L532" i="2"/>
  <c r="C534" i="2"/>
  <c r="L534" i="2"/>
  <c r="C535" i="2"/>
  <c r="K535" i="2" s="1"/>
  <c r="L535" i="2"/>
  <c r="C536" i="2"/>
  <c r="K536" i="2" s="1"/>
  <c r="L536" i="2"/>
  <c r="C537" i="2"/>
  <c r="K537" i="2" s="1"/>
  <c r="L537" i="2"/>
  <c r="C542" i="2"/>
  <c r="K542" i="2" s="1"/>
  <c r="L542" i="2"/>
  <c r="C543" i="2"/>
  <c r="K543" i="2" s="1"/>
  <c r="L543" i="2"/>
  <c r="C550" i="2"/>
  <c r="K550" i="2" s="1"/>
  <c r="L550" i="2"/>
  <c r="C551" i="2"/>
  <c r="K551" i="2" s="1"/>
  <c r="L551" i="2"/>
  <c r="C552" i="2"/>
  <c r="K552" i="2" s="1"/>
  <c r="L552" i="2"/>
  <c r="C556" i="2"/>
  <c r="K556" i="2" s="1"/>
  <c r="L556" i="2"/>
  <c r="C559" i="2"/>
  <c r="K559" i="2" s="1"/>
  <c r="L559" i="2"/>
  <c r="C564" i="2"/>
  <c r="K564" i="2" s="1"/>
  <c r="L564" i="2"/>
  <c r="C565" i="2"/>
  <c r="K565" i="2" s="1"/>
  <c r="L565" i="2"/>
  <c r="C566" i="2"/>
  <c r="K566" i="2" s="1"/>
  <c r="L566" i="2"/>
  <c r="C568" i="2"/>
  <c r="K568" i="2" s="1"/>
  <c r="L568" i="2"/>
  <c r="C570" i="2"/>
  <c r="K570" i="2" s="1"/>
  <c r="L570" i="2"/>
  <c r="C571" i="2"/>
  <c r="K571" i="2" s="1"/>
  <c r="L571" i="2"/>
  <c r="C573" i="2"/>
  <c r="K573" i="2" s="1"/>
  <c r="L573" i="2"/>
  <c r="C575" i="2"/>
  <c r="K575" i="2" s="1"/>
  <c r="L575" i="2"/>
  <c r="C579" i="2"/>
  <c r="K579" i="2" s="1"/>
  <c r="L579" i="2"/>
  <c r="C581" i="2"/>
  <c r="K581" i="2" s="1"/>
  <c r="L581" i="2"/>
  <c r="C582" i="2"/>
  <c r="K582" i="2" s="1"/>
  <c r="L582" i="2"/>
  <c r="C583" i="2"/>
  <c r="K583" i="2" s="1"/>
  <c r="L583" i="2"/>
  <c r="C584" i="2"/>
  <c r="K584" i="2" s="1"/>
  <c r="L584" i="2"/>
  <c r="C585" i="2"/>
  <c r="K585" i="2" s="1"/>
  <c r="L585" i="2"/>
  <c r="C586" i="2"/>
  <c r="K586" i="2" s="1"/>
  <c r="L586" i="2"/>
  <c r="C587" i="2"/>
  <c r="K587" i="2" s="1"/>
  <c r="L587" i="2"/>
  <c r="C588" i="2"/>
  <c r="K588" i="2" s="1"/>
  <c r="L588" i="2"/>
  <c r="C589" i="2"/>
  <c r="K589" i="2" s="1"/>
  <c r="L589" i="2"/>
  <c r="C590" i="2"/>
  <c r="K590" i="2" s="1"/>
  <c r="L590" i="2"/>
  <c r="C591" i="2"/>
  <c r="K591" i="2" s="1"/>
  <c r="L591" i="2"/>
  <c r="C592" i="2"/>
  <c r="K592" i="2" s="1"/>
  <c r="L592" i="2"/>
  <c r="C593" i="2"/>
  <c r="K593" i="2" s="1"/>
  <c r="L593" i="2"/>
  <c r="C594" i="2"/>
  <c r="K594" i="2" s="1"/>
  <c r="L594" i="2"/>
  <c r="C595" i="2"/>
  <c r="K595" i="2" s="1"/>
  <c r="L595" i="2"/>
  <c r="C596" i="2"/>
  <c r="K596" i="2" s="1"/>
  <c r="L596" i="2"/>
  <c r="C597" i="2"/>
  <c r="K597" i="2" s="1"/>
  <c r="L597" i="2"/>
  <c r="C598" i="2"/>
  <c r="K598" i="2" s="1"/>
  <c r="L598" i="2"/>
  <c r="C599" i="2"/>
  <c r="K599" i="2" s="1"/>
  <c r="L599" i="2"/>
  <c r="C601" i="2"/>
  <c r="K601" i="2" s="1"/>
  <c r="L601" i="2"/>
  <c r="C602" i="2"/>
  <c r="K602" i="2" s="1"/>
  <c r="L602" i="2"/>
  <c r="C603" i="2"/>
  <c r="K603" i="2" s="1"/>
  <c r="L603" i="2"/>
  <c r="C604" i="2"/>
  <c r="K604" i="2" s="1"/>
  <c r="L604" i="2"/>
  <c r="C605" i="2"/>
  <c r="K605" i="2" s="1"/>
  <c r="L605" i="2"/>
  <c r="C606" i="2"/>
  <c r="L606" i="2"/>
  <c r="C608" i="2"/>
  <c r="K608" i="2" s="1"/>
  <c r="L608" i="2"/>
  <c r="C609" i="2"/>
  <c r="K609" i="2" s="1"/>
  <c r="L609" i="2"/>
  <c r="C611" i="2"/>
  <c r="L611" i="2"/>
  <c r="C612" i="2"/>
  <c r="K612" i="2" s="1"/>
  <c r="L612" i="2"/>
  <c r="C613" i="2"/>
  <c r="K613" i="2" s="1"/>
  <c r="L613" i="2"/>
  <c r="C614" i="2"/>
  <c r="K614" i="2" s="1"/>
  <c r="L614" i="2"/>
  <c r="C615" i="2"/>
  <c r="L615" i="2"/>
  <c r="C616" i="2"/>
  <c r="K616" i="2" s="1"/>
  <c r="L616" i="2"/>
  <c r="C617" i="2"/>
  <c r="K617" i="2" s="1"/>
  <c r="L617" i="2"/>
  <c r="C618" i="2"/>
  <c r="K618" i="2" s="1"/>
  <c r="L618" i="2"/>
  <c r="C619" i="2"/>
  <c r="K619" i="2" s="1"/>
  <c r="L619" i="2"/>
  <c r="C620" i="2"/>
  <c r="K620" i="2" s="1"/>
  <c r="L620" i="2"/>
  <c r="C622" i="2"/>
  <c r="K622" i="2" s="1"/>
  <c r="L622" i="2"/>
  <c r="C623" i="2"/>
  <c r="K623" i="2" s="1"/>
  <c r="L623" i="2"/>
  <c r="C624" i="2"/>
  <c r="K624" i="2" s="1"/>
  <c r="L624" i="2"/>
  <c r="C625" i="2"/>
  <c r="K625" i="2" s="1"/>
  <c r="L625" i="2"/>
  <c r="C626" i="2"/>
  <c r="K626" i="2" s="1"/>
  <c r="L626" i="2"/>
  <c r="C627" i="2"/>
  <c r="K627" i="2" s="1"/>
  <c r="L627" i="2"/>
  <c r="C628" i="2"/>
  <c r="K628" i="2" s="1"/>
  <c r="L628" i="2"/>
  <c r="C629" i="2"/>
  <c r="K629" i="2" s="1"/>
  <c r="L629" i="2"/>
  <c r="L6" i="3"/>
  <c r="G6" i="3" l="1"/>
  <c r="P17" i="3"/>
  <c r="G8" i="3" l="1"/>
  <c r="M1" i="1" l="1"/>
  <c r="M2" i="1" s="1"/>
  <c r="M3" i="1"/>
  <c r="D6" i="3" s="1"/>
  <c r="L8" i="3" s="1"/>
  <c r="P16" i="3"/>
  <c r="B2" i="1" l="1"/>
  <c r="C32" i="1"/>
  <c r="D32" i="1" s="1"/>
  <c r="C51" i="1"/>
  <c r="D51" i="1" s="1"/>
  <c r="C50" i="1"/>
  <c r="D50" i="1" s="1"/>
  <c r="C49" i="1"/>
  <c r="D49" i="1" s="1"/>
  <c r="C48" i="1"/>
  <c r="D48" i="1" s="1"/>
  <c r="C47" i="1"/>
  <c r="D47" i="1" s="1"/>
  <c r="C46" i="1"/>
  <c r="D46" i="1" s="1"/>
  <c r="C45" i="1"/>
  <c r="D45" i="1" s="1"/>
  <c r="C44" i="1"/>
  <c r="D44" i="1" s="1"/>
  <c r="C43" i="1"/>
  <c r="D43" i="1" s="1"/>
  <c r="C42" i="1"/>
  <c r="D42" i="1" s="1"/>
  <c r="C41" i="1"/>
  <c r="D41" i="1" s="1"/>
  <c r="C40" i="1"/>
  <c r="D40" i="1" s="1"/>
  <c r="C39" i="1"/>
  <c r="D39" i="1" s="1"/>
  <c r="C38" i="1"/>
  <c r="D38" i="1" s="1"/>
  <c r="C37" i="1"/>
  <c r="D37" i="1" s="1"/>
  <c r="C36" i="1"/>
  <c r="D36" i="1" s="1"/>
  <c r="C35" i="1"/>
  <c r="D35" i="1" s="1"/>
  <c r="C34" i="1"/>
  <c r="D34" i="1" s="1"/>
  <c r="C33" i="1"/>
  <c r="D33" i="1" s="1"/>
  <c r="C31" i="1"/>
  <c r="D31" i="1" s="1"/>
  <c r="C30" i="1"/>
  <c r="D30" i="1" s="1"/>
  <c r="C29" i="1"/>
  <c r="D29" i="1" s="1"/>
  <c r="C28" i="1"/>
  <c r="D28" i="1" s="1"/>
  <c r="C27" i="1"/>
  <c r="D27" i="1" s="1"/>
  <c r="C26" i="1"/>
  <c r="D26" i="1" s="1"/>
  <c r="C25" i="1"/>
  <c r="D25" i="1" s="1"/>
  <c r="C24" i="1"/>
  <c r="D24" i="1" s="1"/>
  <c r="C23" i="1"/>
  <c r="D23" i="1" s="1"/>
  <c r="C22" i="1"/>
  <c r="D22" i="1" s="1"/>
  <c r="C21" i="1"/>
  <c r="D21" i="1" s="1"/>
  <c r="C20" i="1"/>
  <c r="D20" i="1" s="1"/>
  <c r="C19" i="1"/>
  <c r="D19" i="1" s="1"/>
  <c r="C18" i="1"/>
  <c r="D18" i="1" s="1"/>
  <c r="C17" i="1"/>
  <c r="D17" i="1" s="1"/>
  <c r="C16" i="1"/>
  <c r="D16" i="1" s="1"/>
  <c r="C15" i="1"/>
  <c r="D15" i="1" s="1"/>
  <c r="C14" i="1"/>
  <c r="D14" i="1" s="1"/>
  <c r="C13" i="1"/>
  <c r="D13" i="1" s="1"/>
  <c r="C12" i="1"/>
  <c r="D12" i="1" s="1"/>
  <c r="C11" i="1"/>
  <c r="D11" i="1" s="1"/>
  <c r="C10" i="1"/>
  <c r="D10" i="1" s="1"/>
  <c r="C9" i="1"/>
  <c r="D9" i="1" s="1"/>
  <c r="C8" i="1"/>
  <c r="D8" i="1" s="1"/>
  <c r="C7" i="1"/>
  <c r="D7" i="1" s="1"/>
  <c r="C6" i="1"/>
  <c r="D6" i="1" s="1"/>
  <c r="C5" i="1"/>
  <c r="D5" i="1" s="1"/>
  <c r="C4" i="1"/>
  <c r="D4" i="1" s="1"/>
  <c r="C3" i="1"/>
  <c r="D3" i="1" s="1"/>
  <c r="C2" i="1"/>
  <c r="D2" i="1" s="1"/>
  <c r="M4" i="1"/>
  <c r="B6" i="3" l="1" a="1"/>
  <c r="H29" i="1"/>
  <c r="H8" i="1"/>
  <c r="H19" i="1"/>
  <c r="H23" i="1"/>
  <c r="H27" i="1"/>
  <c r="H30" i="1"/>
  <c r="H34" i="1"/>
  <c r="H42" i="1"/>
  <c r="H46" i="1"/>
  <c r="H5" i="1"/>
  <c r="H18" i="1"/>
  <c r="H21" i="1"/>
  <c r="H26" i="1"/>
  <c r="H35" i="1"/>
  <c r="H39" i="1"/>
  <c r="H44" i="1"/>
  <c r="H50" i="1"/>
  <c r="H7" i="1"/>
  <c r="H24" i="1"/>
  <c r="H32" i="1"/>
  <c r="H38" i="1"/>
  <c r="H45" i="1"/>
  <c r="H49" i="1"/>
  <c r="H4" i="1"/>
  <c r="H6" i="1"/>
  <c r="H9" i="1"/>
  <c r="H36" i="1"/>
  <c r="H43" i="1"/>
  <c r="H51" i="1"/>
  <c r="H3" i="1"/>
  <c r="H25" i="1"/>
  <c r="H33" i="1"/>
  <c r="H41" i="1"/>
  <c r="H48" i="1"/>
  <c r="H2" i="1"/>
  <c r="H10" i="1"/>
  <c r="H11" i="1"/>
  <c r="H12" i="1"/>
  <c r="H13" i="1"/>
  <c r="H14" i="1"/>
  <c r="H15" i="1"/>
  <c r="H16" i="1"/>
  <c r="H17" i="1"/>
  <c r="H20" i="1"/>
  <c r="H22" i="1"/>
  <c r="H28" i="1"/>
  <c r="H31" i="1"/>
  <c r="H37" i="1"/>
  <c r="H40" i="1"/>
  <c r="H47" i="1"/>
  <c r="B3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G20" i="1"/>
  <c r="A54" i="3"/>
  <c r="Q54" i="3" s="1"/>
  <c r="A55" i="3"/>
  <c r="Q55" i="3" s="1"/>
  <c r="A56" i="3"/>
  <c r="Q56" i="3" s="1"/>
  <c r="A57" i="3"/>
  <c r="Q57" i="3" s="1"/>
  <c r="A58" i="3"/>
  <c r="Q58" i="3" s="1"/>
  <c r="A59" i="3"/>
  <c r="Q59" i="3" s="1"/>
  <c r="A60" i="3"/>
  <c r="Q60" i="3" s="1"/>
  <c r="A61" i="3"/>
  <c r="Q61" i="3" s="1"/>
  <c r="A62" i="3"/>
  <c r="Q62" i="3" s="1"/>
  <c r="A63" i="3"/>
  <c r="Q63" i="3" s="1"/>
  <c r="A64" i="3"/>
  <c r="Q64" i="3" s="1"/>
  <c r="A65" i="3"/>
  <c r="Q65" i="3" s="1"/>
  <c r="A66" i="3"/>
  <c r="Q66" i="3" s="1"/>
  <c r="A67" i="3"/>
  <c r="Q67" i="3" s="1"/>
  <c r="A68" i="3"/>
  <c r="Q68" i="3" s="1"/>
  <c r="A69" i="3"/>
  <c r="Q69" i="3" s="1"/>
  <c r="J2" i="1"/>
  <c r="J3" i="1"/>
  <c r="J4" i="1"/>
  <c r="J5" i="1"/>
  <c r="J6" i="1"/>
  <c r="J7" i="1"/>
  <c r="J9" i="1"/>
  <c r="J10" i="1"/>
  <c r="J11" i="1"/>
  <c r="J13" i="1"/>
  <c r="J16" i="1"/>
  <c r="J17" i="1"/>
  <c r="J19" i="1"/>
  <c r="J21" i="1"/>
  <c r="J23" i="1"/>
  <c r="J25" i="1"/>
  <c r="J27" i="1"/>
  <c r="G18" i="1"/>
  <c r="G22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G17" i="1"/>
  <c r="G23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A20" i="3"/>
  <c r="A21" i="3"/>
  <c r="A22" i="3"/>
  <c r="G19" i="1"/>
  <c r="F33" i="1"/>
  <c r="F34" i="1"/>
  <c r="F35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G21" i="1"/>
  <c r="G24" i="1"/>
  <c r="A23" i="3"/>
  <c r="A24" i="3"/>
  <c r="A25" i="3"/>
  <c r="A26" i="3"/>
  <c r="A27" i="3"/>
  <c r="A28" i="3"/>
  <c r="Q28" i="3" s="1"/>
  <c r="A29" i="3"/>
  <c r="Q29" i="3" s="1"/>
  <c r="A30" i="3"/>
  <c r="Q30" i="3" s="1"/>
  <c r="A31" i="3"/>
  <c r="Q31" i="3" s="1"/>
  <c r="A32" i="3"/>
  <c r="Q32" i="3" s="1"/>
  <c r="A33" i="3"/>
  <c r="Q33" i="3" s="1"/>
  <c r="A34" i="3"/>
  <c r="Q34" i="3" s="1"/>
  <c r="A35" i="3"/>
  <c r="Q35" i="3" s="1"/>
  <c r="A36" i="3"/>
  <c r="Q36" i="3" s="1"/>
  <c r="A37" i="3"/>
  <c r="Q37" i="3" s="1"/>
  <c r="A38" i="3"/>
  <c r="Q38" i="3" s="1"/>
  <c r="A39" i="3"/>
  <c r="Q39" i="3" s="1"/>
  <c r="A40" i="3"/>
  <c r="Q40" i="3" s="1"/>
  <c r="A41" i="3"/>
  <c r="Q41" i="3" s="1"/>
  <c r="A42" i="3"/>
  <c r="Q42" i="3" s="1"/>
  <c r="A43" i="3"/>
  <c r="Q43" i="3" s="1"/>
  <c r="A44" i="3"/>
  <c r="Q44" i="3" s="1"/>
  <c r="A45" i="3"/>
  <c r="Q45" i="3" s="1"/>
  <c r="A46" i="3"/>
  <c r="Q46" i="3" s="1"/>
  <c r="A47" i="3"/>
  <c r="Q47" i="3" s="1"/>
  <c r="A48" i="3"/>
  <c r="Q48" i="3" s="1"/>
  <c r="A49" i="3"/>
  <c r="Q49" i="3" s="1"/>
  <c r="A50" i="3"/>
  <c r="Q50" i="3" s="1"/>
  <c r="A51" i="3"/>
  <c r="Q51" i="3" s="1"/>
  <c r="A52" i="3"/>
  <c r="Q52" i="3" s="1"/>
  <c r="A53" i="3"/>
  <c r="Q53" i="3" s="1"/>
  <c r="J8" i="1"/>
  <c r="J12" i="1"/>
  <c r="J14" i="1"/>
  <c r="J15" i="1"/>
  <c r="J18" i="1"/>
  <c r="J20" i="1"/>
  <c r="J22" i="1"/>
  <c r="J24" i="1"/>
  <c r="J26" i="1"/>
  <c r="E10" i="1"/>
  <c r="E9" i="1"/>
  <c r="G16" i="1"/>
  <c r="G9" i="1"/>
  <c r="G10" i="1"/>
  <c r="E16" i="1"/>
  <c r="E17" i="1"/>
  <c r="E15" i="1"/>
  <c r="G15" i="1"/>
  <c r="E14" i="1"/>
  <c r="G14" i="1"/>
  <c r="G13" i="1"/>
  <c r="E13" i="1"/>
  <c r="E12" i="1"/>
  <c r="G12" i="1"/>
  <c r="E11" i="1"/>
  <c r="G11" i="1"/>
  <c r="G54" i="3" l="1"/>
  <c r="F54" i="3"/>
  <c r="E54" i="3"/>
  <c r="D54" i="3"/>
  <c r="C54" i="3"/>
  <c r="H54" i="3"/>
  <c r="I54" i="3"/>
  <c r="B54" i="3"/>
  <c r="H55" i="3"/>
  <c r="I55" i="3"/>
  <c r="D55" i="3"/>
  <c r="F55" i="3"/>
  <c r="G55" i="3"/>
  <c r="C55" i="3"/>
  <c r="E55" i="3"/>
  <c r="B55" i="3"/>
  <c r="G56" i="3"/>
  <c r="I56" i="3"/>
  <c r="C56" i="3"/>
  <c r="E56" i="3"/>
  <c r="H56" i="3"/>
  <c r="D56" i="3"/>
  <c r="F56" i="3"/>
  <c r="B56" i="3"/>
  <c r="C57" i="3"/>
  <c r="F57" i="3"/>
  <c r="G57" i="3"/>
  <c r="I57" i="3"/>
  <c r="H57" i="3"/>
  <c r="E57" i="3"/>
  <c r="D57" i="3"/>
  <c r="B57" i="3"/>
  <c r="C58" i="3"/>
  <c r="D58" i="3"/>
  <c r="E58" i="3"/>
  <c r="F58" i="3"/>
  <c r="G58" i="3"/>
  <c r="I58" i="3"/>
  <c r="H58" i="3"/>
  <c r="B58" i="3"/>
  <c r="I59" i="3"/>
  <c r="H59" i="3"/>
  <c r="C59" i="3"/>
  <c r="D59" i="3"/>
  <c r="E59" i="3"/>
  <c r="F59" i="3"/>
  <c r="G59" i="3"/>
  <c r="B59" i="3"/>
  <c r="I60" i="3"/>
  <c r="C60" i="3"/>
  <c r="D60" i="3"/>
  <c r="F60" i="3"/>
  <c r="G60" i="3"/>
  <c r="H60" i="3"/>
  <c r="E60" i="3"/>
  <c r="B60" i="3"/>
  <c r="C61" i="3"/>
  <c r="E61" i="3"/>
  <c r="F61" i="3"/>
  <c r="G61" i="3"/>
  <c r="D61" i="3"/>
  <c r="H61" i="3"/>
  <c r="I61" i="3"/>
  <c r="B61" i="3"/>
  <c r="H62" i="3"/>
  <c r="D62" i="3"/>
  <c r="E62" i="3"/>
  <c r="G62" i="3"/>
  <c r="I62" i="3"/>
  <c r="C62" i="3"/>
  <c r="F62" i="3"/>
  <c r="B62" i="3"/>
  <c r="G63" i="3"/>
  <c r="D63" i="3"/>
  <c r="F63" i="3"/>
  <c r="I63" i="3"/>
  <c r="H63" i="3"/>
  <c r="C63" i="3"/>
  <c r="E63" i="3"/>
  <c r="B63" i="3"/>
  <c r="H64" i="3"/>
  <c r="E64" i="3"/>
  <c r="G64" i="3"/>
  <c r="D64" i="3"/>
  <c r="F64" i="3"/>
  <c r="C64" i="3"/>
  <c r="I64" i="3"/>
  <c r="B64" i="3"/>
  <c r="I65" i="3"/>
  <c r="C65" i="3"/>
  <c r="G65" i="3"/>
  <c r="F65" i="3"/>
  <c r="D65" i="3"/>
  <c r="H65" i="3"/>
  <c r="E65" i="3"/>
  <c r="B65" i="3"/>
  <c r="I66" i="3"/>
  <c r="C66" i="3"/>
  <c r="E66" i="3"/>
  <c r="F66" i="3"/>
  <c r="H66" i="3"/>
  <c r="D66" i="3"/>
  <c r="G66" i="3"/>
  <c r="B66" i="3"/>
  <c r="H67" i="3"/>
  <c r="D67" i="3"/>
  <c r="F67" i="3"/>
  <c r="E67" i="3"/>
  <c r="G67" i="3"/>
  <c r="I67" i="3"/>
  <c r="C67" i="3"/>
  <c r="B67" i="3"/>
  <c r="I68" i="3"/>
  <c r="C68" i="3"/>
  <c r="D68" i="3"/>
  <c r="G68" i="3"/>
  <c r="H68" i="3"/>
  <c r="E68" i="3"/>
  <c r="F68" i="3"/>
  <c r="B68" i="3"/>
  <c r="H69" i="3"/>
  <c r="C69" i="3"/>
  <c r="F69" i="3"/>
  <c r="I69" i="3"/>
  <c r="D69" i="3"/>
  <c r="E69" i="3"/>
  <c r="G69" i="3"/>
  <c r="B69" i="3"/>
  <c r="I20" i="3"/>
  <c r="H20" i="3"/>
  <c r="Q20" i="3" s="1"/>
  <c r="E20" i="3"/>
  <c r="F20" i="3"/>
  <c r="C20" i="3"/>
  <c r="D20" i="3"/>
  <c r="G20" i="3"/>
  <c r="B20" i="3"/>
  <c r="F21" i="3"/>
  <c r="G21" i="3"/>
  <c r="B21" i="3"/>
  <c r="I21" i="3"/>
  <c r="H21" i="3"/>
  <c r="Q21" i="3" s="1"/>
  <c r="C21" i="3"/>
  <c r="D21" i="3"/>
  <c r="E21" i="3"/>
  <c r="B22" i="3"/>
  <c r="I22" i="3"/>
  <c r="H22" i="3"/>
  <c r="Q22" i="3" s="1"/>
  <c r="C22" i="3"/>
  <c r="D22" i="3"/>
  <c r="E22" i="3"/>
  <c r="F22" i="3"/>
  <c r="G22" i="3"/>
  <c r="B23" i="3"/>
  <c r="I23" i="3"/>
  <c r="H23" i="3"/>
  <c r="Q23" i="3" s="1"/>
  <c r="C23" i="3"/>
  <c r="D23" i="3"/>
  <c r="E23" i="3"/>
  <c r="F23" i="3"/>
  <c r="G23" i="3"/>
  <c r="B24" i="3"/>
  <c r="I24" i="3"/>
  <c r="H24" i="3"/>
  <c r="Q24" i="3" s="1"/>
  <c r="C24" i="3"/>
  <c r="D24" i="3"/>
  <c r="E24" i="3"/>
  <c r="F24" i="3"/>
  <c r="G24" i="3"/>
  <c r="I25" i="3"/>
  <c r="C25" i="3"/>
  <c r="H25" i="3"/>
  <c r="Q25" i="3" s="1"/>
  <c r="B25" i="3"/>
  <c r="D25" i="3"/>
  <c r="E25" i="3"/>
  <c r="F25" i="3"/>
  <c r="G25" i="3"/>
  <c r="I26" i="3"/>
  <c r="H26" i="3"/>
  <c r="Q26" i="3" s="1"/>
  <c r="D26" i="3"/>
  <c r="G26" i="3"/>
  <c r="C26" i="3"/>
  <c r="E26" i="3"/>
  <c r="F26" i="3"/>
  <c r="B26" i="3"/>
  <c r="I27" i="3"/>
  <c r="E27" i="3"/>
  <c r="H27" i="3"/>
  <c r="Q27" i="3" s="1"/>
  <c r="D27" i="3"/>
  <c r="F27" i="3"/>
  <c r="C27" i="3"/>
  <c r="G27" i="3"/>
  <c r="B27" i="3"/>
  <c r="C28" i="3"/>
  <c r="E28" i="3"/>
  <c r="H28" i="3"/>
  <c r="F28" i="3"/>
  <c r="I28" i="3"/>
  <c r="D28" i="3"/>
  <c r="G28" i="3"/>
  <c r="B28" i="3"/>
  <c r="F29" i="3"/>
  <c r="E29" i="3"/>
  <c r="C29" i="3"/>
  <c r="I29" i="3"/>
  <c r="H29" i="3"/>
  <c r="B29" i="3"/>
  <c r="G29" i="3"/>
  <c r="D29" i="3"/>
  <c r="I30" i="3"/>
  <c r="H30" i="3"/>
  <c r="C30" i="3"/>
  <c r="D30" i="3"/>
  <c r="E30" i="3"/>
  <c r="F30" i="3"/>
  <c r="G30" i="3"/>
  <c r="B30" i="3"/>
  <c r="I31" i="3"/>
  <c r="H31" i="3"/>
  <c r="C31" i="3"/>
  <c r="D31" i="3"/>
  <c r="E31" i="3"/>
  <c r="F31" i="3"/>
  <c r="G31" i="3"/>
  <c r="B31" i="3"/>
  <c r="I32" i="3"/>
  <c r="H32" i="3"/>
  <c r="C32" i="3"/>
  <c r="D32" i="3"/>
  <c r="E32" i="3"/>
  <c r="F32" i="3"/>
  <c r="G32" i="3"/>
  <c r="B32" i="3"/>
  <c r="H33" i="3"/>
  <c r="C33" i="3"/>
  <c r="D33" i="3"/>
  <c r="E33" i="3"/>
  <c r="F33" i="3"/>
  <c r="G33" i="3"/>
  <c r="I33" i="3"/>
  <c r="B33" i="3"/>
  <c r="I34" i="3"/>
  <c r="H34" i="3"/>
  <c r="D34" i="3"/>
  <c r="G34" i="3"/>
  <c r="C34" i="3"/>
  <c r="E34" i="3"/>
  <c r="F34" i="3"/>
  <c r="B34" i="3"/>
  <c r="I35" i="3"/>
  <c r="C35" i="3"/>
  <c r="E35" i="3"/>
  <c r="F35" i="3"/>
  <c r="H35" i="3"/>
  <c r="D35" i="3"/>
  <c r="G35" i="3"/>
  <c r="B35" i="3"/>
  <c r="H36" i="3"/>
  <c r="D36" i="3"/>
  <c r="F36" i="3"/>
  <c r="I36" i="3"/>
  <c r="C36" i="3"/>
  <c r="E36" i="3"/>
  <c r="G36" i="3"/>
  <c r="B36" i="3"/>
  <c r="H37" i="3"/>
  <c r="D37" i="3"/>
  <c r="F37" i="3"/>
  <c r="I37" i="3"/>
  <c r="C37" i="3"/>
  <c r="E37" i="3"/>
  <c r="G37" i="3"/>
  <c r="B37" i="3"/>
  <c r="H38" i="3"/>
  <c r="D38" i="3"/>
  <c r="C38" i="3"/>
  <c r="E38" i="3"/>
  <c r="I38" i="3"/>
  <c r="F38" i="3"/>
  <c r="G38" i="3"/>
  <c r="B38" i="3"/>
  <c r="D39" i="3"/>
  <c r="E39" i="3"/>
  <c r="I39" i="3"/>
  <c r="G39" i="3"/>
  <c r="C39" i="3"/>
  <c r="H39" i="3"/>
  <c r="F39" i="3"/>
  <c r="B39" i="3"/>
  <c r="I40" i="3"/>
  <c r="D40" i="3"/>
  <c r="G40" i="3"/>
  <c r="F40" i="3"/>
  <c r="H40" i="3"/>
  <c r="C40" i="3"/>
  <c r="E40" i="3"/>
  <c r="B40" i="3"/>
  <c r="G41" i="3"/>
  <c r="I41" i="3"/>
  <c r="H41" i="3"/>
  <c r="C41" i="3"/>
  <c r="D41" i="3"/>
  <c r="E41" i="3"/>
  <c r="F41" i="3"/>
  <c r="B41" i="3"/>
  <c r="I42" i="3"/>
  <c r="H42" i="3"/>
  <c r="C42" i="3"/>
  <c r="D42" i="3"/>
  <c r="E42" i="3"/>
  <c r="F42" i="3"/>
  <c r="G42" i="3"/>
  <c r="B42" i="3"/>
  <c r="G43" i="3"/>
  <c r="F43" i="3"/>
  <c r="E43" i="3"/>
  <c r="D43" i="3"/>
  <c r="C43" i="3"/>
  <c r="I43" i="3"/>
  <c r="H43" i="3"/>
  <c r="B43" i="3"/>
  <c r="I44" i="3"/>
  <c r="H44" i="3"/>
  <c r="G44" i="3"/>
  <c r="F44" i="3"/>
  <c r="E44" i="3"/>
  <c r="D44" i="3"/>
  <c r="C44" i="3"/>
  <c r="B44" i="3"/>
  <c r="G45" i="3"/>
  <c r="D45" i="3"/>
  <c r="F45" i="3"/>
  <c r="C45" i="3"/>
  <c r="H45" i="3"/>
  <c r="I45" i="3"/>
  <c r="E45" i="3"/>
  <c r="B45" i="3"/>
  <c r="H46" i="3"/>
  <c r="G46" i="3"/>
  <c r="F46" i="3"/>
  <c r="E46" i="3"/>
  <c r="D46" i="3"/>
  <c r="C46" i="3"/>
  <c r="I46" i="3"/>
  <c r="B46" i="3"/>
  <c r="G47" i="3"/>
  <c r="F47" i="3"/>
  <c r="E47" i="3"/>
  <c r="I47" i="3"/>
  <c r="D47" i="3"/>
  <c r="C47" i="3"/>
  <c r="H47" i="3"/>
  <c r="B47" i="3"/>
  <c r="H48" i="3"/>
  <c r="C48" i="3"/>
  <c r="D48" i="3"/>
  <c r="E48" i="3"/>
  <c r="F48" i="3"/>
  <c r="G48" i="3"/>
  <c r="I48" i="3"/>
  <c r="B48" i="3"/>
  <c r="I49" i="3"/>
  <c r="H49" i="3"/>
  <c r="C49" i="3"/>
  <c r="D49" i="3"/>
  <c r="E49" i="3"/>
  <c r="F49" i="3"/>
  <c r="G49" i="3"/>
  <c r="B49" i="3"/>
  <c r="I50" i="3"/>
  <c r="H50" i="3"/>
  <c r="C50" i="3"/>
  <c r="D50" i="3"/>
  <c r="E50" i="3"/>
  <c r="F50" i="3"/>
  <c r="G50" i="3"/>
  <c r="B50" i="3"/>
  <c r="F51" i="3"/>
  <c r="I51" i="3"/>
  <c r="G51" i="3"/>
  <c r="E51" i="3"/>
  <c r="D51" i="3"/>
  <c r="C51" i="3"/>
  <c r="H51" i="3"/>
  <c r="B51" i="3"/>
  <c r="G52" i="3"/>
  <c r="I52" i="3"/>
  <c r="H52" i="3"/>
  <c r="C52" i="3"/>
  <c r="F52" i="3"/>
  <c r="E52" i="3"/>
  <c r="D52" i="3"/>
  <c r="B52" i="3"/>
  <c r="D53" i="3"/>
  <c r="G53" i="3"/>
  <c r="C53" i="3"/>
  <c r="H53" i="3"/>
  <c r="I53" i="3"/>
  <c r="F53" i="3"/>
  <c r="E53" i="3"/>
  <c r="B53" i="3"/>
  <c r="E8" i="1" l="1"/>
  <c r="G8" i="1"/>
  <c r="G6" i="1"/>
  <c r="E6" i="1"/>
  <c r="E7" i="1"/>
  <c r="G7" i="1"/>
  <c r="E5" i="1"/>
  <c r="G5" i="1"/>
  <c r="G2" i="1"/>
  <c r="E2" i="1"/>
  <c r="G3" i="1"/>
  <c r="E3" i="1"/>
  <c r="G4" i="1"/>
  <c r="E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<sst xmlns="http://schemas.openxmlformats.org/spreadsheetml/2006/main" count="91" uniqueCount="89">
  <si>
    <t>S/N</t>
  </si>
  <si>
    <t>MESSAGE  (paste here)</t>
  </si>
  <si>
    <t>TIME</t>
  </si>
  <si>
    <t>PLANT</t>
  </si>
  <si>
    <t>QTY m³</t>
  </si>
  <si>
    <t>REJECTED ✎
(x or m³)</t>
  </si>
  <si>
    <t>CHECK</t>
  </si>
  <si>
    <t>clean text</t>
  </si>
  <si>
    <t>raw time</t>
  </si>
  <si>
    <t>rej m³</t>
  </si>
  <si>
    <t>minute</t>
  </si>
  <si>
    <t>serial</t>
  </si>
  <si>
    <t>dup</t>
  </si>
  <si>
    <t>طريقة الاستخدام:</t>
  </si>
  <si>
    <t>1) انسخ الرسايل من جروب الواتساب (رسالة أو أكتر مرة واحدة) والزقها في عمود MESSAGE في أول خانة فاضية.</t>
  </si>
  <si>
    <t>2) الوقت والمحطة والكمية بيتقروا لوحدهم. لو فيه ⚠ في عمود CHECK صلّح نص الرسالة نفسها.</t>
  </si>
  <si>
    <t>3) لو لزقت رسالة مرتين بتتعلّم Duplicate ومبتتحسبش.</t>
  </si>
  <si>
    <t>4) العربية المرفوضة: اكتب x في عمود REJECTED (أو عدد الأمتار لو جزء منها).</t>
  </si>
  <si>
    <t>first minute</t>
  </si>
  <si>
    <t>start minute</t>
  </si>
  <si>
    <t>last minute</t>
  </si>
  <si>
    <t>hours</t>
  </si>
  <si>
    <t>i</t>
  </si>
  <si>
    <t>from</t>
  </si>
  <si>
    <t>to</t>
  </si>
  <si>
    <t>label</t>
  </si>
  <si>
    <t>rate</t>
  </si>
  <si>
    <t>req</t>
  </si>
  <si>
    <t>met</t>
  </si>
  <si>
    <t>below</t>
  </si>
  <si>
    <t>partial</t>
  </si>
  <si>
    <t>req line</t>
  </si>
  <si>
    <t>REQUESTED RATE</t>
  </si>
  <si>
    <t>ACTUAL AVG RATE</t>
  </si>
  <si>
    <t>LOADED</t>
  </si>
  <si>
    <t>REJECTED</t>
  </si>
  <si>
    <t>REMAINING</t>
  </si>
  <si>
    <t>TRUCKS</t>
  </si>
  <si>
    <t>L1</t>
  </si>
  <si>
    <t>L2</t>
  </si>
  <si>
    <t>V3</t>
  </si>
  <si>
    <t>V4</t>
  </si>
  <si>
    <t>V5</t>
  </si>
  <si>
    <t>RATE
m³/h</t>
  </si>
  <si>
    <t>COMMENTS</t>
  </si>
  <si>
    <t>POUR SETUP  ✎</t>
  </si>
  <si>
    <t>Title</t>
  </si>
  <si>
    <t>Date</t>
  </si>
  <si>
    <t>Total quantity Q (m³)</t>
  </si>
  <si>
    <t>Requested rate (m³/h)</t>
  </si>
  <si>
    <t>Start time (optional, auto)</t>
  </si>
  <si>
    <t>Rejected m³ (manual, optional)</t>
  </si>
  <si>
    <t>Messages to check ⚠</t>
  </si>
  <si>
    <t>REQUESTED RATE CHANGE ✎</t>
  </si>
  <si>
    <t>type the new rate in the hour it changed</t>
  </si>
  <si>
    <t>restore range</t>
  </si>
  <si>
    <t>R1C1 formula</t>
  </si>
  <si>
    <t>Messages!A2:A1001</t>
  </si>
  <si>
    <t>=IF(OR(RC[1]="",RC[12],RC[6]="— ignored"),"",MAX(R1C:R[-1]C)+1)</t>
  </si>
  <si>
    <t>Messages!C2:C1001</t>
  </si>
  <si>
    <t>=IF(RC[6]="","",ROUND((RC[6]+0.5*MAX(0,CEILING(ROUND((MAX(R1C:R[-1]C)-1/48-RC[6])/0.5,6),1)))*1440,0)/1440)</t>
  </si>
  <si>
    <t>Messages!D2:D1001</t>
  </si>
  <si>
    <t>=IF(RC[4]="","",IFERROR(INDEX(Log!R19C3:R19C7,VALUE(MID(RC[4],FIND("#",RC[4])+1,1))),""))</t>
  </si>
  <si>
    <t>Messages!E2:E1001</t>
  </si>
  <si>
    <t>Messages!G2:G1001</t>
  </si>
  <si>
    <t>Messages!H2:H1001</t>
  </si>
  <si>
    <t>=IF(RC[-6]="","",LET(t,TRIM(RC[-6]),IF(LEFT(t,1)="[",IFERROR(TRIM(MID(t,FIND(": ",t,FIND("]",t))+2,500)),t),t)))</t>
  </si>
  <si>
    <t>Messages!I2:I1001</t>
  </si>
  <si>
    <t>=IF(RC[-1]="","",IFERROR(TIMEVALUE(TRIM(SUBSTITUTE(SUBSTITUTE(MID(RC[-1],SEARCH(":",RC[-1])-2,5),".",""),"*",""))),""))</t>
  </si>
  <si>
    <t>Messages!J2:J1001</t>
  </si>
  <si>
    <t>=IF(OR(RC[-8]="",RC[-4]="",RC[3]),0,IF(ISNUMBER(RC[-4]),RC[-4],N(RC[-5])))</t>
  </si>
  <si>
    <t>Messages!K2:K1001</t>
  </si>
  <si>
    <t>=IF(OR(RC[-8]="",RC[2]),"",ROUND(RC[-8]*1440,0))</t>
  </si>
  <si>
    <t>Messages!L2:L1001</t>
  </si>
  <si>
    <t>Messages!M2:M1001</t>
  </si>
  <si>
    <t>=IF(RC[-5]="",FALSE,SUMPRODUCT(--(R1C[-5]:R[-1]C[-5]=RC[-5]))&gt;0)</t>
  </si>
  <si>
    <t>req (hour)</t>
  </si>
  <si>
    <t>Log!J20:J69</t>
  </si>
  <si>
    <t>=IF(OR(RC[-4]="",AND(RC[-3]="",RC[-8]="")),"",IFERROR(LET(t,TRIM(SUBSTITUTE(SUBSTITUTE(RC[-4],"*",""),"_","")),VALUE(SUBSTITUTE(LEFT(t,FIND(" ",t&amp;" ")-1),".",""))),""))</t>
  </si>
  <si>
    <t>=IF(OR(RC[3]="",RC[8]),"",IFERROR(LET(t,SUBSTITUTE(UPPER(RC[3]),"م","M"),u,SUBSTITUTE(t," ",""),s,SEQUENCE(LEN(u)),p,MIN(IF((MID(u,s,1)="M")*ISNUMBER(-MID(u,s-1,1)),s)),k,LEN(LEFT(u,p))-LEN(SUBSTITUTE(LEFT(u,p),"M","")),pos,FIND(CHAR(1),SUBSTITUTE(t,"M",CHAR(1),k)),b,TRIM(LEFT(t,pos-1)),tok,TRIM(RIGHT(SUBSTITUTE(b," ",REPT(" ",30)),30)),z,SEQUENCE(LEN(tok)),q,MAX(IF(ISNUMBER(FIND(MID(tok,z,1),"0123456789.")),0,z)),num,MID(tok,q+1,30),VALUE(IF(LEFT(num,1)=".",MID(num,2,30),num))),""))</t>
  </si>
  <si>
    <t>=IF(RC[-5]="","",IF(RC[6],"⚠ Duplicate (not counted)",IF(AND(RC[2]="",RC[-3]="",RC[-2]=""),"— ignored",IF(RC[-4]="","⚠ Time",IF(RC[-3]="","⚠ Plant",IF(RC[-2]="","⚠ Quantity",IF(AND(ISNUMBER(RC[5]),COUNTIF(R1C[5]:R[-1]C[5],RC[5])&gt;0),"⚠ Same serial "&amp;RC[5],IF(AND(ISNUMBER(RC[5]),RC[5]&gt;MIN(R2C12:R1001C12),COUNTIF(R2C12:R1001C12,RC[5]-1)=0,COUNTIF(R2C12:R1001C12,RC[5]-2)&lt;2),"⚠ Missing serial "&amp;(RC[5]-1),IF(AND(MAX(R1C[4]:R[-1]C[4])&gt;0,N(RC[4])-MAX(R1C[4]:R[-1]C[4])&gt;180),"⚠ Gap &gt; 3h",IF(RC[-4]-RC[2]&gt;=0.99,"next day",IF(RC[-4]-RC[2]&gt;0.4,"12h → 24h","")))))))))))</t>
  </si>
  <si>
    <t/>
  </si>
  <si>
    <t>Trucks loaded</t>
  </si>
  <si>
    <t>PROGRESS</t>
  </si>
  <si>
    <t>EXPECTED FINISH</t>
  </si>
  <si>
    <t>progress %</t>
  </si>
  <si>
    <t>progress blocks</t>
  </si>
  <si>
    <t>Right-click the picture  →  Copy  →  paste it in WhatsApp</t>
  </si>
  <si>
    <t>← Back to 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</si>
</sst>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hh:mm"/>
    <numFmt numFmtId="165" formatCode="[=0]&quot;&quot;;General"/>
    <numFmt numFmtId="166" formatCode="[$-409]ddd\ dd\ mmm\ yyyy"/>
    <numFmt numFmtId="167" formatCode="[$-409]dd\ mmm\ yyyy"/>
    <numFmt numFmtId="168" formatCode="[&lt;1000]General;#,##0"/>
    <numFmt numFmtId="169" formatCode="#,##0\ &quot;m³/h&quot;"/>
    <numFmt numFmtId="170" formatCode="#,##0.0\ &quot;m³/h&quot;"/>
    <numFmt numFmtId="171" formatCode="[&lt;1000]General\ &quot;m³&quot;;#,##0\ &quot;m³&quot;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b/>
      <sz val="10"/>
      <color rgb="FFFFFFFF"/>
      <name val="Segoe UI"/>
      <family val="2"/>
    </font>
    <font>
      <sz val="10"/>
      <color rgb="FF808080"/>
      <name val="Segoe UI"/>
      <family val="2"/>
    </font>
    <font>
      <b/>
      <sz val="11"/>
      <color theme="1"/>
      <name val="Segoe UI"/>
      <family val="2"/>
    </font>
    <font>
      <sz val="6"/>
      <color rgb="FFFFFFFF"/>
      <name val="Segoe UI"/>
      <family val="2"/>
    </font>
    <font>
      <b/>
      <sz val="20"/>
      <color rgb="FF1F3864"/>
      <name val="Segoe UI"/>
      <family val="2"/>
    </font>
    <font>
      <b/>
      <sz val="12"/>
      <color rgb="FF1F3864"/>
      <name val="Segoe UI"/>
      <family val="2"/>
    </font>
    <font>
      <b/>
      <sz val="12"/>
      <color rgb="FF595959"/>
      <name val="Segoe UI"/>
      <family val="2"/>
    </font>
    <font>
      <sz val="11"/>
      <color rgb="FF595959"/>
      <name val="Segoe UI"/>
      <family val="2"/>
    </font>
    <font>
      <i/>
      <sz val="10"/>
      <color rgb="FF595959"/>
      <name val="Segoe UI"/>
      <family val="2"/>
    </font>
    <font>
      <sz val="10"/>
      <color rgb="FF000000"/>
      <name val="ADLaM Display"/>
    </font>
    <font>
      <b/>
      <sz val="8"/>
      <color rgb="FFFFFFFF"/>
      <name val="Segoe UI"/>
      <family val="2"/>
    </font>
    <font>
      <b/>
      <sz val="16"/>
      <color rgb="FFFFFFFF"/>
      <name val="Segoe UI"/>
      <family val="2"/>
    </font>
    <font>
      <b/>
      <sz val="12"/>
      <color rgb="FFFFFFFF"/>
      <name val="Segoe UI"/>
      <family val="2"/>
    </font>
    <font>
      <b/>
      <sz val="12"/>
      <color rgb="FF1F3A64"/>
      <name val="Segoe UI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FF9E5"/>
        <bgColor indexed="64"/>
      </patternFill>
    </fill>
    <fill>
      <patternFill patternType="solid">
        <fgColor rgb="FFF3F6FA"/>
        <bgColor indexed="64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48">
    <xf numFmtId="0" fontId="0" fillId="0" borderId="0" xfId="0"/>
    <xf numFmtId="0" fontId="2" fillId="0" borderId="0" xfId="0" applyFont="1"/>
    <xf numFmtId="0" fontId="4" fillId="3" borderId="0" xfId="0" applyFont="1" applyFill="1" applyAlignment="1">
      <alignment horizontal="center" vertical="center" wrapText="1"/>
    </xf>
    <xf numFmtId="49" fontId="2" fillId="0" borderId="0" xfId="0" applyNumberFormat="1" applyFont="1"/>
    <xf numFmtId="0" fontId="5" fillId="0" borderId="0" xfId="0" applyFont="1"/>
    <xf numFmtId="164" fontId="5" fillId="0" borderId="0" xfId="0" applyNumberFormat="1" applyFont="1"/>
    <xf numFmtId="165" fontId="5" fillId="0" borderId="0" xfId="0" applyNumberFormat="1" applyFont="1"/>
    <xf numFmtId="0" fontId="4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left"/>
    </xf>
    <xf numFmtId="164" fontId="2" fillId="0" borderId="1" xfId="0" applyNumberFormat="1" applyFont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1" fillId="0" borderId="0" xfId="0" applyFont="1" applyAlignment="1">
      <alignment horizontal="right" readingOrder="1"/>
    </xf>
    <xf numFmtId="0" fontId="6" fillId="0" borderId="0" xfId="0" applyFont="1" applyAlignment="1">
      <alignment horizontal="right" readingOrder="1"/>
    </xf>
    <xf numFmtId="0" fontId="7" fillId="0" borderId="0" xfId="0" applyFont="1"/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4" borderId="0" xfId="0" applyFont="1" applyFill="1"/>
    <xf numFmtId="0" fontId="3" fillId="5" borderId="5" xfId="0" applyFont="1" applyFill="1" applyBorder="1" applyAlignment="1">
      <alignment horizontal="center"/>
    </xf>
    <xf numFmtId="167" fontId="3" fillId="5" borderId="5" xfId="0" applyNumberFormat="1" applyFont="1" applyFill="1" applyBorder="1" applyAlignment="1">
      <alignment horizontal="center"/>
    </xf>
    <xf numFmtId="164" fontId="3" fillId="5" borderId="5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12" fillId="0" borderId="0" xfId="0" applyFont="1" applyAlignment="1">
      <alignment vertical="center" wrapText="1"/>
    </xf>
    <xf numFmtId="168" fontId="1" fillId="0" borderId="0" xfId="0" applyNumberFormat="1" applyFont="1" applyAlignment="1">
      <alignment horizontal="center" vertical="center"/>
    </xf>
    <xf numFmtId="168" fontId="6" fillId="0" borderId="0" xfId="0" applyNumberFormat="1" applyFont="1" applyAlignment="1">
      <alignment horizontal="center" vertical="center"/>
    </xf>
    <xf numFmtId="3" fontId="9" fillId="6" borderId="5" xfId="0" applyNumberFormat="1" applyFont="1" applyFill="1" applyBorder="1" applyAlignment="1">
      <alignment horizontal="center"/>
    </xf>
    <xf numFmtId="0" fontId="4" fillId="2" borderId="0" xfId="0" applyFont="1" applyFill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71" fontId="15" fillId="0" borderId="0" xfId="0" applyNumberFormat="1" applyFont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8" fillId="0" borderId="0" xfId="0" applyFont="1" applyAlignment="1">
      <alignment horizontal="left" vertical="center"/>
    </xf>
    <xf numFmtId="166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169" fontId="15" fillId="0" borderId="0" xfId="0" applyNumberFormat="1" applyFont="1" applyAlignment="1">
      <alignment horizontal="center" vertical="center" shrinkToFit="1"/>
    </xf>
    <xf numFmtId="170" fontId="15" fillId="0" borderId="0" xfId="0" applyNumberFormat="1" applyFont="1" applyAlignment="1">
      <alignment horizontal="center" vertical="center" shrinkToFi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center" vertical="center" shrinkToFit="1"/>
    </xf>
    <xf numFmtId="0" fontId="15" fillId="0" borderId="0" xfId="0" applyFont="1" applyAlignment="1">
      <alignment horizontal="center" vertical="center" shrinkToFit="1"/>
    </xf>
    <xf numFmtId="0" fontId="1" fillId="0" borderId="0" xfId="0" applyFont="1"/>
    <xf numFmtId="0" fontId="17" fillId="0" borderId="0" xfId="0" applyFont="1"/>
    <xf numFmtId="0" fontId="19" fillId="0" borderId="0" xfId="1" applyFont="1"/>
  </cellXfs>
  <cellStyles count="2">
    <cellStyle name="Hyperlink" xfId="1" builtinId="8"/>
    <cellStyle name="Normal" xfId="0" builtinId="0"/>
  </cellStyles>
  <dxfs count="16">
    <dxf>
      <font>
        <color rgb="FF2E75B6"/>
      </font>
    </dxf>
    <dxf>
      <font>
        <color rgb="FF9C0006"/>
      </font>
      <fill>
        <patternFill>
          <bgColor rgb="FFFFC7CE"/>
        </patternFill>
      </fill>
    </dxf>
    <dxf>
      <font>
        <color rgb="FFA6A6A6"/>
      </font>
    </dxf>
    <dxf>
      <fill>
        <patternFill>
          <bgColor rgb="FFFFF2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DDE3EE"/>
        </patternFill>
      </fill>
    </dxf>
    <dxf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i val="0"/>
      </font>
      <fill>
        <patternFill>
          <bgColor rgb="FFDDE3EE"/>
        </patternFill>
      </fill>
    </dxf>
    <dxf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i val="0"/>
      </font>
      <fill>
        <patternFill>
          <bgColor rgb="FFDDE3EE"/>
        </patternFill>
      </fill>
    </dxf>
    <dxf>
      <font>
        <b/>
        <i val="0"/>
      </font>
      <fill>
        <patternFill>
          <bgColor rgb="FFF2F2F2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9E5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Met requested</c:v>
          </c:tx>
          <c:spPr>
            <a:solidFill>
              <a:srgbClr val="0061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[0]!chLab</c:f>
              <c:strCache>
                <c:ptCount val="1"/>
                <c:pt idx="0">
                  <c:v>01:00</c:v>
                </c:pt>
              </c:strCache>
            </c:strRef>
          </c:cat>
          <c:val>
            <c:numRef>
              <c:f>[0]!chMet</c:f>
              <c:numCache>
                <c:formatCode>General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CB-40BD-AAB9-6C28FC357A53}"/>
            </c:ext>
          </c:extLst>
        </c:ser>
        <c:ser>
          <c:idx val="1"/>
          <c:order val="1"/>
          <c:tx>
            <c:v>Below requested</c:v>
          </c:tx>
          <c:spPr>
            <a:solidFill>
              <a:srgbClr val="C00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[0]!chLab</c:f>
              <c:strCache>
                <c:ptCount val="1"/>
                <c:pt idx="0">
                  <c:v>01:00</c:v>
                </c:pt>
              </c:strCache>
            </c:strRef>
          </c:cat>
          <c:val>
            <c:numRef>
              <c:f>[0]!chBelow</c:f>
              <c:numCache>
                <c:formatCode>General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CB-40BD-AAB9-6C28FC357A53}"/>
            </c:ext>
          </c:extLst>
        </c:ser>
        <c:ser>
          <c:idx val="2"/>
          <c:order val="2"/>
          <c:tx>
            <c:v>Hour in progress</c:v>
          </c:tx>
          <c:spPr>
            <a:solidFill>
              <a:srgbClr val="A6A6A6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[0]!chLab</c:f>
              <c:strCache>
                <c:ptCount val="1"/>
                <c:pt idx="0">
                  <c:v>01:00</c:v>
                </c:pt>
              </c:strCache>
            </c:strRef>
          </c:cat>
          <c:val>
            <c:numRef>
              <c:f>[0]!chPart</c:f>
              <c:numCache>
                <c:formatCode>General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3CB-40BD-AAB9-6C28FC357A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overlap val="100"/>
        <c:axId val="2131749007"/>
        <c:axId val="2076390639"/>
      </c:barChart>
      <c:lineChart>
        <c:grouping val="standard"/>
        <c:varyColors val="0"/>
        <c:ser>
          <c:idx val="3"/>
          <c:order val="3"/>
          <c:tx>
            <c:v>Requested</c:v>
          </c:tx>
          <c:spPr>
            <a:ln w="28575">
              <a:solidFill>
                <a:srgbClr val="1F3864"/>
              </a:solidFill>
              <a:prstDash val="dash"/>
            </a:ln>
          </c:spPr>
          <c:marker>
            <c:symbol val="none"/>
          </c:marker>
          <c:cat>
            <c:strRef>
              <c:f>[0]!chLab</c:f>
              <c:strCache>
                <c:ptCount val="1"/>
                <c:pt idx="0">
                  <c:v>01:00</c:v>
                </c:pt>
              </c:strCache>
            </c:strRef>
          </c:cat>
          <c:val>
            <c:numRef>
              <c:f>[0]!chReq</c:f>
              <c:numCache>
                <c:formatCode>General</c:formatCode>
                <c:ptCount val="1"/>
                <c:pt idx="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3CB-40BD-AAB9-6C28FC357A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1749007"/>
        <c:axId val="2076390639"/>
      </c:lineChart>
      <c:catAx>
        <c:axId val="21317490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2076390639"/>
        <c:crosses val="autoZero"/>
        <c:auto val="1"/>
        <c:lblAlgn val="ctr"/>
        <c:lblOffset val="100"/>
        <c:noMultiLvlLbl val="0"/>
      </c:catAx>
      <c:valAx>
        <c:axId val="2076390639"/>
        <c:scaling>
          <c:orientation val="minMax"/>
          <c:min val="0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 w="1270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crossAx val="2131749007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>
      <a:solidFill>
        <a:srgbClr val="BFBFBF"/>
      </a:solidFill>
    </a:ln>
  </c:spPr>
  <c:txPr>
    <a:bodyPr/>
    <a:lstStyle/>
    <a:p>
      <a:pPr>
        <a:defRPr>
          <a:latin typeface="Segoe UI"/>
          <a:ea typeface="Segoe UI"/>
          <a:cs typeface="Segoe U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'Picture'!A1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76200</xdr:rowOff>
    </xdr:from>
    <xdr:to>
      <xdr:col>13</xdr:col>
      <xdr:colOff>0</xdr:colOff>
      <xdr:row>17</xdr:row>
      <xdr:rowOff>0</xdr:rowOff>
    </xdr:to>
    <xdr:graphicFrame macro="">
      <xdr:nvGraphicFramePr>
        <xdr:cNvPr id="2" name="RateChart">
          <a:extLst>
            <a:ext uri="{FF2B5EF4-FFF2-40B4-BE49-F238E27FC236}">
              <a16:creationId xmlns:a16="http://schemas.microsoft.com/office/drawing/2014/main" id="{E983C034-7526-B2BA-C1AF-3BE6EE9109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4</xdr:row>
      <xdr:rowOff>38100</xdr:rowOff>
    </xdr:from>
    <xdr:to>
      <xdr:col>3</xdr:col>
      <xdr:colOff>295275</xdr:colOff>
      <xdr:row>5</xdr:row>
      <xdr:rowOff>342900</xdr:rowOff>
    </xdr:to>
    <xdr:sp macro="" textlink="">
      <xdr:nvSpPr>
        <xdr:cNvPr id="3" name="tileBg_1">
          <a:extLst>
            <a:ext uri="{FF2B5EF4-FFF2-40B4-BE49-F238E27FC236}">
              <a16:creationId xmlns:a16="http://schemas.microsoft.com/office/drawing/2014/main" id="{16DC0260-2C16-5415-CB81-B2AA91E165A9}"/>
            </a:ext>
          </a:extLst>
        </xdr:cNvPr>
        <xdr:cNvSpPr/>
      </xdr:nvSpPr>
      <xdr:spPr>
        <a:xfrm>
          <a:off x="180975" y="876300"/>
          <a:ext cx="1924050" cy="504825"/>
        </a:xfrm>
        <a:prstGeom prst="roundRect">
          <a:avLst>
            <a:gd name="adj" fmla="val 15094"/>
          </a:avLst>
        </a:prstGeom>
        <a:solidFill>
          <a:srgbClr val="F3F6FA"/>
        </a:solidFill>
        <a:ln w="9525">
          <a:solidFill>
            <a:srgbClr val="D5DBE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0</xdr:colOff>
      <xdr:row>4</xdr:row>
      <xdr:rowOff>76200</xdr:rowOff>
    </xdr:from>
    <xdr:to>
      <xdr:col>3</xdr:col>
      <xdr:colOff>295275</xdr:colOff>
      <xdr:row>5</xdr:row>
      <xdr:rowOff>28575</xdr:rowOff>
    </xdr:to>
    <xdr:sp macro="" textlink="">
      <xdr:nvSpPr>
        <xdr:cNvPr id="4" name="tileLb_1">
          <a:extLst>
            <a:ext uri="{FF2B5EF4-FFF2-40B4-BE49-F238E27FC236}">
              <a16:creationId xmlns:a16="http://schemas.microsoft.com/office/drawing/2014/main" id="{DF554C2B-6BF8-FB43-D2D4-C67B5444A9CA}"/>
            </a:ext>
          </a:extLst>
        </xdr:cNvPr>
        <xdr:cNvSpPr txBox="1"/>
      </xdr:nvSpPr>
      <xdr:spPr>
        <a:xfrm>
          <a:off x="180975" y="914400"/>
          <a:ext cx="1924050" cy="152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/>
        <a:lstStyle/>
        <a:p>
          <a:pPr algn="ctr"/>
          <a:r>
            <a:rPr lang="en-US" sz="750" b="1">
              <a:solidFill>
                <a:srgbClr val="595959"/>
              </a:solidFill>
              <a:latin typeface="Segoe UI" panose="020B0502040204020203" pitchFamily="34" charset="0"/>
            </a:rPr>
            <a:t>REQUESTED RATE</a:t>
          </a:r>
        </a:p>
      </xdr:txBody>
    </xdr:sp>
    <xdr:clientData/>
  </xdr:twoCellAnchor>
  <xdr:twoCellAnchor editAs="oneCell">
    <xdr:from>
      <xdr:col>1</xdr:col>
      <xdr:colOff>50800</xdr:colOff>
      <xdr:row>5</xdr:row>
      <xdr:rowOff>28575</xdr:rowOff>
    </xdr:from>
    <xdr:to>
      <xdr:col>3</xdr:col>
      <xdr:colOff>244475</xdr:colOff>
      <xdr:row>5</xdr:row>
      <xdr:rowOff>317500</xdr:rowOff>
    </xdr:to>
    <xdr:sp macro="" textlink="$B$6">
      <xdr:nvSpPr>
        <xdr:cNvPr id="5" name="tileVal_1">
          <a:extLst>
            <a:ext uri="{FF2B5EF4-FFF2-40B4-BE49-F238E27FC236}">
              <a16:creationId xmlns:a16="http://schemas.microsoft.com/office/drawing/2014/main" id="{7ADCFD69-927D-A859-31F2-CEE60C1F1F94}"/>
            </a:ext>
          </a:extLst>
        </xdr:cNvPr>
        <xdr:cNvSpPr txBox="1"/>
      </xdr:nvSpPr>
      <xdr:spPr>
        <a:xfrm>
          <a:off x="231775" y="1066800"/>
          <a:ext cx="1822450" cy="288925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/>
        <a:lstStyle/>
        <a:p>
          <a:pPr algn="ctr"/>
          <a:fld id="{C11CE801-78E5-4C79-AF41-EB9ECFCCAF88}" type="TxLink">
            <a:rPr lang="en-US" sz="1500" b="1" i="0" u="none" strike="noStrike">
              <a:solidFill>
                <a:srgbClr val="1F3864"/>
              </a:solidFill>
              <a:latin typeface="Segoe UI" panose="020B0502040204020203" pitchFamily="34" charset="0"/>
              <a:cs typeface="Segoe UI"/>
            </a:rPr>
            <a:pPr algn="ctr"/>
            <a:t>0 m³/h</a:t>
          </a:fld>
          <a:endParaRPr lang="en-US" sz="1500" b="1">
            <a:solidFill>
              <a:srgbClr val="1F3864"/>
            </a:solidFill>
            <a:latin typeface="Segoe UI" panose="020B0502040204020203" pitchFamily="34" charset="0"/>
          </a:endParaRPr>
        </a:p>
      </xdr:txBody>
    </xdr:sp>
    <xdr:clientData/>
  </xdr:twoCellAnchor>
  <xdr:twoCellAnchor editAs="oneCell">
    <xdr:from>
      <xdr:col>3</xdr:col>
      <xdr:colOff>371475</xdr:colOff>
      <xdr:row>4</xdr:row>
      <xdr:rowOff>38100</xdr:rowOff>
    </xdr:from>
    <xdr:to>
      <xdr:col>8</xdr:col>
      <xdr:colOff>238125</xdr:colOff>
      <xdr:row>5</xdr:row>
      <xdr:rowOff>342900</xdr:rowOff>
    </xdr:to>
    <xdr:sp macro="" textlink="">
      <xdr:nvSpPr>
        <xdr:cNvPr id="6" name="tileBg_2">
          <a:extLst>
            <a:ext uri="{FF2B5EF4-FFF2-40B4-BE49-F238E27FC236}">
              <a16:creationId xmlns:a16="http://schemas.microsoft.com/office/drawing/2014/main" id="{3591F582-11BF-464D-4600-1640662B8084}"/>
            </a:ext>
          </a:extLst>
        </xdr:cNvPr>
        <xdr:cNvSpPr/>
      </xdr:nvSpPr>
      <xdr:spPr>
        <a:xfrm>
          <a:off x="2181225" y="876300"/>
          <a:ext cx="1924050" cy="504825"/>
        </a:xfrm>
        <a:prstGeom prst="roundRect">
          <a:avLst>
            <a:gd name="adj" fmla="val 15094"/>
          </a:avLst>
        </a:prstGeom>
        <a:solidFill>
          <a:srgbClr val="F3F6FA"/>
        </a:solidFill>
        <a:ln w="9525">
          <a:solidFill>
            <a:srgbClr val="D5DBE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3</xdr:col>
      <xdr:colOff>371475</xdr:colOff>
      <xdr:row>4</xdr:row>
      <xdr:rowOff>76200</xdr:rowOff>
    </xdr:from>
    <xdr:to>
      <xdr:col>8</xdr:col>
      <xdr:colOff>238125</xdr:colOff>
      <xdr:row>5</xdr:row>
      <xdr:rowOff>28575</xdr:rowOff>
    </xdr:to>
    <xdr:sp macro="" textlink="">
      <xdr:nvSpPr>
        <xdr:cNvPr id="7" name="tileLb_2">
          <a:extLst>
            <a:ext uri="{FF2B5EF4-FFF2-40B4-BE49-F238E27FC236}">
              <a16:creationId xmlns:a16="http://schemas.microsoft.com/office/drawing/2014/main" id="{CC40088E-1CB1-FDF0-7322-6513DD124D5F}"/>
            </a:ext>
          </a:extLst>
        </xdr:cNvPr>
        <xdr:cNvSpPr txBox="1"/>
      </xdr:nvSpPr>
      <xdr:spPr>
        <a:xfrm>
          <a:off x="2181225" y="914400"/>
          <a:ext cx="1924050" cy="152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/>
        <a:lstStyle/>
        <a:p>
          <a:pPr algn="ctr"/>
          <a:r>
            <a:rPr lang="en-US" sz="750" b="1">
              <a:solidFill>
                <a:srgbClr val="595959"/>
              </a:solidFill>
              <a:latin typeface="Segoe UI" panose="020B0502040204020203" pitchFamily="34" charset="0"/>
            </a:rPr>
            <a:t>ACTUAL AVG RATE</a:t>
          </a:r>
        </a:p>
      </xdr:txBody>
    </xdr:sp>
    <xdr:clientData/>
  </xdr:twoCellAnchor>
  <xdr:twoCellAnchor editAs="oneCell">
    <xdr:from>
      <xdr:col>3</xdr:col>
      <xdr:colOff>422275</xdr:colOff>
      <xdr:row>5</xdr:row>
      <xdr:rowOff>28575</xdr:rowOff>
    </xdr:from>
    <xdr:to>
      <xdr:col>8</xdr:col>
      <xdr:colOff>187325</xdr:colOff>
      <xdr:row>5</xdr:row>
      <xdr:rowOff>317500</xdr:rowOff>
    </xdr:to>
    <xdr:sp macro="" textlink="$D$6">
      <xdr:nvSpPr>
        <xdr:cNvPr id="8" name="tileVal_2">
          <a:extLst>
            <a:ext uri="{FF2B5EF4-FFF2-40B4-BE49-F238E27FC236}">
              <a16:creationId xmlns:a16="http://schemas.microsoft.com/office/drawing/2014/main" id="{B5B52C69-04C0-06A9-343B-3EB018B6C5C5}"/>
            </a:ext>
          </a:extLst>
        </xdr:cNvPr>
        <xdr:cNvSpPr txBox="1"/>
      </xdr:nvSpPr>
      <xdr:spPr>
        <a:xfrm>
          <a:off x="2232025" y="1066800"/>
          <a:ext cx="1822450" cy="288925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/>
        <a:lstStyle/>
        <a:p>
          <a:pPr algn="ctr"/>
          <a:fld id="{C0624355-8A27-4FCD-8D40-079DB255D866}" type="TxLink">
            <a:rPr lang="en-US" sz="1500" b="1" i="0" u="none" strike="noStrike">
              <a:solidFill>
                <a:srgbClr val="1F3864"/>
              </a:solidFill>
              <a:latin typeface="Segoe UI" panose="020B0502040204020203" pitchFamily="34" charset="0"/>
              <a:cs typeface="Segoe UI"/>
            </a:rPr>
            <a:pPr algn="ctr"/>
            <a:t> </a:t>
          </a:fld>
          <a:endParaRPr lang="en-US" sz="1500" b="1">
            <a:solidFill>
              <a:srgbClr val="1F3864"/>
            </a:solidFill>
            <a:latin typeface="Segoe UI" panose="020B0502040204020203" pitchFamily="34" charset="0"/>
          </a:endParaRPr>
        </a:p>
      </xdr:txBody>
    </xdr:sp>
    <xdr:clientData/>
  </xdr:twoCellAnchor>
  <xdr:twoCellAnchor editAs="oneCell">
    <xdr:from>
      <xdr:col>8</xdr:col>
      <xdr:colOff>314325</xdr:colOff>
      <xdr:row>4</xdr:row>
      <xdr:rowOff>38100</xdr:rowOff>
    </xdr:from>
    <xdr:to>
      <xdr:col>11</xdr:col>
      <xdr:colOff>228600</xdr:colOff>
      <xdr:row>5</xdr:row>
      <xdr:rowOff>342900</xdr:rowOff>
    </xdr:to>
    <xdr:sp macro="" textlink="">
      <xdr:nvSpPr>
        <xdr:cNvPr id="9" name="tileBg_3">
          <a:extLst>
            <a:ext uri="{FF2B5EF4-FFF2-40B4-BE49-F238E27FC236}">
              <a16:creationId xmlns:a16="http://schemas.microsoft.com/office/drawing/2014/main" id="{96A140FD-8CE7-A92A-A970-74A6013FB2E6}"/>
            </a:ext>
          </a:extLst>
        </xdr:cNvPr>
        <xdr:cNvSpPr/>
      </xdr:nvSpPr>
      <xdr:spPr>
        <a:xfrm>
          <a:off x="4181475" y="876300"/>
          <a:ext cx="1924050" cy="504825"/>
        </a:xfrm>
        <a:prstGeom prst="roundRect">
          <a:avLst>
            <a:gd name="adj" fmla="val 15094"/>
          </a:avLst>
        </a:prstGeom>
        <a:solidFill>
          <a:srgbClr val="F3F6FA"/>
        </a:solidFill>
        <a:ln w="9525">
          <a:solidFill>
            <a:srgbClr val="D5DBE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8</xdr:col>
      <xdr:colOff>314325</xdr:colOff>
      <xdr:row>4</xdr:row>
      <xdr:rowOff>76200</xdr:rowOff>
    </xdr:from>
    <xdr:to>
      <xdr:col>11</xdr:col>
      <xdr:colOff>228600</xdr:colOff>
      <xdr:row>5</xdr:row>
      <xdr:rowOff>28575</xdr:rowOff>
    </xdr:to>
    <xdr:sp macro="" textlink="">
      <xdr:nvSpPr>
        <xdr:cNvPr id="10" name="tileLb_3">
          <a:extLst>
            <a:ext uri="{FF2B5EF4-FFF2-40B4-BE49-F238E27FC236}">
              <a16:creationId xmlns:a16="http://schemas.microsoft.com/office/drawing/2014/main" id="{26A4708C-AC3F-A1F3-2B34-A9ED4FE3EF6D}"/>
            </a:ext>
          </a:extLst>
        </xdr:cNvPr>
        <xdr:cNvSpPr txBox="1"/>
      </xdr:nvSpPr>
      <xdr:spPr>
        <a:xfrm>
          <a:off x="4181475" y="914400"/>
          <a:ext cx="1924050" cy="152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/>
        <a:lstStyle/>
        <a:p>
          <a:pPr algn="ctr"/>
          <a:r>
            <a:rPr lang="en-US" sz="750" b="1">
              <a:solidFill>
                <a:srgbClr val="595959"/>
              </a:solidFill>
              <a:latin typeface="Segoe UI" panose="020B0502040204020203" pitchFamily="34" charset="0"/>
            </a:rPr>
            <a:t>LOADED</a:t>
          </a:r>
        </a:p>
      </xdr:txBody>
    </xdr:sp>
    <xdr:clientData/>
  </xdr:twoCellAnchor>
  <xdr:twoCellAnchor editAs="oneCell">
    <xdr:from>
      <xdr:col>8</xdr:col>
      <xdr:colOff>365125</xdr:colOff>
      <xdr:row>5</xdr:row>
      <xdr:rowOff>28575</xdr:rowOff>
    </xdr:from>
    <xdr:to>
      <xdr:col>11</xdr:col>
      <xdr:colOff>177800</xdr:colOff>
      <xdr:row>5</xdr:row>
      <xdr:rowOff>317500</xdr:rowOff>
    </xdr:to>
    <xdr:sp macro="" textlink="$G$6">
      <xdr:nvSpPr>
        <xdr:cNvPr id="11" name="tileVal_3">
          <a:extLst>
            <a:ext uri="{FF2B5EF4-FFF2-40B4-BE49-F238E27FC236}">
              <a16:creationId xmlns:a16="http://schemas.microsoft.com/office/drawing/2014/main" id="{091421C6-6521-16CC-3636-3BF31862B067}"/>
            </a:ext>
          </a:extLst>
        </xdr:cNvPr>
        <xdr:cNvSpPr txBox="1"/>
      </xdr:nvSpPr>
      <xdr:spPr>
        <a:xfrm>
          <a:off x="4232275" y="1066800"/>
          <a:ext cx="1822450" cy="288925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/>
        <a:lstStyle/>
        <a:p>
          <a:pPr algn="ctr"/>
          <a:fld id="{2E4E410C-F209-4D2D-B93D-E6DA9A620C71}" type="TxLink">
            <a:rPr lang="en-US" sz="1500" b="1" i="0" u="none" strike="noStrike">
              <a:solidFill>
                <a:srgbClr val="1F3864"/>
              </a:solidFill>
              <a:latin typeface="Segoe UI" panose="020B0502040204020203" pitchFamily="34" charset="0"/>
              <a:cs typeface="Segoe UI"/>
            </a:rPr>
            <a:pPr algn="ctr"/>
            <a:t>0 m³</a:t>
          </a:fld>
          <a:endParaRPr lang="en-US" sz="1500" b="1">
            <a:solidFill>
              <a:srgbClr val="1F3864"/>
            </a:solidFill>
            <a:latin typeface="Segoe UI" panose="020B0502040204020203" pitchFamily="34" charset="0"/>
          </a:endParaRPr>
        </a:p>
      </xdr:txBody>
    </xdr:sp>
    <xdr:clientData/>
  </xdr:twoCellAnchor>
  <xdr:twoCellAnchor editAs="oneCell">
    <xdr:from>
      <xdr:col>11</xdr:col>
      <xdr:colOff>304800</xdr:colOff>
      <xdr:row>4</xdr:row>
      <xdr:rowOff>38100</xdr:rowOff>
    </xdr:from>
    <xdr:to>
      <xdr:col>13</xdr:col>
      <xdr:colOff>0</xdr:colOff>
      <xdr:row>5</xdr:row>
      <xdr:rowOff>342900</xdr:rowOff>
    </xdr:to>
    <xdr:sp macro="" textlink="">
      <xdr:nvSpPr>
        <xdr:cNvPr id="12" name="tileBg_4">
          <a:extLst>
            <a:ext uri="{FF2B5EF4-FFF2-40B4-BE49-F238E27FC236}">
              <a16:creationId xmlns:a16="http://schemas.microsoft.com/office/drawing/2014/main" id="{CA4DBFB8-514F-D701-DF98-9F00A79A93CC}"/>
            </a:ext>
          </a:extLst>
        </xdr:cNvPr>
        <xdr:cNvSpPr/>
      </xdr:nvSpPr>
      <xdr:spPr>
        <a:xfrm>
          <a:off x="6181725" y="876300"/>
          <a:ext cx="1924050" cy="504825"/>
        </a:xfrm>
        <a:prstGeom prst="roundRect">
          <a:avLst>
            <a:gd name="adj" fmla="val 15094"/>
          </a:avLst>
        </a:prstGeom>
        <a:solidFill>
          <a:srgbClr val="F3F6FA"/>
        </a:solidFill>
        <a:ln w="9525">
          <a:solidFill>
            <a:srgbClr val="D5DBE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11</xdr:col>
      <xdr:colOff>304800</xdr:colOff>
      <xdr:row>4</xdr:row>
      <xdr:rowOff>76200</xdr:rowOff>
    </xdr:from>
    <xdr:to>
      <xdr:col>13</xdr:col>
      <xdr:colOff>0</xdr:colOff>
      <xdr:row>5</xdr:row>
      <xdr:rowOff>28575</xdr:rowOff>
    </xdr:to>
    <xdr:sp macro="" textlink="">
      <xdr:nvSpPr>
        <xdr:cNvPr id="13" name="tileLb_4">
          <a:extLst>
            <a:ext uri="{FF2B5EF4-FFF2-40B4-BE49-F238E27FC236}">
              <a16:creationId xmlns:a16="http://schemas.microsoft.com/office/drawing/2014/main" id="{F0D2CB87-D335-1033-0309-364A998698E1}"/>
            </a:ext>
          </a:extLst>
        </xdr:cNvPr>
        <xdr:cNvSpPr txBox="1"/>
      </xdr:nvSpPr>
      <xdr:spPr>
        <a:xfrm>
          <a:off x="6181725" y="914400"/>
          <a:ext cx="1924050" cy="152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/>
        <a:lstStyle/>
        <a:p>
          <a:pPr algn="ctr"/>
          <a:r>
            <a:rPr lang="en-US" sz="750" b="1">
              <a:solidFill>
                <a:srgbClr val="595959"/>
              </a:solidFill>
              <a:latin typeface="Segoe UI" panose="020B0502040204020203" pitchFamily="34" charset="0"/>
            </a:rPr>
            <a:t>REJECTED</a:t>
          </a:r>
        </a:p>
      </xdr:txBody>
    </xdr:sp>
    <xdr:clientData/>
  </xdr:twoCellAnchor>
  <xdr:twoCellAnchor editAs="oneCell">
    <xdr:from>
      <xdr:col>11</xdr:col>
      <xdr:colOff>355600</xdr:colOff>
      <xdr:row>5</xdr:row>
      <xdr:rowOff>28575</xdr:rowOff>
    </xdr:from>
    <xdr:to>
      <xdr:col>12</xdr:col>
      <xdr:colOff>1063625</xdr:colOff>
      <xdr:row>5</xdr:row>
      <xdr:rowOff>317500</xdr:rowOff>
    </xdr:to>
    <xdr:sp macro="" textlink="$L$6">
      <xdr:nvSpPr>
        <xdr:cNvPr id="14" name="tileVal_4">
          <a:extLst>
            <a:ext uri="{FF2B5EF4-FFF2-40B4-BE49-F238E27FC236}">
              <a16:creationId xmlns:a16="http://schemas.microsoft.com/office/drawing/2014/main" id="{DCCF2C69-CD2C-1882-6FC6-717F3434A534}"/>
            </a:ext>
          </a:extLst>
        </xdr:cNvPr>
        <xdr:cNvSpPr txBox="1"/>
      </xdr:nvSpPr>
      <xdr:spPr>
        <a:xfrm>
          <a:off x="6232525" y="1066800"/>
          <a:ext cx="1822450" cy="288925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/>
        <a:lstStyle/>
        <a:p>
          <a:pPr algn="ctr"/>
          <a:fld id="{C4D43982-F20D-41A8-BF42-908D277D9892}" type="TxLink">
            <a:rPr lang="en-US" sz="1500" b="1" i="0" u="none" strike="noStrike">
              <a:solidFill>
                <a:srgbClr val="1F3864"/>
              </a:solidFill>
              <a:latin typeface="Segoe UI" panose="020B0502040204020203" pitchFamily="34" charset="0"/>
              <a:cs typeface="Segoe UI"/>
            </a:rPr>
            <a:pPr algn="ctr"/>
            <a:t>0 m³</a:t>
          </a:fld>
          <a:endParaRPr lang="en-US" sz="1500" b="1">
            <a:solidFill>
              <a:srgbClr val="1F3864"/>
            </a:solidFill>
            <a:latin typeface="Segoe UI" panose="020B0502040204020203" pitchFamily="34" charset="0"/>
          </a:endParaRPr>
        </a:p>
      </xdr:txBody>
    </xdr:sp>
    <xdr:clientData/>
  </xdr:twoCellAnchor>
  <xdr:twoCellAnchor editAs="oneCell">
    <xdr:from>
      <xdr:col>8</xdr:col>
      <xdr:colOff>314325</xdr:colOff>
      <xdr:row>6</xdr:row>
      <xdr:rowOff>38100</xdr:rowOff>
    </xdr:from>
    <xdr:to>
      <xdr:col>11</xdr:col>
      <xdr:colOff>228600</xdr:colOff>
      <xdr:row>7</xdr:row>
      <xdr:rowOff>342900</xdr:rowOff>
    </xdr:to>
    <xdr:sp macro="" textlink="">
      <xdr:nvSpPr>
        <xdr:cNvPr id="15" name="tileBg_6">
          <a:extLst>
            <a:ext uri="{FF2B5EF4-FFF2-40B4-BE49-F238E27FC236}">
              <a16:creationId xmlns:a16="http://schemas.microsoft.com/office/drawing/2014/main" id="{DC06739E-2432-F6DA-5672-F209E02ADFB1}"/>
            </a:ext>
          </a:extLst>
        </xdr:cNvPr>
        <xdr:cNvSpPr/>
      </xdr:nvSpPr>
      <xdr:spPr>
        <a:xfrm>
          <a:off x="4181475" y="1457325"/>
          <a:ext cx="1924050" cy="504825"/>
        </a:xfrm>
        <a:prstGeom prst="roundRect">
          <a:avLst>
            <a:gd name="adj" fmla="val 15094"/>
          </a:avLst>
        </a:prstGeom>
        <a:solidFill>
          <a:srgbClr val="F3F6FA"/>
        </a:solidFill>
        <a:ln w="9525">
          <a:solidFill>
            <a:srgbClr val="D5DBE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8</xdr:col>
      <xdr:colOff>314325</xdr:colOff>
      <xdr:row>6</xdr:row>
      <xdr:rowOff>76200</xdr:rowOff>
    </xdr:from>
    <xdr:to>
      <xdr:col>11</xdr:col>
      <xdr:colOff>228600</xdr:colOff>
      <xdr:row>7</xdr:row>
      <xdr:rowOff>28575</xdr:rowOff>
    </xdr:to>
    <xdr:sp macro="" textlink="">
      <xdr:nvSpPr>
        <xdr:cNvPr id="16" name="tileLb_6">
          <a:extLst>
            <a:ext uri="{FF2B5EF4-FFF2-40B4-BE49-F238E27FC236}">
              <a16:creationId xmlns:a16="http://schemas.microsoft.com/office/drawing/2014/main" id="{4A702477-5B44-294E-E01C-AEA83C32DE32}"/>
            </a:ext>
          </a:extLst>
        </xdr:cNvPr>
        <xdr:cNvSpPr txBox="1"/>
      </xdr:nvSpPr>
      <xdr:spPr>
        <a:xfrm>
          <a:off x="4181475" y="1495425"/>
          <a:ext cx="1924050" cy="152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/>
        <a:lstStyle/>
        <a:p>
          <a:pPr algn="ctr"/>
          <a:r>
            <a:rPr lang="en-US" sz="750" b="1">
              <a:solidFill>
                <a:srgbClr val="595959"/>
              </a:solidFill>
              <a:latin typeface="Segoe UI" panose="020B0502040204020203" pitchFamily="34" charset="0"/>
            </a:rPr>
            <a:t>REMAINING</a:t>
          </a:r>
        </a:p>
      </xdr:txBody>
    </xdr:sp>
    <xdr:clientData/>
  </xdr:twoCellAnchor>
  <xdr:twoCellAnchor editAs="oneCell">
    <xdr:from>
      <xdr:col>8</xdr:col>
      <xdr:colOff>365125</xdr:colOff>
      <xdr:row>7</xdr:row>
      <xdr:rowOff>28575</xdr:rowOff>
    </xdr:from>
    <xdr:to>
      <xdr:col>11</xdr:col>
      <xdr:colOff>177800</xdr:colOff>
      <xdr:row>7</xdr:row>
      <xdr:rowOff>317500</xdr:rowOff>
    </xdr:to>
    <xdr:sp macro="" textlink="$G$8">
      <xdr:nvSpPr>
        <xdr:cNvPr id="17" name="tileVal_6">
          <a:extLst>
            <a:ext uri="{FF2B5EF4-FFF2-40B4-BE49-F238E27FC236}">
              <a16:creationId xmlns:a16="http://schemas.microsoft.com/office/drawing/2014/main" id="{8F2694A8-0B51-9251-2BED-22548DDC6BFD}"/>
            </a:ext>
          </a:extLst>
        </xdr:cNvPr>
        <xdr:cNvSpPr txBox="1"/>
      </xdr:nvSpPr>
      <xdr:spPr>
        <a:xfrm>
          <a:off x="4232275" y="1647825"/>
          <a:ext cx="1822450" cy="288925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/>
        <a:lstStyle/>
        <a:p>
          <a:pPr algn="ctr"/>
          <a:fld id="{F6030D36-BF7B-4029-85E2-0706D1AE8565}" type="TxLink">
            <a:rPr lang="en-US" sz="1500" b="1" i="0" u="none" strike="noStrike">
              <a:solidFill>
                <a:srgbClr val="1F3864"/>
              </a:solidFill>
              <a:latin typeface="Segoe UI" panose="020B0502040204020203" pitchFamily="34" charset="0"/>
              <a:cs typeface="Segoe UI"/>
            </a:rPr>
            <a:pPr algn="ctr"/>
            <a:t> </a:t>
          </a:fld>
          <a:endParaRPr lang="en-US" sz="1500" b="1">
            <a:solidFill>
              <a:srgbClr val="1F3864"/>
            </a:solidFill>
            <a:latin typeface="Segoe UI" panose="020B0502040204020203" pitchFamily="34" charset="0"/>
          </a:endParaRPr>
        </a:p>
      </xdr:txBody>
    </xdr:sp>
    <xdr:clientData/>
  </xdr:twoCellAnchor>
  <xdr:twoCellAnchor editAs="oneCell">
    <xdr:from>
      <xdr:col>11</xdr:col>
      <xdr:colOff>304800</xdr:colOff>
      <xdr:row>6</xdr:row>
      <xdr:rowOff>38100</xdr:rowOff>
    </xdr:from>
    <xdr:to>
      <xdr:col>13</xdr:col>
      <xdr:colOff>0</xdr:colOff>
      <xdr:row>7</xdr:row>
      <xdr:rowOff>342900</xdr:rowOff>
    </xdr:to>
    <xdr:sp macro="" textlink="">
      <xdr:nvSpPr>
        <xdr:cNvPr id="18" name="tileBg_7">
          <a:extLst>
            <a:ext uri="{FF2B5EF4-FFF2-40B4-BE49-F238E27FC236}">
              <a16:creationId xmlns:a16="http://schemas.microsoft.com/office/drawing/2014/main" id="{2DEC8315-E759-0C7B-3B68-765597F67DA0}"/>
            </a:ext>
          </a:extLst>
        </xdr:cNvPr>
        <xdr:cNvSpPr/>
      </xdr:nvSpPr>
      <xdr:spPr>
        <a:xfrm>
          <a:off x="6181725" y="1457325"/>
          <a:ext cx="1924050" cy="504825"/>
        </a:xfrm>
        <a:prstGeom prst="roundRect">
          <a:avLst>
            <a:gd name="adj" fmla="val 15094"/>
          </a:avLst>
        </a:prstGeom>
        <a:solidFill>
          <a:srgbClr val="F3F6FA"/>
        </a:solidFill>
        <a:ln w="9525">
          <a:solidFill>
            <a:srgbClr val="D5DBE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11</xdr:col>
      <xdr:colOff>304800</xdr:colOff>
      <xdr:row>6</xdr:row>
      <xdr:rowOff>76200</xdr:rowOff>
    </xdr:from>
    <xdr:to>
      <xdr:col>13</xdr:col>
      <xdr:colOff>0</xdr:colOff>
      <xdr:row>7</xdr:row>
      <xdr:rowOff>28575</xdr:rowOff>
    </xdr:to>
    <xdr:sp macro="" textlink="">
      <xdr:nvSpPr>
        <xdr:cNvPr id="19" name="tileLb_7">
          <a:extLst>
            <a:ext uri="{FF2B5EF4-FFF2-40B4-BE49-F238E27FC236}">
              <a16:creationId xmlns:a16="http://schemas.microsoft.com/office/drawing/2014/main" id="{E2B1098B-AA7C-59D1-2BCA-6094F7D1D70F}"/>
            </a:ext>
          </a:extLst>
        </xdr:cNvPr>
        <xdr:cNvSpPr txBox="1"/>
      </xdr:nvSpPr>
      <xdr:spPr>
        <a:xfrm>
          <a:off x="6181725" y="1495425"/>
          <a:ext cx="1924050" cy="152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/>
        <a:lstStyle/>
        <a:p>
          <a:pPr algn="ctr"/>
          <a:r>
            <a:rPr lang="en-US" sz="750" b="1">
              <a:solidFill>
                <a:srgbClr val="595959"/>
              </a:solidFill>
              <a:latin typeface="Segoe UI" panose="020B0502040204020203" pitchFamily="34" charset="0"/>
            </a:rPr>
            <a:t>EXPECTED FINISH</a:t>
          </a:r>
        </a:p>
      </xdr:txBody>
    </xdr:sp>
    <xdr:clientData/>
  </xdr:twoCellAnchor>
  <xdr:twoCellAnchor editAs="oneCell">
    <xdr:from>
      <xdr:col>11</xdr:col>
      <xdr:colOff>355600</xdr:colOff>
      <xdr:row>7</xdr:row>
      <xdr:rowOff>28575</xdr:rowOff>
    </xdr:from>
    <xdr:to>
      <xdr:col>12</xdr:col>
      <xdr:colOff>1063625</xdr:colOff>
      <xdr:row>7</xdr:row>
      <xdr:rowOff>317500</xdr:rowOff>
    </xdr:to>
    <xdr:sp macro="" textlink="$L$8">
      <xdr:nvSpPr>
        <xdr:cNvPr id="20" name="tileVal_7">
          <a:extLst>
            <a:ext uri="{FF2B5EF4-FFF2-40B4-BE49-F238E27FC236}">
              <a16:creationId xmlns:a16="http://schemas.microsoft.com/office/drawing/2014/main" id="{337928E3-8379-0A5D-86C4-87387B7F1807}"/>
            </a:ext>
          </a:extLst>
        </xdr:cNvPr>
        <xdr:cNvSpPr txBox="1"/>
      </xdr:nvSpPr>
      <xdr:spPr>
        <a:xfrm>
          <a:off x="6232525" y="1647825"/>
          <a:ext cx="1822450" cy="288925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/>
        <a:lstStyle/>
        <a:p>
          <a:pPr algn="ctr"/>
          <a:fld id="{9D82D3E3-B2B3-4A57-B319-EA919D16074C}" type="TxLink">
            <a:rPr lang="en-US" sz="1500" b="1" i="0" u="none" strike="noStrike">
              <a:solidFill>
                <a:srgbClr val="1F3864"/>
              </a:solidFill>
              <a:latin typeface="Segoe UI" panose="020B0502040204020203" pitchFamily="34" charset="0"/>
              <a:cs typeface="Segoe UI"/>
            </a:rPr>
            <a:pPr algn="ctr"/>
            <a:t>—</a:t>
          </a:fld>
          <a:endParaRPr lang="en-US" sz="1500" b="1">
            <a:solidFill>
              <a:srgbClr val="1F3864"/>
            </a:solidFill>
            <a:latin typeface="Segoe UI" panose="020B0502040204020203" pitchFamily="34" charset="0"/>
          </a:endParaRPr>
        </a:p>
      </xdr:txBody>
    </xdr:sp>
    <xdr:clientData/>
  </xdr:twoCellAnchor>
  <xdr:twoCellAnchor editAs="oneCell">
    <xdr:from>
      <xdr:col>1</xdr:col>
      <xdr:colOff>0</xdr:colOff>
      <xdr:row>6</xdr:row>
      <xdr:rowOff>38100</xdr:rowOff>
    </xdr:from>
    <xdr:to>
      <xdr:col>8</xdr:col>
      <xdr:colOff>238125</xdr:colOff>
      <xdr:row>7</xdr:row>
      <xdr:rowOff>342900</xdr:rowOff>
    </xdr:to>
    <xdr:sp macro="" textlink="">
      <xdr:nvSpPr>
        <xdr:cNvPr id="21" name="tileBg_5">
          <a:extLst>
            <a:ext uri="{FF2B5EF4-FFF2-40B4-BE49-F238E27FC236}">
              <a16:creationId xmlns:a16="http://schemas.microsoft.com/office/drawing/2014/main" id="{AF666812-94CF-B792-8FFB-936E531D77B0}"/>
            </a:ext>
          </a:extLst>
        </xdr:cNvPr>
        <xdr:cNvSpPr/>
      </xdr:nvSpPr>
      <xdr:spPr>
        <a:xfrm>
          <a:off x="180975" y="1457325"/>
          <a:ext cx="3924300" cy="504825"/>
        </a:xfrm>
        <a:prstGeom prst="roundRect">
          <a:avLst>
            <a:gd name="adj" fmla="val 15094"/>
          </a:avLst>
        </a:prstGeom>
        <a:solidFill>
          <a:srgbClr val="F3F6FA"/>
        </a:solidFill>
        <a:ln w="9525">
          <a:solidFill>
            <a:srgbClr val="D5DBE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0</xdr:colOff>
      <xdr:row>6</xdr:row>
      <xdr:rowOff>76200</xdr:rowOff>
    </xdr:from>
    <xdr:to>
      <xdr:col>8</xdr:col>
      <xdr:colOff>238125</xdr:colOff>
      <xdr:row>7</xdr:row>
      <xdr:rowOff>28575</xdr:rowOff>
    </xdr:to>
    <xdr:sp macro="" textlink="">
      <xdr:nvSpPr>
        <xdr:cNvPr id="22" name="tileLb_5">
          <a:extLst>
            <a:ext uri="{FF2B5EF4-FFF2-40B4-BE49-F238E27FC236}">
              <a16:creationId xmlns:a16="http://schemas.microsoft.com/office/drawing/2014/main" id="{9EFD5F9A-8A95-EEF2-5D37-FF65FA94E528}"/>
            </a:ext>
          </a:extLst>
        </xdr:cNvPr>
        <xdr:cNvSpPr txBox="1"/>
      </xdr:nvSpPr>
      <xdr:spPr>
        <a:xfrm>
          <a:off x="180975" y="1495425"/>
          <a:ext cx="3924300" cy="152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/>
        <a:lstStyle/>
        <a:p>
          <a:pPr algn="ctr"/>
          <a:r>
            <a:rPr lang="en-US" sz="750" b="1">
              <a:solidFill>
                <a:srgbClr val="595959"/>
              </a:solidFill>
              <a:latin typeface="Segoe UI" panose="020B0502040204020203" pitchFamily="34" charset="0"/>
            </a:rPr>
            <a:t>PROGRESS</a:t>
          </a:r>
        </a:p>
      </xdr:txBody>
    </xdr:sp>
    <xdr:clientData/>
  </xdr:twoCellAnchor>
  <xdr:twoCellAnchor editAs="oneCell">
    <xdr:from>
      <xdr:col>1</xdr:col>
      <xdr:colOff>152400</xdr:colOff>
      <xdr:row>7</xdr:row>
      <xdr:rowOff>103188</xdr:rowOff>
    </xdr:from>
    <xdr:to>
      <xdr:col>1</xdr:col>
      <xdr:colOff>271780</xdr:colOff>
      <xdr:row>7</xdr:row>
      <xdr:rowOff>242888</xdr:rowOff>
    </xdr:to>
    <xdr:sp macro="" textlink="">
      <xdr:nvSpPr>
        <xdr:cNvPr id="23" name="pblk_1">
          <a:extLst>
            <a:ext uri="{FF2B5EF4-FFF2-40B4-BE49-F238E27FC236}">
              <a16:creationId xmlns:a16="http://schemas.microsoft.com/office/drawing/2014/main" id="{E57D5FAD-78AA-B01D-5D24-6C5E306D5BFE}"/>
            </a:ext>
          </a:extLst>
        </xdr:cNvPr>
        <xdr:cNvSpPr/>
      </xdr:nvSpPr>
      <xdr:spPr>
        <a:xfrm>
          <a:off x="333375" y="1722438"/>
          <a:ext cx="119380" cy="139700"/>
        </a:xfrm>
        <a:prstGeom prst="roundRect">
          <a:avLst>
            <a:gd name="adj" fmla="val 26596"/>
          </a:avLst>
        </a:prstGeom>
        <a:solidFill>
          <a:srgbClr val="D9DFEA"/>
        </a:solidFill>
        <a:ln w="1905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309880</xdr:colOff>
      <xdr:row>7</xdr:row>
      <xdr:rowOff>103188</xdr:rowOff>
    </xdr:from>
    <xdr:to>
      <xdr:col>1</xdr:col>
      <xdr:colOff>429260</xdr:colOff>
      <xdr:row>7</xdr:row>
      <xdr:rowOff>242888</xdr:rowOff>
    </xdr:to>
    <xdr:sp macro="" textlink="">
      <xdr:nvSpPr>
        <xdr:cNvPr id="24" name="pblk_2">
          <a:extLst>
            <a:ext uri="{FF2B5EF4-FFF2-40B4-BE49-F238E27FC236}">
              <a16:creationId xmlns:a16="http://schemas.microsoft.com/office/drawing/2014/main" id="{DEE49A48-1387-1FA0-8CFF-BB49A271C230}"/>
            </a:ext>
          </a:extLst>
        </xdr:cNvPr>
        <xdr:cNvSpPr/>
      </xdr:nvSpPr>
      <xdr:spPr>
        <a:xfrm>
          <a:off x="490855" y="1722438"/>
          <a:ext cx="119380" cy="139700"/>
        </a:xfrm>
        <a:prstGeom prst="roundRect">
          <a:avLst>
            <a:gd name="adj" fmla="val 26596"/>
          </a:avLst>
        </a:prstGeom>
        <a:solidFill>
          <a:srgbClr val="D9DFEA"/>
        </a:solidFill>
        <a:ln w="1905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467360</xdr:colOff>
      <xdr:row>7</xdr:row>
      <xdr:rowOff>103188</xdr:rowOff>
    </xdr:from>
    <xdr:to>
      <xdr:col>1</xdr:col>
      <xdr:colOff>586740</xdr:colOff>
      <xdr:row>7</xdr:row>
      <xdr:rowOff>242888</xdr:rowOff>
    </xdr:to>
    <xdr:sp macro="" textlink="">
      <xdr:nvSpPr>
        <xdr:cNvPr id="25" name="pblk_3">
          <a:extLst>
            <a:ext uri="{FF2B5EF4-FFF2-40B4-BE49-F238E27FC236}">
              <a16:creationId xmlns:a16="http://schemas.microsoft.com/office/drawing/2014/main" id="{7028957F-515B-245D-08CD-7204740E894B}"/>
            </a:ext>
          </a:extLst>
        </xdr:cNvPr>
        <xdr:cNvSpPr/>
      </xdr:nvSpPr>
      <xdr:spPr>
        <a:xfrm>
          <a:off x="648335" y="1722438"/>
          <a:ext cx="119380" cy="139700"/>
        </a:xfrm>
        <a:prstGeom prst="roundRect">
          <a:avLst>
            <a:gd name="adj" fmla="val 26596"/>
          </a:avLst>
        </a:prstGeom>
        <a:solidFill>
          <a:srgbClr val="D9DFEA"/>
        </a:solidFill>
        <a:ln w="1905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624840</xdr:colOff>
      <xdr:row>7</xdr:row>
      <xdr:rowOff>103188</xdr:rowOff>
    </xdr:from>
    <xdr:to>
      <xdr:col>1</xdr:col>
      <xdr:colOff>744220</xdr:colOff>
      <xdr:row>7</xdr:row>
      <xdr:rowOff>242888</xdr:rowOff>
    </xdr:to>
    <xdr:sp macro="" textlink="">
      <xdr:nvSpPr>
        <xdr:cNvPr id="26" name="pblk_4">
          <a:extLst>
            <a:ext uri="{FF2B5EF4-FFF2-40B4-BE49-F238E27FC236}">
              <a16:creationId xmlns:a16="http://schemas.microsoft.com/office/drawing/2014/main" id="{EA7AEEE5-9AD4-4F1C-7F97-2FA4636B1855}"/>
            </a:ext>
          </a:extLst>
        </xdr:cNvPr>
        <xdr:cNvSpPr/>
      </xdr:nvSpPr>
      <xdr:spPr>
        <a:xfrm>
          <a:off x="805815" y="1722438"/>
          <a:ext cx="119380" cy="139700"/>
        </a:xfrm>
        <a:prstGeom prst="roundRect">
          <a:avLst>
            <a:gd name="adj" fmla="val 26596"/>
          </a:avLst>
        </a:prstGeom>
        <a:solidFill>
          <a:srgbClr val="D9DFEA"/>
        </a:solidFill>
        <a:ln w="1905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782320</xdr:colOff>
      <xdr:row>7</xdr:row>
      <xdr:rowOff>103188</xdr:rowOff>
    </xdr:from>
    <xdr:to>
      <xdr:col>1</xdr:col>
      <xdr:colOff>901700</xdr:colOff>
      <xdr:row>7</xdr:row>
      <xdr:rowOff>242888</xdr:rowOff>
    </xdr:to>
    <xdr:sp macro="" textlink="">
      <xdr:nvSpPr>
        <xdr:cNvPr id="27" name="pblk_5">
          <a:extLst>
            <a:ext uri="{FF2B5EF4-FFF2-40B4-BE49-F238E27FC236}">
              <a16:creationId xmlns:a16="http://schemas.microsoft.com/office/drawing/2014/main" id="{F2E27C63-6031-FC8C-E181-71CFD1944D3E}"/>
            </a:ext>
          </a:extLst>
        </xdr:cNvPr>
        <xdr:cNvSpPr/>
      </xdr:nvSpPr>
      <xdr:spPr>
        <a:xfrm>
          <a:off x="963295" y="1722438"/>
          <a:ext cx="119380" cy="139700"/>
        </a:xfrm>
        <a:prstGeom prst="roundRect">
          <a:avLst>
            <a:gd name="adj" fmla="val 26596"/>
          </a:avLst>
        </a:prstGeom>
        <a:solidFill>
          <a:srgbClr val="D9DFEA"/>
        </a:solidFill>
        <a:ln w="1905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939800</xdr:colOff>
      <xdr:row>7</xdr:row>
      <xdr:rowOff>103188</xdr:rowOff>
    </xdr:from>
    <xdr:to>
      <xdr:col>1</xdr:col>
      <xdr:colOff>1059180</xdr:colOff>
      <xdr:row>7</xdr:row>
      <xdr:rowOff>242888</xdr:rowOff>
    </xdr:to>
    <xdr:sp macro="" textlink="">
      <xdr:nvSpPr>
        <xdr:cNvPr id="28" name="pblk_6">
          <a:extLst>
            <a:ext uri="{FF2B5EF4-FFF2-40B4-BE49-F238E27FC236}">
              <a16:creationId xmlns:a16="http://schemas.microsoft.com/office/drawing/2014/main" id="{E047E63B-19A0-2A95-77D7-AF7834A4BDB1}"/>
            </a:ext>
          </a:extLst>
        </xdr:cNvPr>
        <xdr:cNvSpPr/>
      </xdr:nvSpPr>
      <xdr:spPr>
        <a:xfrm>
          <a:off x="1120775" y="1722438"/>
          <a:ext cx="119380" cy="139700"/>
        </a:xfrm>
        <a:prstGeom prst="roundRect">
          <a:avLst>
            <a:gd name="adj" fmla="val 26596"/>
          </a:avLst>
        </a:prstGeom>
        <a:solidFill>
          <a:srgbClr val="D9DFEA"/>
        </a:solidFill>
        <a:ln w="1905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1097280</xdr:colOff>
      <xdr:row>7</xdr:row>
      <xdr:rowOff>103188</xdr:rowOff>
    </xdr:from>
    <xdr:to>
      <xdr:col>2</xdr:col>
      <xdr:colOff>102235</xdr:colOff>
      <xdr:row>7</xdr:row>
      <xdr:rowOff>242888</xdr:rowOff>
    </xdr:to>
    <xdr:sp macro="" textlink="">
      <xdr:nvSpPr>
        <xdr:cNvPr id="29" name="pblk_7">
          <a:extLst>
            <a:ext uri="{FF2B5EF4-FFF2-40B4-BE49-F238E27FC236}">
              <a16:creationId xmlns:a16="http://schemas.microsoft.com/office/drawing/2014/main" id="{872C6AAA-DB55-5B61-9206-EF8D6BF7277D}"/>
            </a:ext>
          </a:extLst>
        </xdr:cNvPr>
        <xdr:cNvSpPr/>
      </xdr:nvSpPr>
      <xdr:spPr>
        <a:xfrm>
          <a:off x="1278255" y="1722438"/>
          <a:ext cx="119380" cy="139700"/>
        </a:xfrm>
        <a:prstGeom prst="roundRect">
          <a:avLst>
            <a:gd name="adj" fmla="val 26596"/>
          </a:avLst>
        </a:prstGeom>
        <a:solidFill>
          <a:srgbClr val="D9DFEA"/>
        </a:solidFill>
        <a:ln w="1905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140335</xdr:colOff>
      <xdr:row>7</xdr:row>
      <xdr:rowOff>103188</xdr:rowOff>
    </xdr:from>
    <xdr:to>
      <xdr:col>2</xdr:col>
      <xdr:colOff>259715</xdr:colOff>
      <xdr:row>7</xdr:row>
      <xdr:rowOff>242888</xdr:rowOff>
    </xdr:to>
    <xdr:sp macro="" textlink="">
      <xdr:nvSpPr>
        <xdr:cNvPr id="30" name="pblk_8">
          <a:extLst>
            <a:ext uri="{FF2B5EF4-FFF2-40B4-BE49-F238E27FC236}">
              <a16:creationId xmlns:a16="http://schemas.microsoft.com/office/drawing/2014/main" id="{CE76037C-EDC2-942A-987D-2663874CE90A}"/>
            </a:ext>
          </a:extLst>
        </xdr:cNvPr>
        <xdr:cNvSpPr/>
      </xdr:nvSpPr>
      <xdr:spPr>
        <a:xfrm>
          <a:off x="1435735" y="1722438"/>
          <a:ext cx="119380" cy="139700"/>
        </a:xfrm>
        <a:prstGeom prst="roundRect">
          <a:avLst>
            <a:gd name="adj" fmla="val 26596"/>
          </a:avLst>
        </a:prstGeom>
        <a:solidFill>
          <a:srgbClr val="D9DFEA"/>
        </a:solidFill>
        <a:ln w="1905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297815</xdr:colOff>
      <xdr:row>7</xdr:row>
      <xdr:rowOff>103188</xdr:rowOff>
    </xdr:from>
    <xdr:to>
      <xdr:col>2</xdr:col>
      <xdr:colOff>417195</xdr:colOff>
      <xdr:row>7</xdr:row>
      <xdr:rowOff>242888</xdr:rowOff>
    </xdr:to>
    <xdr:sp macro="" textlink="">
      <xdr:nvSpPr>
        <xdr:cNvPr id="31" name="pblk_9">
          <a:extLst>
            <a:ext uri="{FF2B5EF4-FFF2-40B4-BE49-F238E27FC236}">
              <a16:creationId xmlns:a16="http://schemas.microsoft.com/office/drawing/2014/main" id="{E937CF38-CFA8-06C5-BC53-71F3C15748B5}"/>
            </a:ext>
          </a:extLst>
        </xdr:cNvPr>
        <xdr:cNvSpPr/>
      </xdr:nvSpPr>
      <xdr:spPr>
        <a:xfrm>
          <a:off x="1593215" y="1722438"/>
          <a:ext cx="119380" cy="139700"/>
        </a:xfrm>
        <a:prstGeom prst="roundRect">
          <a:avLst>
            <a:gd name="adj" fmla="val 26596"/>
          </a:avLst>
        </a:prstGeom>
        <a:solidFill>
          <a:srgbClr val="D9DFEA"/>
        </a:solidFill>
        <a:ln w="1905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455295</xdr:colOff>
      <xdr:row>7</xdr:row>
      <xdr:rowOff>103188</xdr:rowOff>
    </xdr:from>
    <xdr:to>
      <xdr:col>3</xdr:col>
      <xdr:colOff>60325</xdr:colOff>
      <xdr:row>7</xdr:row>
      <xdr:rowOff>242888</xdr:rowOff>
    </xdr:to>
    <xdr:sp macro="" textlink="">
      <xdr:nvSpPr>
        <xdr:cNvPr id="32" name="pblk_10">
          <a:extLst>
            <a:ext uri="{FF2B5EF4-FFF2-40B4-BE49-F238E27FC236}">
              <a16:creationId xmlns:a16="http://schemas.microsoft.com/office/drawing/2014/main" id="{094DDB3B-D2AC-EA06-E8B7-4A641DB93C02}"/>
            </a:ext>
          </a:extLst>
        </xdr:cNvPr>
        <xdr:cNvSpPr/>
      </xdr:nvSpPr>
      <xdr:spPr>
        <a:xfrm>
          <a:off x="1750695" y="1722438"/>
          <a:ext cx="119380" cy="139700"/>
        </a:xfrm>
        <a:prstGeom prst="roundRect">
          <a:avLst>
            <a:gd name="adj" fmla="val 26596"/>
          </a:avLst>
        </a:prstGeom>
        <a:solidFill>
          <a:srgbClr val="D9DFEA"/>
        </a:solidFill>
        <a:ln w="1905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3</xdr:col>
      <xdr:colOff>98425</xdr:colOff>
      <xdr:row>7</xdr:row>
      <xdr:rowOff>103188</xdr:rowOff>
    </xdr:from>
    <xdr:to>
      <xdr:col>3</xdr:col>
      <xdr:colOff>217805</xdr:colOff>
      <xdr:row>7</xdr:row>
      <xdr:rowOff>242888</xdr:rowOff>
    </xdr:to>
    <xdr:sp macro="" textlink="">
      <xdr:nvSpPr>
        <xdr:cNvPr id="33" name="pblk_11">
          <a:extLst>
            <a:ext uri="{FF2B5EF4-FFF2-40B4-BE49-F238E27FC236}">
              <a16:creationId xmlns:a16="http://schemas.microsoft.com/office/drawing/2014/main" id="{4DAC94FA-04B4-13C2-C4B2-1C23DB865058}"/>
            </a:ext>
          </a:extLst>
        </xdr:cNvPr>
        <xdr:cNvSpPr/>
      </xdr:nvSpPr>
      <xdr:spPr>
        <a:xfrm>
          <a:off x="1908175" y="1722438"/>
          <a:ext cx="119380" cy="139700"/>
        </a:xfrm>
        <a:prstGeom prst="roundRect">
          <a:avLst>
            <a:gd name="adj" fmla="val 26596"/>
          </a:avLst>
        </a:prstGeom>
        <a:solidFill>
          <a:srgbClr val="D9DFEA"/>
        </a:solidFill>
        <a:ln w="1905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3</xdr:col>
      <xdr:colOff>255905</xdr:colOff>
      <xdr:row>7</xdr:row>
      <xdr:rowOff>103188</xdr:rowOff>
    </xdr:from>
    <xdr:to>
      <xdr:col>3</xdr:col>
      <xdr:colOff>375285</xdr:colOff>
      <xdr:row>7</xdr:row>
      <xdr:rowOff>242888</xdr:rowOff>
    </xdr:to>
    <xdr:sp macro="" textlink="">
      <xdr:nvSpPr>
        <xdr:cNvPr id="34" name="pblk_12">
          <a:extLst>
            <a:ext uri="{FF2B5EF4-FFF2-40B4-BE49-F238E27FC236}">
              <a16:creationId xmlns:a16="http://schemas.microsoft.com/office/drawing/2014/main" id="{0BB7C1CF-C595-FF21-9CD4-DADA2AF2FADE}"/>
            </a:ext>
          </a:extLst>
        </xdr:cNvPr>
        <xdr:cNvSpPr/>
      </xdr:nvSpPr>
      <xdr:spPr>
        <a:xfrm>
          <a:off x="2065655" y="1722438"/>
          <a:ext cx="119380" cy="139700"/>
        </a:xfrm>
        <a:prstGeom prst="roundRect">
          <a:avLst>
            <a:gd name="adj" fmla="val 26596"/>
          </a:avLst>
        </a:prstGeom>
        <a:solidFill>
          <a:srgbClr val="D9DFEA"/>
        </a:solidFill>
        <a:ln w="1905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3</xdr:col>
      <xdr:colOff>413385</xdr:colOff>
      <xdr:row>7</xdr:row>
      <xdr:rowOff>103188</xdr:rowOff>
    </xdr:from>
    <xdr:to>
      <xdr:col>4</xdr:col>
      <xdr:colOff>18415</xdr:colOff>
      <xdr:row>7</xdr:row>
      <xdr:rowOff>242888</xdr:rowOff>
    </xdr:to>
    <xdr:sp macro="" textlink="">
      <xdr:nvSpPr>
        <xdr:cNvPr id="35" name="pblk_13">
          <a:extLst>
            <a:ext uri="{FF2B5EF4-FFF2-40B4-BE49-F238E27FC236}">
              <a16:creationId xmlns:a16="http://schemas.microsoft.com/office/drawing/2014/main" id="{CFCEC4A8-2CB6-D0FB-84A2-E1227F9738E4}"/>
            </a:ext>
          </a:extLst>
        </xdr:cNvPr>
        <xdr:cNvSpPr/>
      </xdr:nvSpPr>
      <xdr:spPr>
        <a:xfrm>
          <a:off x="2223135" y="1722438"/>
          <a:ext cx="119380" cy="139700"/>
        </a:xfrm>
        <a:prstGeom prst="roundRect">
          <a:avLst>
            <a:gd name="adj" fmla="val 26596"/>
          </a:avLst>
        </a:prstGeom>
        <a:solidFill>
          <a:srgbClr val="D9DFEA"/>
        </a:solidFill>
        <a:ln w="1905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4</xdr:col>
      <xdr:colOff>56515</xdr:colOff>
      <xdr:row>7</xdr:row>
      <xdr:rowOff>103188</xdr:rowOff>
    </xdr:from>
    <xdr:to>
      <xdr:col>4</xdr:col>
      <xdr:colOff>175895</xdr:colOff>
      <xdr:row>7</xdr:row>
      <xdr:rowOff>242888</xdr:rowOff>
    </xdr:to>
    <xdr:sp macro="" textlink="">
      <xdr:nvSpPr>
        <xdr:cNvPr id="36" name="pblk_14">
          <a:extLst>
            <a:ext uri="{FF2B5EF4-FFF2-40B4-BE49-F238E27FC236}">
              <a16:creationId xmlns:a16="http://schemas.microsoft.com/office/drawing/2014/main" id="{5F43091A-A340-7AEB-4F72-7A8D2C58ACE7}"/>
            </a:ext>
          </a:extLst>
        </xdr:cNvPr>
        <xdr:cNvSpPr/>
      </xdr:nvSpPr>
      <xdr:spPr>
        <a:xfrm>
          <a:off x="2380615" y="1722438"/>
          <a:ext cx="119380" cy="139700"/>
        </a:xfrm>
        <a:prstGeom prst="roundRect">
          <a:avLst>
            <a:gd name="adj" fmla="val 26596"/>
          </a:avLst>
        </a:prstGeom>
        <a:solidFill>
          <a:srgbClr val="D9DFEA"/>
        </a:solidFill>
        <a:ln w="1905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4</xdr:col>
      <xdr:colOff>213995</xdr:colOff>
      <xdr:row>7</xdr:row>
      <xdr:rowOff>103188</xdr:rowOff>
    </xdr:from>
    <xdr:to>
      <xdr:col>4</xdr:col>
      <xdr:colOff>333375</xdr:colOff>
      <xdr:row>7</xdr:row>
      <xdr:rowOff>242888</xdr:rowOff>
    </xdr:to>
    <xdr:sp macro="" textlink="">
      <xdr:nvSpPr>
        <xdr:cNvPr id="37" name="pblk_15">
          <a:extLst>
            <a:ext uri="{FF2B5EF4-FFF2-40B4-BE49-F238E27FC236}">
              <a16:creationId xmlns:a16="http://schemas.microsoft.com/office/drawing/2014/main" id="{F155E995-D0D5-96B5-6A28-7D960ABB2133}"/>
            </a:ext>
          </a:extLst>
        </xdr:cNvPr>
        <xdr:cNvSpPr/>
      </xdr:nvSpPr>
      <xdr:spPr>
        <a:xfrm>
          <a:off x="2538095" y="1722438"/>
          <a:ext cx="119380" cy="139700"/>
        </a:xfrm>
        <a:prstGeom prst="roundRect">
          <a:avLst>
            <a:gd name="adj" fmla="val 26596"/>
          </a:avLst>
        </a:prstGeom>
        <a:solidFill>
          <a:srgbClr val="D9DFEA"/>
        </a:solidFill>
        <a:ln w="1905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4</xdr:col>
      <xdr:colOff>371475</xdr:colOff>
      <xdr:row>7</xdr:row>
      <xdr:rowOff>103188</xdr:rowOff>
    </xdr:from>
    <xdr:to>
      <xdr:col>4</xdr:col>
      <xdr:colOff>490855</xdr:colOff>
      <xdr:row>7</xdr:row>
      <xdr:rowOff>242888</xdr:rowOff>
    </xdr:to>
    <xdr:sp macro="" textlink="">
      <xdr:nvSpPr>
        <xdr:cNvPr id="38" name="pblk_16">
          <a:extLst>
            <a:ext uri="{FF2B5EF4-FFF2-40B4-BE49-F238E27FC236}">
              <a16:creationId xmlns:a16="http://schemas.microsoft.com/office/drawing/2014/main" id="{20E7BEA0-6D16-64C2-8288-F93029025D3A}"/>
            </a:ext>
          </a:extLst>
        </xdr:cNvPr>
        <xdr:cNvSpPr/>
      </xdr:nvSpPr>
      <xdr:spPr>
        <a:xfrm>
          <a:off x="2695575" y="1722438"/>
          <a:ext cx="119380" cy="139700"/>
        </a:xfrm>
        <a:prstGeom prst="roundRect">
          <a:avLst>
            <a:gd name="adj" fmla="val 26596"/>
          </a:avLst>
        </a:prstGeom>
        <a:solidFill>
          <a:srgbClr val="D9DFEA"/>
        </a:solidFill>
        <a:ln w="1905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5</xdr:col>
      <xdr:colOff>14605</xdr:colOff>
      <xdr:row>7</xdr:row>
      <xdr:rowOff>103188</xdr:rowOff>
    </xdr:from>
    <xdr:to>
      <xdr:col>5</xdr:col>
      <xdr:colOff>133985</xdr:colOff>
      <xdr:row>7</xdr:row>
      <xdr:rowOff>242888</xdr:rowOff>
    </xdr:to>
    <xdr:sp macro="" textlink="">
      <xdr:nvSpPr>
        <xdr:cNvPr id="39" name="pblk_17">
          <a:extLst>
            <a:ext uri="{FF2B5EF4-FFF2-40B4-BE49-F238E27FC236}">
              <a16:creationId xmlns:a16="http://schemas.microsoft.com/office/drawing/2014/main" id="{FCB490D1-D002-3D06-4D92-8C1D3A2D2111}"/>
            </a:ext>
          </a:extLst>
        </xdr:cNvPr>
        <xdr:cNvSpPr/>
      </xdr:nvSpPr>
      <xdr:spPr>
        <a:xfrm>
          <a:off x="2853055" y="1722438"/>
          <a:ext cx="119380" cy="139700"/>
        </a:xfrm>
        <a:prstGeom prst="roundRect">
          <a:avLst>
            <a:gd name="adj" fmla="val 26596"/>
          </a:avLst>
        </a:prstGeom>
        <a:solidFill>
          <a:srgbClr val="D9DFEA"/>
        </a:solidFill>
        <a:ln w="1905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5</xdr:col>
      <xdr:colOff>172085</xdr:colOff>
      <xdr:row>7</xdr:row>
      <xdr:rowOff>103188</xdr:rowOff>
    </xdr:from>
    <xdr:to>
      <xdr:col>5</xdr:col>
      <xdr:colOff>291465</xdr:colOff>
      <xdr:row>7</xdr:row>
      <xdr:rowOff>242888</xdr:rowOff>
    </xdr:to>
    <xdr:sp macro="" textlink="">
      <xdr:nvSpPr>
        <xdr:cNvPr id="40" name="pblk_18">
          <a:extLst>
            <a:ext uri="{FF2B5EF4-FFF2-40B4-BE49-F238E27FC236}">
              <a16:creationId xmlns:a16="http://schemas.microsoft.com/office/drawing/2014/main" id="{A41F0297-A6C8-36DA-743E-46968AF570E6}"/>
            </a:ext>
          </a:extLst>
        </xdr:cNvPr>
        <xdr:cNvSpPr/>
      </xdr:nvSpPr>
      <xdr:spPr>
        <a:xfrm>
          <a:off x="3010535" y="1722438"/>
          <a:ext cx="119380" cy="139700"/>
        </a:xfrm>
        <a:prstGeom prst="roundRect">
          <a:avLst>
            <a:gd name="adj" fmla="val 26596"/>
          </a:avLst>
        </a:prstGeom>
        <a:solidFill>
          <a:srgbClr val="D9DFEA"/>
        </a:solidFill>
        <a:ln w="1905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5</xdr:col>
      <xdr:colOff>329565</xdr:colOff>
      <xdr:row>7</xdr:row>
      <xdr:rowOff>103188</xdr:rowOff>
    </xdr:from>
    <xdr:to>
      <xdr:col>5</xdr:col>
      <xdr:colOff>448945</xdr:colOff>
      <xdr:row>7</xdr:row>
      <xdr:rowOff>242888</xdr:rowOff>
    </xdr:to>
    <xdr:sp macro="" textlink="">
      <xdr:nvSpPr>
        <xdr:cNvPr id="41" name="pblk_19">
          <a:extLst>
            <a:ext uri="{FF2B5EF4-FFF2-40B4-BE49-F238E27FC236}">
              <a16:creationId xmlns:a16="http://schemas.microsoft.com/office/drawing/2014/main" id="{77442067-4998-BFD3-A39D-23FC889C2EC1}"/>
            </a:ext>
          </a:extLst>
        </xdr:cNvPr>
        <xdr:cNvSpPr/>
      </xdr:nvSpPr>
      <xdr:spPr>
        <a:xfrm>
          <a:off x="3168015" y="1722438"/>
          <a:ext cx="119380" cy="139700"/>
        </a:xfrm>
        <a:prstGeom prst="roundRect">
          <a:avLst>
            <a:gd name="adj" fmla="val 26596"/>
          </a:avLst>
        </a:prstGeom>
        <a:solidFill>
          <a:srgbClr val="D9DFEA"/>
        </a:solidFill>
        <a:ln w="1905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5</xdr:col>
      <xdr:colOff>487045</xdr:colOff>
      <xdr:row>7</xdr:row>
      <xdr:rowOff>103188</xdr:rowOff>
    </xdr:from>
    <xdr:to>
      <xdr:col>6</xdr:col>
      <xdr:colOff>92075</xdr:colOff>
      <xdr:row>7</xdr:row>
      <xdr:rowOff>242888</xdr:rowOff>
    </xdr:to>
    <xdr:sp macro="" textlink="">
      <xdr:nvSpPr>
        <xdr:cNvPr id="42" name="pblk_20">
          <a:extLst>
            <a:ext uri="{FF2B5EF4-FFF2-40B4-BE49-F238E27FC236}">
              <a16:creationId xmlns:a16="http://schemas.microsoft.com/office/drawing/2014/main" id="{29E5FC5F-4932-EE2A-6920-9C3794E33140}"/>
            </a:ext>
          </a:extLst>
        </xdr:cNvPr>
        <xdr:cNvSpPr/>
      </xdr:nvSpPr>
      <xdr:spPr>
        <a:xfrm>
          <a:off x="3325495" y="1722438"/>
          <a:ext cx="119380" cy="139700"/>
        </a:xfrm>
        <a:prstGeom prst="roundRect">
          <a:avLst>
            <a:gd name="adj" fmla="val 26596"/>
          </a:avLst>
        </a:prstGeom>
        <a:solidFill>
          <a:srgbClr val="D9DFEA"/>
        </a:solidFill>
        <a:ln w="1905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6</xdr:col>
      <xdr:colOff>92075</xdr:colOff>
      <xdr:row>7</xdr:row>
      <xdr:rowOff>28575</xdr:rowOff>
    </xdr:from>
    <xdr:to>
      <xdr:col>8</xdr:col>
      <xdr:colOff>85725</xdr:colOff>
      <xdr:row>7</xdr:row>
      <xdr:rowOff>317500</xdr:rowOff>
    </xdr:to>
    <xdr:sp macro="" textlink="Calc!$M$7">
      <xdr:nvSpPr>
        <xdr:cNvPr id="43" name="pPct">
          <a:extLst>
            <a:ext uri="{FF2B5EF4-FFF2-40B4-BE49-F238E27FC236}">
              <a16:creationId xmlns:a16="http://schemas.microsoft.com/office/drawing/2014/main" id="{E7508B18-E573-9B7E-3FD2-BCB98B57838D}"/>
            </a:ext>
          </a:extLst>
        </xdr:cNvPr>
        <xdr:cNvSpPr txBox="1"/>
      </xdr:nvSpPr>
      <xdr:spPr>
        <a:xfrm>
          <a:off x="3444875" y="1647825"/>
          <a:ext cx="508000" cy="288925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/>
        <a:lstStyle/>
        <a:p>
          <a:pPr algn="r"/>
          <a:fld id="{E925E0B2-633D-4733-B2F3-8F4561692BBD}" type="TxLink">
            <a:rPr lang="en-US" sz="1200" b="1" i="0" u="none" strike="noStrike">
              <a:solidFill>
                <a:srgbClr val="1F3864"/>
              </a:solidFill>
              <a:latin typeface="Segoe UI" panose="020B0502040204020203" pitchFamily="34" charset="0"/>
              <a:cs typeface="Segoe UI"/>
            </a:rPr>
            <a:pPr algn="r"/>
            <a:t> </a:t>
          </a:fld>
          <a:endParaRPr lang="en-US" sz="1200" b="1">
            <a:solidFill>
              <a:srgbClr val="1F3864"/>
            </a:solidFill>
            <a:latin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174625</xdr:colOff>
      <xdr:row>17</xdr:row>
      <xdr:rowOff>88900</xdr:rowOff>
    </xdr:from>
    <xdr:to>
      <xdr:col>1</xdr:col>
      <xdr:colOff>82551</xdr:colOff>
      <xdr:row>18</xdr:row>
      <xdr:rowOff>82551</xdr:rowOff>
    </xdr:to>
    <xdr:sp macro="" textlink="">
      <xdr:nvSpPr>
        <xdr:cNvPr id="44" name="tblCorner_1">
          <a:extLst>
            <a:ext uri="{FF2B5EF4-FFF2-40B4-BE49-F238E27FC236}">
              <a16:creationId xmlns:a16="http://schemas.microsoft.com/office/drawing/2014/main" id="{D05A4C44-4A89-D4E8-0F10-52BF4B10910C}"/>
            </a:ext>
          </a:extLst>
        </xdr:cNvPr>
        <xdr:cNvSpPr/>
      </xdr:nvSpPr>
      <xdr:spPr>
        <a:xfrm>
          <a:off x="174625" y="4146550"/>
          <a:ext cx="88901" cy="88901"/>
        </a:xfrm>
        <a:custGeom>
          <a:avLst/>
          <a:gdLst/>
          <a:ahLst/>
          <a:cxnLst/>
          <a:rect l="0" t="0" r="0" b="0"/>
          <a:pathLst>
            <a:path w="88901" h="88901">
              <a:moveTo>
                <a:pt x="0" y="0"/>
              </a:moveTo>
              <a:lnTo>
                <a:pt x="88900" y="0"/>
              </a:lnTo>
              <a:lnTo>
                <a:pt x="88900" y="0"/>
              </a:lnTo>
              <a:lnTo>
                <a:pt x="74993" y="1095"/>
              </a:lnTo>
              <a:lnTo>
                <a:pt x="61428" y="4351"/>
              </a:lnTo>
              <a:lnTo>
                <a:pt x="48540" y="9689"/>
              </a:lnTo>
              <a:lnTo>
                <a:pt x="36646" y="16978"/>
              </a:lnTo>
              <a:lnTo>
                <a:pt x="26038" y="26038"/>
              </a:lnTo>
              <a:lnTo>
                <a:pt x="16978" y="36646"/>
              </a:lnTo>
              <a:lnTo>
                <a:pt x="9689" y="48540"/>
              </a:lnTo>
              <a:lnTo>
                <a:pt x="4351" y="61428"/>
              </a:lnTo>
              <a:lnTo>
                <a:pt x="1095" y="74993"/>
              </a:lnTo>
              <a:lnTo>
                <a:pt x="0" y="88900"/>
              </a:lnTo>
              <a:lnTo>
                <a:pt x="0" y="88900"/>
              </a:lnTo>
              <a:close/>
            </a:path>
          </a:pathLst>
        </a:custGeom>
        <a:solidFill>
          <a:srgbClr val="FFFFFF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12</xdr:col>
      <xdr:colOff>1031874</xdr:colOff>
      <xdr:row>17</xdr:row>
      <xdr:rowOff>88900</xdr:rowOff>
    </xdr:from>
    <xdr:to>
      <xdr:col>13</xdr:col>
      <xdr:colOff>6350</xdr:colOff>
      <xdr:row>18</xdr:row>
      <xdr:rowOff>82551</xdr:rowOff>
    </xdr:to>
    <xdr:sp macro="" textlink="">
      <xdr:nvSpPr>
        <xdr:cNvPr id="45" name="tblCorner_2">
          <a:extLst>
            <a:ext uri="{FF2B5EF4-FFF2-40B4-BE49-F238E27FC236}">
              <a16:creationId xmlns:a16="http://schemas.microsoft.com/office/drawing/2014/main" id="{65FB45B2-4324-6C99-D9EF-FDDFA62D2BDB}"/>
            </a:ext>
          </a:extLst>
        </xdr:cNvPr>
        <xdr:cNvSpPr/>
      </xdr:nvSpPr>
      <xdr:spPr>
        <a:xfrm>
          <a:off x="8023224" y="4146550"/>
          <a:ext cx="88901" cy="88901"/>
        </a:xfrm>
        <a:custGeom>
          <a:avLst/>
          <a:gdLst/>
          <a:ahLst/>
          <a:cxnLst/>
          <a:rect l="0" t="0" r="0" b="0"/>
          <a:pathLst>
            <a:path w="88901" h="88901">
              <a:moveTo>
                <a:pt x="88900" y="0"/>
              </a:moveTo>
              <a:lnTo>
                <a:pt x="0" y="0"/>
              </a:lnTo>
              <a:lnTo>
                <a:pt x="0" y="0"/>
              </a:lnTo>
              <a:lnTo>
                <a:pt x="13907" y="1095"/>
              </a:lnTo>
              <a:lnTo>
                <a:pt x="27472" y="4351"/>
              </a:lnTo>
              <a:lnTo>
                <a:pt x="40360" y="9689"/>
              </a:lnTo>
              <a:lnTo>
                <a:pt x="52254" y="16978"/>
              </a:lnTo>
              <a:lnTo>
                <a:pt x="62862" y="26038"/>
              </a:lnTo>
              <a:lnTo>
                <a:pt x="71922" y="36646"/>
              </a:lnTo>
              <a:lnTo>
                <a:pt x="79211" y="48540"/>
              </a:lnTo>
              <a:lnTo>
                <a:pt x="84549" y="61428"/>
              </a:lnTo>
              <a:lnTo>
                <a:pt x="87805" y="74993"/>
              </a:lnTo>
              <a:lnTo>
                <a:pt x="88900" y="88900"/>
              </a:lnTo>
              <a:lnTo>
                <a:pt x="88900" y="88900"/>
              </a:lnTo>
              <a:close/>
            </a:path>
          </a:pathLst>
        </a:custGeom>
        <a:solidFill>
          <a:srgbClr val="FFFFFF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0</xdr:col>
      <xdr:colOff>174625</xdr:colOff>
      <xdr:row>18</xdr:row>
      <xdr:rowOff>317499</xdr:rowOff>
    </xdr:from>
    <xdr:to>
      <xdr:col>1</xdr:col>
      <xdr:colOff>82551</xdr:colOff>
      <xdr:row>19</xdr:row>
      <xdr:rowOff>6350</xdr:rowOff>
    </xdr:to>
    <xdr:sp macro="" textlink="">
      <xdr:nvSpPr>
        <xdr:cNvPr id="46" name="tblCorner_3">
          <a:extLst>
            <a:ext uri="{FF2B5EF4-FFF2-40B4-BE49-F238E27FC236}">
              <a16:creationId xmlns:a16="http://schemas.microsoft.com/office/drawing/2014/main" id="{0A474853-92F1-5F09-1A70-958F97AC6465}"/>
            </a:ext>
          </a:extLst>
        </xdr:cNvPr>
        <xdr:cNvSpPr/>
      </xdr:nvSpPr>
      <xdr:spPr>
        <a:xfrm>
          <a:off x="174625" y="4470399"/>
          <a:ext cx="88901" cy="88901"/>
        </a:xfrm>
        <a:custGeom>
          <a:avLst/>
          <a:gdLst/>
          <a:ahLst/>
          <a:cxnLst/>
          <a:rect l="0" t="0" r="0" b="0"/>
          <a:pathLst>
            <a:path w="88901" h="88901">
              <a:moveTo>
                <a:pt x="0" y="88900"/>
              </a:moveTo>
              <a:lnTo>
                <a:pt x="88900" y="88900"/>
              </a:lnTo>
              <a:lnTo>
                <a:pt x="88900" y="88900"/>
              </a:lnTo>
              <a:lnTo>
                <a:pt x="74993" y="87805"/>
              </a:lnTo>
              <a:lnTo>
                <a:pt x="61428" y="84549"/>
              </a:lnTo>
              <a:lnTo>
                <a:pt x="48540" y="79211"/>
              </a:lnTo>
              <a:lnTo>
                <a:pt x="36646" y="71922"/>
              </a:lnTo>
              <a:lnTo>
                <a:pt x="26038" y="62862"/>
              </a:lnTo>
              <a:lnTo>
                <a:pt x="16978" y="52254"/>
              </a:lnTo>
              <a:lnTo>
                <a:pt x="9689" y="40360"/>
              </a:lnTo>
              <a:lnTo>
                <a:pt x="4351" y="27472"/>
              </a:lnTo>
              <a:lnTo>
                <a:pt x="1095" y="13907"/>
              </a:lnTo>
              <a:lnTo>
                <a:pt x="0" y="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12</xdr:col>
      <xdr:colOff>1031874</xdr:colOff>
      <xdr:row>18</xdr:row>
      <xdr:rowOff>317499</xdr:rowOff>
    </xdr:from>
    <xdr:to>
      <xdr:col>13</xdr:col>
      <xdr:colOff>6350</xdr:colOff>
      <xdr:row>19</xdr:row>
      <xdr:rowOff>6350</xdr:rowOff>
    </xdr:to>
    <xdr:sp macro="" textlink="">
      <xdr:nvSpPr>
        <xdr:cNvPr id="47" name="tblCorner_4">
          <a:extLst>
            <a:ext uri="{FF2B5EF4-FFF2-40B4-BE49-F238E27FC236}">
              <a16:creationId xmlns:a16="http://schemas.microsoft.com/office/drawing/2014/main" id="{BA996015-ECFA-CB6A-1AD1-535EB40370D8}"/>
            </a:ext>
          </a:extLst>
        </xdr:cNvPr>
        <xdr:cNvSpPr/>
      </xdr:nvSpPr>
      <xdr:spPr>
        <a:xfrm>
          <a:off x="8023224" y="4470399"/>
          <a:ext cx="88901" cy="88901"/>
        </a:xfrm>
        <a:custGeom>
          <a:avLst/>
          <a:gdLst/>
          <a:ahLst/>
          <a:cxnLst/>
          <a:rect l="0" t="0" r="0" b="0"/>
          <a:pathLst>
            <a:path w="88901" h="88901">
              <a:moveTo>
                <a:pt x="88900" y="88900"/>
              </a:moveTo>
              <a:lnTo>
                <a:pt x="0" y="88900"/>
              </a:lnTo>
              <a:lnTo>
                <a:pt x="0" y="88900"/>
              </a:lnTo>
              <a:lnTo>
                <a:pt x="13907" y="87805"/>
              </a:lnTo>
              <a:lnTo>
                <a:pt x="27472" y="84549"/>
              </a:lnTo>
              <a:lnTo>
                <a:pt x="40360" y="79211"/>
              </a:lnTo>
              <a:lnTo>
                <a:pt x="52254" y="71922"/>
              </a:lnTo>
              <a:lnTo>
                <a:pt x="62862" y="62862"/>
              </a:lnTo>
              <a:lnTo>
                <a:pt x="71922" y="52254"/>
              </a:lnTo>
              <a:lnTo>
                <a:pt x="79211" y="40360"/>
              </a:lnTo>
              <a:lnTo>
                <a:pt x="84549" y="27472"/>
              </a:lnTo>
              <a:lnTo>
                <a:pt x="87805" y="13907"/>
              </a:lnTo>
              <a:lnTo>
                <a:pt x="88900" y="0"/>
              </a:lnTo>
              <a:lnTo>
                <a:pt x="88900" y="0"/>
              </a:lnTo>
              <a:close/>
            </a:path>
          </a:pathLst>
        </a:custGeom>
        <a:solidFill>
          <a:srgbClr val="FFFFFF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1</xdr:col>
      <xdr:colOff>0</xdr:colOff>
      <xdr:row>18</xdr:row>
      <xdr:rowOff>0</xdr:rowOff>
    </xdr:from>
    <xdr:to>
      <xdr:col>13</xdr:col>
      <xdr:colOff>0</xdr:colOff>
      <xdr:row>19</xdr:row>
      <xdr:rowOff>0</xdr:rowOff>
    </xdr:to>
    <xdr:sp macro="" textlink="">
      <xdr:nvSpPr>
        <xdr:cNvPr id="48" name="tblFrame">
          <a:extLst>
            <a:ext uri="{FF2B5EF4-FFF2-40B4-BE49-F238E27FC236}">
              <a16:creationId xmlns:a16="http://schemas.microsoft.com/office/drawing/2014/main" id="{5D582533-55F8-DD8F-1666-DE361B24D770}"/>
            </a:ext>
          </a:extLst>
        </xdr:cNvPr>
        <xdr:cNvSpPr/>
      </xdr:nvSpPr>
      <xdr:spPr>
        <a:xfrm>
          <a:off x="180975" y="4152900"/>
          <a:ext cx="7924800" cy="400050"/>
        </a:xfrm>
        <a:prstGeom prst="roundRect">
          <a:avLst>
            <a:gd name="adj" fmla="val 22222"/>
          </a:avLst>
        </a:prstGeom>
        <a:noFill/>
        <a:ln w="12700" cap="flat" cmpd="sng" algn="ctr">
          <a:solidFill>
            <a:srgbClr val="BFBFB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76200</xdr:colOff>
      <xdr:row>1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49" name="btnPicture">
          <a:hlinkClick xmlns:r="http://schemas.openxmlformats.org/officeDocument/2006/relationships" r:id="rId2" tooltip="Opens the report picture, ready to copy"/>
          <a:extLst>
            <a:ext uri="{FF2B5EF4-FFF2-40B4-BE49-F238E27FC236}">
              <a16:creationId xmlns:a16="http://schemas.microsoft.com/office/drawing/2014/main" id="{71C86F92-DD4D-72A5-FE9F-0C4959F22682}"/>
            </a:ext>
          </a:extLst>
        </xdr:cNvPr>
        <xdr:cNvSpPr/>
      </xdr:nvSpPr>
      <xdr:spPr>
        <a:xfrm>
          <a:off x="8362950" y="95250"/>
          <a:ext cx="3990975" cy="400050"/>
        </a:xfrm>
        <a:prstGeom prst="roundRect">
          <a:avLst>
            <a:gd name="adj" fmla="val 20000"/>
          </a:avLst>
        </a:prstGeom>
        <a:solidFill>
          <a:srgbClr val="1F3A64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rgbClr val="FFFFFF"/>
              </a:solidFill>
              <a:latin typeface="Segoe UI" panose="020B0502040204020203" pitchFamily="34" charset="0"/>
            </a:rPr>
            <a:t>COPY PICTURE FOR WHATSAPP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</xdr:row>
          <xdr:rowOff>0</xdr:rowOff>
        </xdr:from>
        <xdr:to>
          <xdr:col>14</xdr:col>
          <xdr:colOff>361950</xdr:colOff>
          <xdr:row>28</xdr:row>
          <xdr:rowOff>19050</xdr:rowOff>
        </xdr:to>
        <xdr:pic>
          <xdr:nvPicPr>
            <xdr:cNvPr id="3" name="ReportPicture">
              <a:extLst>
                <a:ext uri="{FF2B5EF4-FFF2-40B4-BE49-F238E27FC236}">
                  <a16:creationId xmlns:a16="http://schemas.microsoft.com/office/drawing/2014/main" id="{F56896B9-A0CE-CB9F-FE25-FBC9103D1B7E}"/>
                </a:ext>
              </a:extLst>
            </xdr:cNvPr>
            <xdr:cNvPicPr>
              <a:picLocks/>
              <a:extLst>
                <a:ext uri="{84589F7E-364E-4C9E-8A38-B11213B215E9}">
                  <a14:cameraTool cellRange="PicArea" spid="_x0000_s2049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180975" y="733425"/>
              <a:ext cx="8286750" cy="5048250"/>
            </a:xfrm>
            <a:prstGeom prst="rect">
              <a:avLst/>
            </a:prstGeom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23B29-6EC4-44B3-BE92-D97340D4F4B3}">
  <sheetPr codeName="Sheet1"/>
  <dimension ref="A1:Q69"/>
  <sheetViews>
    <sheetView showGridLines="0" tabSelected="1" zoomScaleNormal="100" workbookViewId="0"/>
  </sheetViews>
  <sheetFormatPr defaultRowHeight="14.25" x14ac:dyDescent="0.25"/>
  <cols>
    <col min="1" max="1" width="2.7109375" style="1" customWidth="1"/>
    <col min="2" max="2" width="16.7109375" style="1" customWidth="1"/>
    <col min="3" max="7" width="7.7109375" style="1" customWidth="1"/>
    <col min="8" max="8" width="8.7109375" style="1" hidden="1" customWidth="1"/>
    <col min="9" max="10" width="9.7109375" style="1" customWidth="1"/>
    <col min="11" max="11" width="10.7109375" style="1" customWidth="1"/>
    <col min="12" max="13" width="16.7109375" style="1" customWidth="1"/>
    <col min="14" max="14" width="2.7109375" style="1" customWidth="1"/>
    <col min="15" max="15" width="30.7109375" style="1" customWidth="1"/>
    <col min="16" max="16" width="30.28515625" style="1" bestFit="1" customWidth="1"/>
    <col min="17" max="17" width="10.7109375" style="1" customWidth="1"/>
    <col min="18" max="16384" width="9.140625" style="1"/>
  </cols>
  <sheetData>
    <row r="1" spans="1:16" ht="8.1" customHeight="1" x14ac:dyDescent="0.25">
      <c r="A1" s="16"/>
    </row>
    <row r="2" spans="1:16" ht="32.1" customHeight="1" x14ac:dyDescent="0.25">
      <c r="A2" s="16"/>
      <c r="B2" s="35" t="str">
        <f>IF($P$9="","POURING REPORT",$P$9)</f>
        <v>POURING REPORT</v>
      </c>
      <c r="C2" s="35"/>
      <c r="D2" s="35"/>
      <c r="E2" s="35"/>
      <c r="F2" s="35"/>
      <c r="G2" s="35"/>
      <c r="H2" s="35"/>
      <c r="I2" s="35"/>
      <c r="J2" s="36" t="str">
        <f>IF($P$10="","",$P$10)</f>
        <v/>
      </c>
      <c r="K2" s="36"/>
      <c r="L2" s="36"/>
      <c r="M2" s="36"/>
    </row>
    <row r="3" spans="1:16" ht="20.100000000000001" customHeight="1" x14ac:dyDescent="0.25">
      <c r="A3" s="16"/>
      <c r="B3" s="37" t="str">
        <f>IF($P$11="","","Total quantity  Q = "&amp;TEXT($P$11,"#,##0")&amp;" m³")</f>
        <v/>
      </c>
      <c r="C3" s="37"/>
      <c r="D3" s="37"/>
      <c r="E3" s="37"/>
      <c r="F3" s="37"/>
      <c r="G3" s="37"/>
      <c r="H3" s="37"/>
      <c r="I3" s="37"/>
      <c r="J3" s="38"/>
      <c r="K3" s="38"/>
      <c r="L3" s="38"/>
      <c r="M3" s="38"/>
    </row>
    <row r="4" spans="1:16" ht="8.1" customHeight="1" x14ac:dyDescent="0.25">
      <c r="A4" s="16"/>
    </row>
    <row r="5" spans="1:16" ht="15.95" customHeight="1" x14ac:dyDescent="0.25">
      <c r="A5" s="16"/>
      <c r="B5" s="32" t="s">
        <v>32</v>
      </c>
      <c r="C5" s="32"/>
      <c r="D5" s="32" t="s">
        <v>33</v>
      </c>
      <c r="E5" s="32"/>
      <c r="F5" s="32"/>
      <c r="G5" s="32" t="s">
        <v>34</v>
      </c>
      <c r="H5" s="32"/>
      <c r="I5" s="32"/>
      <c r="J5" s="32"/>
      <c r="K5" s="32"/>
      <c r="L5" s="32" t="s">
        <v>35</v>
      </c>
      <c r="M5" s="32"/>
    </row>
    <row r="6" spans="1:16" ht="30" customHeight="1" x14ac:dyDescent="0.25">
      <c r="A6" s="16"/>
      <c r="B6" s="39" cm="1">
        <f t="array" ref="B6">IF(nHours&gt;0,INDEX(Calc!$K$2:$K$49,nHours),ReqInit)</f>
        <v>0</v>
      </c>
      <c r="C6" s="39"/>
      <c r="D6" s="40" t="str">
        <f>IF(Calc!$M$3-Calc!$M$1&gt;=30,SUM(Messages!$E:$E)/((Calc!$M$3-Calc!$M$1)/60),"")</f>
        <v/>
      </c>
      <c r="E6" s="40"/>
      <c r="F6" s="40"/>
      <c r="G6" s="33">
        <f>ROUND(SUM(Messages!$E:$E),1)</f>
        <v>0</v>
      </c>
      <c r="H6" s="33"/>
      <c r="I6" s="33"/>
      <c r="J6" s="33"/>
      <c r="K6" s="33"/>
      <c r="L6" s="33">
        <f>ROUND(SUM(Messages!$J:$J)+N($P$14),1)</f>
        <v>0</v>
      </c>
      <c r="M6" s="33"/>
    </row>
    <row r="7" spans="1:16" ht="15.95" customHeight="1" x14ac:dyDescent="0.25">
      <c r="A7" s="16"/>
      <c r="B7" s="32" t="s">
        <v>83</v>
      </c>
      <c r="C7" s="32"/>
      <c r="D7" s="32"/>
      <c r="E7" s="32"/>
      <c r="F7" s="32"/>
      <c r="G7" s="32" t="s">
        <v>36</v>
      </c>
      <c r="H7" s="32"/>
      <c r="I7" s="32"/>
      <c r="J7" s="32"/>
      <c r="K7" s="32"/>
      <c r="L7" s="32" t="s">
        <v>84</v>
      </c>
      <c r="M7" s="32"/>
    </row>
    <row r="8" spans="1:16" ht="30" customHeight="1" x14ac:dyDescent="0.25">
      <c r="A8" s="16"/>
      <c r="B8" s="43" t="str">
        <f>IF(N($P$11)&lt;=0,"",_xlfn.LET(_xlpm.p,($G$6-$L$6)/$P$11,_xlpm.n,ROUND(MAX(0,MIN(1,_xlpm.p))*20,0),REPT("■",_xlpm.n)&amp;REPT("□",20-_xlpm.n)&amp;"   "&amp;TEXT(_xlpm.p,"0%")))</f>
        <v/>
      </c>
      <c r="C8" s="43"/>
      <c r="D8" s="43"/>
      <c r="E8" s="43"/>
      <c r="F8" s="43"/>
      <c r="G8" s="33" t="str">
        <f>IF($P$11="","",ROUND($P$11-$G$6+$L$6,1))</f>
        <v/>
      </c>
      <c r="H8" s="33"/>
      <c r="I8" s="33"/>
      <c r="J8" s="33"/>
      <c r="K8" s="33"/>
      <c r="L8" s="44" t="str">
        <f ca="1">IF(OR($G$8="",NOT(ISNUMBER($D$6))),"—",IF($G$8&lt;=0,"Done",IF($D$6&lt;=0,"—",_xlfn.LET(_xlpm.f,Calc!$M$3+$G$8/$D$6*60,_xlpm.dt,IF(ISNUMBER($P$10),INT($P$10),TODAY())+INT(_xlpm.f/1440)-INT(Calc!$M$1/1440),IF(_xlpm.dt=TODAY(),"Today",IF(_xlpm.dt=TODAY()+1,"Tomorrow",TEXT(_xlpm.dt,"[$-409]ddd d mmm")))&amp;" "&amp;TEXT(MOD(_xlpm.f,1440)/1440,"[$-409]h:mm AM/PM")))))</f>
        <v>—</v>
      </c>
      <c r="M8" s="44"/>
      <c r="O8" s="20" t="s">
        <v>45</v>
      </c>
      <c r="P8" s="20"/>
    </row>
    <row r="9" spans="1:16" ht="18" customHeight="1" x14ac:dyDescent="0.25">
      <c r="A9" s="16"/>
      <c r="O9" s="1" t="s">
        <v>46</v>
      </c>
      <c r="P9" s="21"/>
    </row>
    <row r="10" spans="1:16" ht="18" customHeight="1" x14ac:dyDescent="0.25">
      <c r="A10" s="16"/>
      <c r="O10" s="1" t="s">
        <v>47</v>
      </c>
      <c r="P10" s="22"/>
    </row>
    <row r="11" spans="1:16" ht="18" customHeight="1" x14ac:dyDescent="0.25">
      <c r="A11" s="16"/>
      <c r="O11" s="1" t="s">
        <v>48</v>
      </c>
      <c r="P11" s="21"/>
    </row>
    <row r="12" spans="1:16" ht="18" customHeight="1" x14ac:dyDescent="0.25">
      <c r="A12" s="16"/>
      <c r="O12" s="1" t="s">
        <v>49</v>
      </c>
      <c r="P12" s="21"/>
    </row>
    <row r="13" spans="1:16" ht="18" customHeight="1" x14ac:dyDescent="0.25">
      <c r="A13" s="16"/>
      <c r="O13" s="1" t="s">
        <v>50</v>
      </c>
      <c r="P13" s="23"/>
    </row>
    <row r="14" spans="1:16" ht="18" customHeight="1" x14ac:dyDescent="0.25">
      <c r="A14" s="16"/>
      <c r="O14" s="1" t="s">
        <v>51</v>
      </c>
      <c r="P14" s="21"/>
    </row>
    <row r="15" spans="1:16" ht="18" customHeight="1" x14ac:dyDescent="0.25">
      <c r="A15" s="16"/>
    </row>
    <row r="16" spans="1:16" ht="18" customHeight="1" x14ac:dyDescent="0.25">
      <c r="A16" s="16"/>
      <c r="O16" s="1" t="s">
        <v>52</v>
      </c>
      <c r="P16" s="24">
        <f>COUNTIF(Messages!$G:$G,"⚠*")</f>
        <v>0</v>
      </c>
    </row>
    <row r="17" spans="1:17" ht="18" customHeight="1" x14ac:dyDescent="0.3">
      <c r="A17" s="16"/>
      <c r="O17" s="1" t="s">
        <v>82</v>
      </c>
      <c r="P17" s="29">
        <f>COUNT(Messages!$K:$K)</f>
        <v>0</v>
      </c>
    </row>
    <row r="18" spans="1:17" ht="8.1" customHeight="1" x14ac:dyDescent="0.25">
      <c r="A18" s="16"/>
    </row>
    <row r="19" spans="1:17" ht="32.1" customHeight="1" x14ac:dyDescent="0.25">
      <c r="A19" s="16"/>
      <c r="B19" s="17" t="s">
        <v>2</v>
      </c>
      <c r="C19" s="18" t="s">
        <v>38</v>
      </c>
      <c r="D19" s="18" t="s">
        <v>39</v>
      </c>
      <c r="E19" s="18" t="s">
        <v>40</v>
      </c>
      <c r="F19" s="18" t="s">
        <v>41</v>
      </c>
      <c r="G19" s="18" t="s">
        <v>42</v>
      </c>
      <c r="H19" s="18" t="s">
        <v>37</v>
      </c>
      <c r="I19" s="18" t="s">
        <v>43</v>
      </c>
      <c r="J19" s="41" t="s">
        <v>44</v>
      </c>
      <c r="K19" s="42"/>
      <c r="L19" s="42"/>
      <c r="M19" s="42"/>
      <c r="O19" s="25" t="s">
        <v>53</v>
      </c>
      <c r="P19" s="26" t="s">
        <v>54</v>
      </c>
      <c r="Q19" s="30" t="s">
        <v>37</v>
      </c>
    </row>
    <row r="20" spans="1:17" ht="20.100000000000001" customHeight="1" x14ac:dyDescent="0.25">
      <c r="A20" s="16">
        <f t="shared" ref="A20:A51" si="0">IF(ROW()-19&lt;=nHours,1,IF(nHours=0,0,IF(ROW()-19=nHours+1,2,0)))</f>
        <v>0</v>
      </c>
      <c r="B20" s="19" t="str">
        <f>IF($A20=1,TEXT((Calc!$C2-60)/1440,"hh:mm")&amp;" – "&amp;TEXT(Calc!$C2/1440,"hh:mm"),IF($A20=2,"TOTAL",""))</f>
        <v/>
      </c>
      <c r="C20" s="27" t="str">
        <f>IF($A20=1,_xlfn.LET(_xlpm.s,SUMIFS(Messages!$E:$E,Messages!$D:$D,C$19,Messages!$K:$K,"&gt;="&amp;Calc!$B2,Messages!$K:$K,"&lt;"&amp;Calc!$C2),IF(_xlpm.s=0,"",_xlpm.s)),IF($A20=2,SUMIFS(Messages!$E:$E,Messages!$D:$D,C$19),IF($A20=3,IFERROR(TEXT(SUMIFS(Messages!$E:$E,Messages!$D:$D,C$19)/SUM(Messages!$E:$E),"0%"),""),"")))</f>
        <v/>
      </c>
      <c r="D20" s="27" t="str">
        <f>IF($A20=1,_xlfn.LET(_xlpm.s,SUMIFS(Messages!$E:$E,Messages!$D:$D,D$19,Messages!$K:$K,"&gt;="&amp;Calc!$B2,Messages!$K:$K,"&lt;"&amp;Calc!$C2),IF(_xlpm.s=0,"",_xlpm.s)),IF($A20=2,SUMIFS(Messages!$E:$E,Messages!$D:$D,D$19),IF($A20=3,IFERROR(TEXT(SUMIFS(Messages!$E:$E,Messages!$D:$D,D$19)/SUM(Messages!$E:$E),"0%"),""),"")))</f>
        <v/>
      </c>
      <c r="E20" s="27" t="str">
        <f>IF($A20=1,_xlfn.LET(_xlpm.s,SUMIFS(Messages!$E:$E,Messages!$D:$D,E$19,Messages!$K:$K,"&gt;="&amp;Calc!$B2,Messages!$K:$K,"&lt;"&amp;Calc!$C2),IF(_xlpm.s=0,"",_xlpm.s)),IF($A20=2,SUMIFS(Messages!$E:$E,Messages!$D:$D,E$19),IF($A20=3,IFERROR(TEXT(SUMIFS(Messages!$E:$E,Messages!$D:$D,E$19)/SUM(Messages!$E:$E),"0%"),""),"")))</f>
        <v/>
      </c>
      <c r="F20" s="27" t="str">
        <f>IF($A20=1,_xlfn.LET(_xlpm.s,SUMIFS(Messages!$E:$E,Messages!$D:$D,F$19,Messages!$K:$K,"&gt;="&amp;Calc!$B2,Messages!$K:$K,"&lt;"&amp;Calc!$C2),IF(_xlpm.s=0,"",_xlpm.s)),IF($A20=2,SUMIFS(Messages!$E:$E,Messages!$D:$D,F$19),IF($A20=3,IFERROR(TEXT(SUMIFS(Messages!$E:$E,Messages!$D:$D,F$19)/SUM(Messages!$E:$E),"0%"),""),"")))</f>
        <v/>
      </c>
      <c r="G20" s="27" t="str">
        <f>IF($A20=1,_xlfn.LET(_xlpm.s,SUMIFS(Messages!$E:$E,Messages!$D:$D,G$19,Messages!$K:$K,"&gt;="&amp;Calc!$B2,Messages!$K:$K,"&lt;"&amp;Calc!$C2),IF(_xlpm.s=0,"",_xlpm.s)),IF($A20=2,SUMIFS(Messages!$E:$E,Messages!$D:$D,G$19),IF($A20=3,IFERROR(TEXT(SUMIFS(Messages!$E:$E,Messages!$D:$D,G$19)/SUM(Messages!$E:$E),"0%"),""),"")))</f>
        <v/>
      </c>
      <c r="H20" s="27" t="str">
        <f>IF($A20=1,COUNTIFS(Messages!$K:$K,"&gt;="&amp;Calc!$B2,Messages!$K:$K,"&lt;"&amp;Calc!$C2),IF($A20=2,COUNT(Messages!$K:$K),""))</f>
        <v/>
      </c>
      <c r="I20" s="28" t="str">
        <f>IF($A20=1,SUMIFS(Messages!$E:$E,Messages!$K:$K,"&gt;="&amp;Calc!$B2,Messages!$K:$K,"&lt;"&amp;Calc!$C2),IF($A20=2,SUM(Messages!$E:$E),""))</f>
        <v/>
      </c>
      <c r="J20" s="34" t="str">
        <f>IF(AND($A20=1,$O20&lt;&gt;""),IF($O20&lt;&gt;IF(ROW()=20,ReqInit,Calc!$K1),"Client asked for "&amp;$O20&amp;" m³/h.",""),"")</f>
        <v/>
      </c>
      <c r="K20" s="34"/>
      <c r="L20" s="34"/>
      <c r="M20" s="34"/>
      <c r="O20" s="24"/>
      <c r="Q20" s="31" t="str">
        <f t="shared" ref="Q20:Q51" si="1">IF($A20&gt;0,$H20,"")</f>
        <v/>
      </c>
    </row>
    <row r="21" spans="1:17" ht="20.100000000000001" customHeight="1" x14ac:dyDescent="0.25">
      <c r="A21" s="16">
        <f t="shared" si="0"/>
        <v>0</v>
      </c>
      <c r="B21" s="19" t="str">
        <f>IF($A21=1,TEXT((Calc!$C3-60)/1440,"hh:mm")&amp;" – "&amp;TEXT(Calc!$C3/1440,"hh:mm"),IF($A21=2,"TOTAL",""))</f>
        <v/>
      </c>
      <c r="C21" s="27" t="str">
        <f>IF($A21=1,_xlfn.LET(_xlpm.s,SUMIFS(Messages!$E:$E,Messages!$D:$D,C$19,Messages!$K:$K,"&gt;="&amp;Calc!$B3,Messages!$K:$K,"&lt;"&amp;Calc!$C3),IF(_xlpm.s=0,"",_xlpm.s)),IF($A21=2,SUMIFS(Messages!$E:$E,Messages!$D:$D,C$19),IF($A21=3,IFERROR(TEXT(SUMIFS(Messages!$E:$E,Messages!$D:$D,C$19)/SUM(Messages!$E:$E),"0%"),""),"")))</f>
        <v/>
      </c>
      <c r="D21" s="27" t="str">
        <f>IF($A21=1,_xlfn.LET(_xlpm.s,SUMIFS(Messages!$E:$E,Messages!$D:$D,D$19,Messages!$K:$K,"&gt;="&amp;Calc!$B3,Messages!$K:$K,"&lt;"&amp;Calc!$C3),IF(_xlpm.s=0,"",_xlpm.s)),IF($A21=2,SUMIFS(Messages!$E:$E,Messages!$D:$D,D$19),IF($A21=3,IFERROR(TEXT(SUMIFS(Messages!$E:$E,Messages!$D:$D,D$19)/SUM(Messages!$E:$E),"0%"),""),"")))</f>
        <v/>
      </c>
      <c r="E21" s="27" t="str">
        <f>IF($A21=1,_xlfn.LET(_xlpm.s,SUMIFS(Messages!$E:$E,Messages!$D:$D,E$19,Messages!$K:$K,"&gt;="&amp;Calc!$B3,Messages!$K:$K,"&lt;"&amp;Calc!$C3),IF(_xlpm.s=0,"",_xlpm.s)),IF($A21=2,SUMIFS(Messages!$E:$E,Messages!$D:$D,E$19),IF($A21=3,IFERROR(TEXT(SUMIFS(Messages!$E:$E,Messages!$D:$D,E$19)/SUM(Messages!$E:$E),"0%"),""),"")))</f>
        <v/>
      </c>
      <c r="F21" s="27" t="str">
        <f>IF($A21=1,_xlfn.LET(_xlpm.s,SUMIFS(Messages!$E:$E,Messages!$D:$D,F$19,Messages!$K:$K,"&gt;="&amp;Calc!$B3,Messages!$K:$K,"&lt;"&amp;Calc!$C3),IF(_xlpm.s=0,"",_xlpm.s)),IF($A21=2,SUMIFS(Messages!$E:$E,Messages!$D:$D,F$19),IF($A21=3,IFERROR(TEXT(SUMIFS(Messages!$E:$E,Messages!$D:$D,F$19)/SUM(Messages!$E:$E),"0%"),""),"")))</f>
        <v/>
      </c>
      <c r="G21" s="27" t="str">
        <f>IF($A21=1,_xlfn.LET(_xlpm.s,SUMIFS(Messages!$E:$E,Messages!$D:$D,G$19,Messages!$K:$K,"&gt;="&amp;Calc!$B3,Messages!$K:$K,"&lt;"&amp;Calc!$C3),IF(_xlpm.s=0,"",_xlpm.s)),IF($A21=2,SUMIFS(Messages!$E:$E,Messages!$D:$D,G$19),IF($A21=3,IFERROR(TEXT(SUMIFS(Messages!$E:$E,Messages!$D:$D,G$19)/SUM(Messages!$E:$E),"0%"),""),"")))</f>
        <v/>
      </c>
      <c r="H21" s="27" t="str">
        <f>IF($A21=1,COUNTIFS(Messages!$K:$K,"&gt;="&amp;Calc!$B3,Messages!$K:$K,"&lt;"&amp;Calc!$C3),IF($A21=2,COUNT(Messages!$K:$K),""))</f>
        <v/>
      </c>
      <c r="I21" s="28" t="str">
        <f>IF($A21=1,SUMIFS(Messages!$E:$E,Messages!$K:$K,"&gt;="&amp;Calc!$B3,Messages!$K:$K,"&lt;"&amp;Calc!$C3),IF($A21=2,SUM(Messages!$E:$E),""))</f>
        <v/>
      </c>
      <c r="J21" s="34" t="str">
        <f>IF(AND($A21=1,$O21&lt;&gt;""),IF($O21&lt;&gt;IF(ROW()=20,ReqInit,Calc!$K2),"Client asked for "&amp;$O21&amp;" m³/h.",""),"")</f>
        <v/>
      </c>
      <c r="K21" s="34"/>
      <c r="L21" s="34"/>
      <c r="M21" s="34"/>
      <c r="O21" s="24"/>
      <c r="Q21" s="31" t="str">
        <f t="shared" si="1"/>
        <v/>
      </c>
    </row>
    <row r="22" spans="1:17" ht="20.100000000000001" customHeight="1" x14ac:dyDescent="0.25">
      <c r="A22" s="16">
        <f t="shared" si="0"/>
        <v>0</v>
      </c>
      <c r="B22" s="19" t="str">
        <f>IF($A22=1,TEXT((Calc!$C4-60)/1440,"hh:mm")&amp;" – "&amp;TEXT(Calc!$C4/1440,"hh:mm"),IF($A22=2,"TOTAL",""))</f>
        <v/>
      </c>
      <c r="C22" s="27" t="str">
        <f>IF($A22=1,_xlfn.LET(_xlpm.s,SUMIFS(Messages!$E:$E,Messages!$D:$D,C$19,Messages!$K:$K,"&gt;="&amp;Calc!$B4,Messages!$K:$K,"&lt;"&amp;Calc!$C4),IF(_xlpm.s=0,"",_xlpm.s)),IF($A22=2,SUMIFS(Messages!$E:$E,Messages!$D:$D,C$19),IF($A22=3,IFERROR(TEXT(SUMIFS(Messages!$E:$E,Messages!$D:$D,C$19)/SUM(Messages!$E:$E),"0%"),""),"")))</f>
        <v/>
      </c>
      <c r="D22" s="27" t="str">
        <f>IF($A22=1,_xlfn.LET(_xlpm.s,SUMIFS(Messages!$E:$E,Messages!$D:$D,D$19,Messages!$K:$K,"&gt;="&amp;Calc!$B4,Messages!$K:$K,"&lt;"&amp;Calc!$C4),IF(_xlpm.s=0,"",_xlpm.s)),IF($A22=2,SUMIFS(Messages!$E:$E,Messages!$D:$D,D$19),IF($A22=3,IFERROR(TEXT(SUMIFS(Messages!$E:$E,Messages!$D:$D,D$19)/SUM(Messages!$E:$E),"0%"),""),"")))</f>
        <v/>
      </c>
      <c r="E22" s="27" t="str">
        <f>IF($A22=1,_xlfn.LET(_xlpm.s,SUMIFS(Messages!$E:$E,Messages!$D:$D,E$19,Messages!$K:$K,"&gt;="&amp;Calc!$B4,Messages!$K:$K,"&lt;"&amp;Calc!$C4),IF(_xlpm.s=0,"",_xlpm.s)),IF($A22=2,SUMIFS(Messages!$E:$E,Messages!$D:$D,E$19),IF($A22=3,IFERROR(TEXT(SUMIFS(Messages!$E:$E,Messages!$D:$D,E$19)/SUM(Messages!$E:$E),"0%"),""),"")))</f>
        <v/>
      </c>
      <c r="F22" s="27" t="str">
        <f>IF($A22=1,_xlfn.LET(_xlpm.s,SUMIFS(Messages!$E:$E,Messages!$D:$D,F$19,Messages!$K:$K,"&gt;="&amp;Calc!$B4,Messages!$K:$K,"&lt;"&amp;Calc!$C4),IF(_xlpm.s=0,"",_xlpm.s)),IF($A22=2,SUMIFS(Messages!$E:$E,Messages!$D:$D,F$19),IF($A22=3,IFERROR(TEXT(SUMIFS(Messages!$E:$E,Messages!$D:$D,F$19)/SUM(Messages!$E:$E),"0%"),""),"")))</f>
        <v/>
      </c>
      <c r="G22" s="27" t="str">
        <f>IF($A22=1,_xlfn.LET(_xlpm.s,SUMIFS(Messages!$E:$E,Messages!$D:$D,G$19,Messages!$K:$K,"&gt;="&amp;Calc!$B4,Messages!$K:$K,"&lt;"&amp;Calc!$C4),IF(_xlpm.s=0,"",_xlpm.s)),IF($A22=2,SUMIFS(Messages!$E:$E,Messages!$D:$D,G$19),IF($A22=3,IFERROR(TEXT(SUMIFS(Messages!$E:$E,Messages!$D:$D,G$19)/SUM(Messages!$E:$E),"0%"),""),"")))</f>
        <v/>
      </c>
      <c r="H22" s="27" t="str">
        <f>IF($A22=1,COUNTIFS(Messages!$K:$K,"&gt;="&amp;Calc!$B4,Messages!$K:$K,"&lt;"&amp;Calc!$C4),IF($A22=2,COUNT(Messages!$K:$K),""))</f>
        <v/>
      </c>
      <c r="I22" s="28" t="str">
        <f>IF($A22=1,SUMIFS(Messages!$E:$E,Messages!$K:$K,"&gt;="&amp;Calc!$B4,Messages!$K:$K,"&lt;"&amp;Calc!$C4),IF($A22=2,SUM(Messages!$E:$E),""))</f>
        <v/>
      </c>
      <c r="J22" s="34" t="str">
        <f>IF(AND($A22=1,$O22&lt;&gt;""),IF($O22&lt;&gt;IF(ROW()=20,ReqInit,Calc!$K3),"Client asked for "&amp;$O22&amp;" m³/h.",""),"")</f>
        <v/>
      </c>
      <c r="K22" s="34"/>
      <c r="L22" s="34"/>
      <c r="M22" s="34"/>
      <c r="O22" s="24"/>
      <c r="Q22" s="31" t="str">
        <f t="shared" si="1"/>
        <v/>
      </c>
    </row>
    <row r="23" spans="1:17" ht="20.100000000000001" customHeight="1" x14ac:dyDescent="0.25">
      <c r="A23" s="16">
        <f t="shared" si="0"/>
        <v>0</v>
      </c>
      <c r="B23" s="19" t="str">
        <f>IF($A23=1,TEXT((Calc!$C5-60)/1440,"hh:mm")&amp;" – "&amp;TEXT(Calc!$C5/1440,"hh:mm"),IF($A23=2,"TOTAL",""))</f>
        <v/>
      </c>
      <c r="C23" s="27" t="str">
        <f>IF($A23=1,_xlfn.LET(_xlpm.s,SUMIFS(Messages!$E:$E,Messages!$D:$D,C$19,Messages!$K:$K,"&gt;="&amp;Calc!$B5,Messages!$K:$K,"&lt;"&amp;Calc!$C5),IF(_xlpm.s=0,"",_xlpm.s)),IF($A23=2,SUMIFS(Messages!$E:$E,Messages!$D:$D,C$19),IF($A23=3,IFERROR(TEXT(SUMIFS(Messages!$E:$E,Messages!$D:$D,C$19)/SUM(Messages!$E:$E),"0%"),""),"")))</f>
        <v/>
      </c>
      <c r="D23" s="27" t="str">
        <f>IF($A23=1,_xlfn.LET(_xlpm.s,SUMIFS(Messages!$E:$E,Messages!$D:$D,D$19,Messages!$K:$K,"&gt;="&amp;Calc!$B5,Messages!$K:$K,"&lt;"&amp;Calc!$C5),IF(_xlpm.s=0,"",_xlpm.s)),IF($A23=2,SUMIFS(Messages!$E:$E,Messages!$D:$D,D$19),IF($A23=3,IFERROR(TEXT(SUMIFS(Messages!$E:$E,Messages!$D:$D,D$19)/SUM(Messages!$E:$E),"0%"),""),"")))</f>
        <v/>
      </c>
      <c r="E23" s="27" t="str">
        <f>IF($A23=1,_xlfn.LET(_xlpm.s,SUMIFS(Messages!$E:$E,Messages!$D:$D,E$19,Messages!$K:$K,"&gt;="&amp;Calc!$B5,Messages!$K:$K,"&lt;"&amp;Calc!$C5),IF(_xlpm.s=0,"",_xlpm.s)),IF($A23=2,SUMIFS(Messages!$E:$E,Messages!$D:$D,E$19),IF($A23=3,IFERROR(TEXT(SUMIFS(Messages!$E:$E,Messages!$D:$D,E$19)/SUM(Messages!$E:$E),"0%"),""),"")))</f>
        <v/>
      </c>
      <c r="F23" s="27" t="str">
        <f>IF($A23=1,_xlfn.LET(_xlpm.s,SUMIFS(Messages!$E:$E,Messages!$D:$D,F$19,Messages!$K:$K,"&gt;="&amp;Calc!$B5,Messages!$K:$K,"&lt;"&amp;Calc!$C5),IF(_xlpm.s=0,"",_xlpm.s)),IF($A23=2,SUMIFS(Messages!$E:$E,Messages!$D:$D,F$19),IF($A23=3,IFERROR(TEXT(SUMIFS(Messages!$E:$E,Messages!$D:$D,F$19)/SUM(Messages!$E:$E),"0%"),""),"")))</f>
        <v/>
      </c>
      <c r="G23" s="27" t="str">
        <f>IF($A23=1,_xlfn.LET(_xlpm.s,SUMIFS(Messages!$E:$E,Messages!$D:$D,G$19,Messages!$K:$K,"&gt;="&amp;Calc!$B5,Messages!$K:$K,"&lt;"&amp;Calc!$C5),IF(_xlpm.s=0,"",_xlpm.s)),IF($A23=2,SUMIFS(Messages!$E:$E,Messages!$D:$D,G$19),IF($A23=3,IFERROR(TEXT(SUMIFS(Messages!$E:$E,Messages!$D:$D,G$19)/SUM(Messages!$E:$E),"0%"),""),"")))</f>
        <v/>
      </c>
      <c r="H23" s="27" t="str">
        <f>IF($A23=1,COUNTIFS(Messages!$K:$K,"&gt;="&amp;Calc!$B5,Messages!$K:$K,"&lt;"&amp;Calc!$C5),IF($A23=2,COUNT(Messages!$K:$K),""))</f>
        <v/>
      </c>
      <c r="I23" s="28" t="str">
        <f>IF($A23=1,SUMIFS(Messages!$E:$E,Messages!$K:$K,"&gt;="&amp;Calc!$B5,Messages!$K:$K,"&lt;"&amp;Calc!$C5),IF($A23=2,SUM(Messages!$E:$E),""))</f>
        <v/>
      </c>
      <c r="J23" s="34" t="str">
        <f>IF(AND($A23=1,$O23&lt;&gt;""),IF($O23&lt;&gt;IF(ROW()=20,ReqInit,Calc!$K4),"Client asked for "&amp;$O23&amp;" m³/h.",""),"")</f>
        <v/>
      </c>
      <c r="K23" s="34"/>
      <c r="L23" s="34"/>
      <c r="M23" s="34"/>
      <c r="O23" s="24"/>
      <c r="Q23" s="31" t="str">
        <f t="shared" si="1"/>
        <v/>
      </c>
    </row>
    <row r="24" spans="1:17" ht="20.100000000000001" customHeight="1" x14ac:dyDescent="0.25">
      <c r="A24" s="16">
        <f t="shared" si="0"/>
        <v>0</v>
      </c>
      <c r="B24" s="19" t="str">
        <f>IF($A24=1,TEXT((Calc!$C6-60)/1440,"hh:mm")&amp;" – "&amp;TEXT(Calc!$C6/1440,"hh:mm"),IF($A24=2,"TOTAL",""))</f>
        <v/>
      </c>
      <c r="C24" s="27" t="str">
        <f>IF($A24=1,_xlfn.LET(_xlpm.s,SUMIFS(Messages!$E:$E,Messages!$D:$D,C$19,Messages!$K:$K,"&gt;="&amp;Calc!$B6,Messages!$K:$K,"&lt;"&amp;Calc!$C6),IF(_xlpm.s=0,"",_xlpm.s)),IF($A24=2,SUMIFS(Messages!$E:$E,Messages!$D:$D,C$19),IF($A24=3,IFERROR(TEXT(SUMIFS(Messages!$E:$E,Messages!$D:$D,C$19)/SUM(Messages!$E:$E),"0%"),""),"")))</f>
        <v/>
      </c>
      <c r="D24" s="27" t="str">
        <f>IF($A24=1,_xlfn.LET(_xlpm.s,SUMIFS(Messages!$E:$E,Messages!$D:$D,D$19,Messages!$K:$K,"&gt;="&amp;Calc!$B6,Messages!$K:$K,"&lt;"&amp;Calc!$C6),IF(_xlpm.s=0,"",_xlpm.s)),IF($A24=2,SUMIFS(Messages!$E:$E,Messages!$D:$D,D$19),IF($A24=3,IFERROR(TEXT(SUMIFS(Messages!$E:$E,Messages!$D:$D,D$19)/SUM(Messages!$E:$E),"0%"),""),"")))</f>
        <v/>
      </c>
      <c r="E24" s="27" t="str">
        <f>IF($A24=1,_xlfn.LET(_xlpm.s,SUMIFS(Messages!$E:$E,Messages!$D:$D,E$19,Messages!$K:$K,"&gt;="&amp;Calc!$B6,Messages!$K:$K,"&lt;"&amp;Calc!$C6),IF(_xlpm.s=0,"",_xlpm.s)),IF($A24=2,SUMIFS(Messages!$E:$E,Messages!$D:$D,E$19),IF($A24=3,IFERROR(TEXT(SUMIFS(Messages!$E:$E,Messages!$D:$D,E$19)/SUM(Messages!$E:$E),"0%"),""),"")))</f>
        <v/>
      </c>
      <c r="F24" s="27" t="str">
        <f>IF($A24=1,_xlfn.LET(_xlpm.s,SUMIFS(Messages!$E:$E,Messages!$D:$D,F$19,Messages!$K:$K,"&gt;="&amp;Calc!$B6,Messages!$K:$K,"&lt;"&amp;Calc!$C6),IF(_xlpm.s=0,"",_xlpm.s)),IF($A24=2,SUMIFS(Messages!$E:$E,Messages!$D:$D,F$19),IF($A24=3,IFERROR(TEXT(SUMIFS(Messages!$E:$E,Messages!$D:$D,F$19)/SUM(Messages!$E:$E),"0%"),""),"")))</f>
        <v/>
      </c>
      <c r="G24" s="27" t="str">
        <f>IF($A24=1,_xlfn.LET(_xlpm.s,SUMIFS(Messages!$E:$E,Messages!$D:$D,G$19,Messages!$K:$K,"&gt;="&amp;Calc!$B6,Messages!$K:$K,"&lt;"&amp;Calc!$C6),IF(_xlpm.s=0,"",_xlpm.s)),IF($A24=2,SUMIFS(Messages!$E:$E,Messages!$D:$D,G$19),IF($A24=3,IFERROR(TEXT(SUMIFS(Messages!$E:$E,Messages!$D:$D,G$19)/SUM(Messages!$E:$E),"0%"),""),"")))</f>
        <v/>
      </c>
      <c r="H24" s="27" t="str">
        <f>IF($A24=1,COUNTIFS(Messages!$K:$K,"&gt;="&amp;Calc!$B6,Messages!$K:$K,"&lt;"&amp;Calc!$C6),IF($A24=2,COUNT(Messages!$K:$K),""))</f>
        <v/>
      </c>
      <c r="I24" s="28" t="str">
        <f>IF($A24=1,SUMIFS(Messages!$E:$E,Messages!$K:$K,"&gt;="&amp;Calc!$B6,Messages!$K:$K,"&lt;"&amp;Calc!$C6),IF($A24=2,SUM(Messages!$E:$E),""))</f>
        <v/>
      </c>
      <c r="J24" s="34" t="str">
        <f>IF(AND($A24=1,$O24&lt;&gt;""),IF($O24&lt;&gt;IF(ROW()=20,ReqInit,Calc!$K5),"Client asked for "&amp;$O24&amp;" m³/h.",""),"")</f>
        <v/>
      </c>
      <c r="K24" s="34"/>
      <c r="L24" s="34"/>
      <c r="M24" s="34"/>
      <c r="O24" s="24"/>
      <c r="Q24" s="31" t="str">
        <f t="shared" si="1"/>
        <v/>
      </c>
    </row>
    <row r="25" spans="1:17" ht="20.100000000000001" customHeight="1" x14ac:dyDescent="0.25">
      <c r="A25" s="16">
        <f t="shared" si="0"/>
        <v>0</v>
      </c>
      <c r="B25" s="19" t="str">
        <f>IF($A25=1,TEXT((Calc!$C7-60)/1440,"hh:mm")&amp;" – "&amp;TEXT(Calc!$C7/1440,"hh:mm"),IF($A25=2,"TOTAL",""))</f>
        <v/>
      </c>
      <c r="C25" s="27" t="str">
        <f>IF($A25=1,_xlfn.LET(_xlpm.s,SUMIFS(Messages!$E:$E,Messages!$D:$D,C$19,Messages!$K:$K,"&gt;="&amp;Calc!$B7,Messages!$K:$K,"&lt;"&amp;Calc!$C7),IF(_xlpm.s=0,"",_xlpm.s)),IF($A25=2,SUMIFS(Messages!$E:$E,Messages!$D:$D,C$19),IF($A25=3,IFERROR(TEXT(SUMIFS(Messages!$E:$E,Messages!$D:$D,C$19)/SUM(Messages!$E:$E),"0%"),""),"")))</f>
        <v/>
      </c>
      <c r="D25" s="27" t="str">
        <f>IF($A25=1,_xlfn.LET(_xlpm.s,SUMIFS(Messages!$E:$E,Messages!$D:$D,D$19,Messages!$K:$K,"&gt;="&amp;Calc!$B7,Messages!$K:$K,"&lt;"&amp;Calc!$C7),IF(_xlpm.s=0,"",_xlpm.s)),IF($A25=2,SUMIFS(Messages!$E:$E,Messages!$D:$D,D$19),IF($A25=3,IFERROR(TEXT(SUMIFS(Messages!$E:$E,Messages!$D:$D,D$19)/SUM(Messages!$E:$E),"0%"),""),"")))</f>
        <v/>
      </c>
      <c r="E25" s="27" t="str">
        <f>IF($A25=1,_xlfn.LET(_xlpm.s,SUMIFS(Messages!$E:$E,Messages!$D:$D,E$19,Messages!$K:$K,"&gt;="&amp;Calc!$B7,Messages!$K:$K,"&lt;"&amp;Calc!$C7),IF(_xlpm.s=0,"",_xlpm.s)),IF($A25=2,SUMIFS(Messages!$E:$E,Messages!$D:$D,E$19),IF($A25=3,IFERROR(TEXT(SUMIFS(Messages!$E:$E,Messages!$D:$D,E$19)/SUM(Messages!$E:$E),"0%"),""),"")))</f>
        <v/>
      </c>
      <c r="F25" s="27" t="str">
        <f>IF($A25=1,_xlfn.LET(_xlpm.s,SUMIFS(Messages!$E:$E,Messages!$D:$D,F$19,Messages!$K:$K,"&gt;="&amp;Calc!$B7,Messages!$K:$K,"&lt;"&amp;Calc!$C7),IF(_xlpm.s=0,"",_xlpm.s)),IF($A25=2,SUMIFS(Messages!$E:$E,Messages!$D:$D,F$19),IF($A25=3,IFERROR(TEXT(SUMIFS(Messages!$E:$E,Messages!$D:$D,F$19)/SUM(Messages!$E:$E),"0%"),""),"")))</f>
        <v/>
      </c>
      <c r="G25" s="27" t="str">
        <f>IF($A25=1,_xlfn.LET(_xlpm.s,SUMIFS(Messages!$E:$E,Messages!$D:$D,G$19,Messages!$K:$K,"&gt;="&amp;Calc!$B7,Messages!$K:$K,"&lt;"&amp;Calc!$C7),IF(_xlpm.s=0,"",_xlpm.s)),IF($A25=2,SUMIFS(Messages!$E:$E,Messages!$D:$D,G$19),IF($A25=3,IFERROR(TEXT(SUMIFS(Messages!$E:$E,Messages!$D:$D,G$19)/SUM(Messages!$E:$E),"0%"),""),"")))</f>
        <v/>
      </c>
      <c r="H25" s="27" t="str">
        <f>IF($A25=1,COUNTIFS(Messages!$K:$K,"&gt;="&amp;Calc!$B7,Messages!$K:$K,"&lt;"&amp;Calc!$C7),IF($A25=2,COUNT(Messages!$K:$K),""))</f>
        <v/>
      </c>
      <c r="I25" s="28" t="str">
        <f>IF($A25=1,SUMIFS(Messages!$E:$E,Messages!$K:$K,"&gt;="&amp;Calc!$B7,Messages!$K:$K,"&lt;"&amp;Calc!$C7),IF($A25=2,SUM(Messages!$E:$E),""))</f>
        <v/>
      </c>
      <c r="J25" s="34" t="str">
        <f>IF(AND($A25=1,$O25&lt;&gt;""),IF($O25&lt;&gt;IF(ROW()=20,ReqInit,Calc!$K6),"Client asked for "&amp;$O25&amp;" m³/h.",""),"")</f>
        <v/>
      </c>
      <c r="K25" s="34"/>
      <c r="L25" s="34"/>
      <c r="M25" s="34"/>
      <c r="O25" s="24"/>
      <c r="Q25" s="31" t="str">
        <f t="shared" si="1"/>
        <v/>
      </c>
    </row>
    <row r="26" spans="1:17" ht="20.100000000000001" customHeight="1" x14ac:dyDescent="0.25">
      <c r="A26" s="16">
        <f t="shared" si="0"/>
        <v>0</v>
      </c>
      <c r="B26" s="19" t="str">
        <f>IF($A26=1,TEXT((Calc!$C8-60)/1440,"hh:mm")&amp;" – "&amp;TEXT(Calc!$C8/1440,"hh:mm"),IF($A26=2,"TOTAL",""))</f>
        <v/>
      </c>
      <c r="C26" s="27" t="str">
        <f>IF($A26=1,_xlfn.LET(_xlpm.s,SUMIFS(Messages!$E:$E,Messages!$D:$D,C$19,Messages!$K:$K,"&gt;="&amp;Calc!$B8,Messages!$K:$K,"&lt;"&amp;Calc!$C8),IF(_xlpm.s=0,"",_xlpm.s)),IF($A26=2,SUMIFS(Messages!$E:$E,Messages!$D:$D,C$19),IF($A26=3,IFERROR(TEXT(SUMIFS(Messages!$E:$E,Messages!$D:$D,C$19)/SUM(Messages!$E:$E),"0%"),""),"")))</f>
        <v/>
      </c>
      <c r="D26" s="27" t="str">
        <f>IF($A26=1,_xlfn.LET(_xlpm.s,SUMIFS(Messages!$E:$E,Messages!$D:$D,D$19,Messages!$K:$K,"&gt;="&amp;Calc!$B8,Messages!$K:$K,"&lt;"&amp;Calc!$C8),IF(_xlpm.s=0,"",_xlpm.s)),IF($A26=2,SUMIFS(Messages!$E:$E,Messages!$D:$D,D$19),IF($A26=3,IFERROR(TEXT(SUMIFS(Messages!$E:$E,Messages!$D:$D,D$19)/SUM(Messages!$E:$E),"0%"),""),"")))</f>
        <v/>
      </c>
      <c r="E26" s="27" t="str">
        <f>IF($A26=1,_xlfn.LET(_xlpm.s,SUMIFS(Messages!$E:$E,Messages!$D:$D,E$19,Messages!$K:$K,"&gt;="&amp;Calc!$B8,Messages!$K:$K,"&lt;"&amp;Calc!$C8),IF(_xlpm.s=0,"",_xlpm.s)),IF($A26=2,SUMIFS(Messages!$E:$E,Messages!$D:$D,E$19),IF($A26=3,IFERROR(TEXT(SUMIFS(Messages!$E:$E,Messages!$D:$D,E$19)/SUM(Messages!$E:$E),"0%"),""),"")))</f>
        <v/>
      </c>
      <c r="F26" s="27" t="str">
        <f>IF($A26=1,_xlfn.LET(_xlpm.s,SUMIFS(Messages!$E:$E,Messages!$D:$D,F$19,Messages!$K:$K,"&gt;="&amp;Calc!$B8,Messages!$K:$K,"&lt;"&amp;Calc!$C8),IF(_xlpm.s=0,"",_xlpm.s)),IF($A26=2,SUMIFS(Messages!$E:$E,Messages!$D:$D,F$19),IF($A26=3,IFERROR(TEXT(SUMIFS(Messages!$E:$E,Messages!$D:$D,F$19)/SUM(Messages!$E:$E),"0%"),""),"")))</f>
        <v/>
      </c>
      <c r="G26" s="27" t="str">
        <f>IF($A26=1,_xlfn.LET(_xlpm.s,SUMIFS(Messages!$E:$E,Messages!$D:$D,G$19,Messages!$K:$K,"&gt;="&amp;Calc!$B8,Messages!$K:$K,"&lt;"&amp;Calc!$C8),IF(_xlpm.s=0,"",_xlpm.s)),IF($A26=2,SUMIFS(Messages!$E:$E,Messages!$D:$D,G$19),IF($A26=3,IFERROR(TEXT(SUMIFS(Messages!$E:$E,Messages!$D:$D,G$19)/SUM(Messages!$E:$E),"0%"),""),"")))</f>
        <v/>
      </c>
      <c r="H26" s="27" t="str">
        <f>IF($A26=1,COUNTIFS(Messages!$K:$K,"&gt;="&amp;Calc!$B8,Messages!$K:$K,"&lt;"&amp;Calc!$C8),IF($A26=2,COUNT(Messages!$K:$K),""))</f>
        <v/>
      </c>
      <c r="I26" s="28" t="str">
        <f>IF($A26=1,SUMIFS(Messages!$E:$E,Messages!$K:$K,"&gt;="&amp;Calc!$B8,Messages!$K:$K,"&lt;"&amp;Calc!$C8),IF($A26=2,SUM(Messages!$E:$E),""))</f>
        <v/>
      </c>
      <c r="J26" s="34" t="str">
        <f>IF(AND($A26=1,$O26&lt;&gt;""),IF($O26&lt;&gt;IF(ROW()=20,ReqInit,Calc!$K7),"Client asked for "&amp;$O26&amp;" m³/h.",""),"")</f>
        <v/>
      </c>
      <c r="K26" s="34"/>
      <c r="L26" s="34"/>
      <c r="M26" s="34"/>
      <c r="O26" s="24"/>
      <c r="Q26" s="31" t="str">
        <f t="shared" si="1"/>
        <v/>
      </c>
    </row>
    <row r="27" spans="1:17" ht="20.100000000000001" customHeight="1" x14ac:dyDescent="0.25">
      <c r="A27" s="16">
        <f t="shared" si="0"/>
        <v>0</v>
      </c>
      <c r="B27" s="19" t="str">
        <f>IF($A27=1,TEXT((Calc!$C9-60)/1440,"hh:mm")&amp;" – "&amp;TEXT(Calc!$C9/1440,"hh:mm"),IF($A27=2,"TOTAL",""))</f>
        <v/>
      </c>
      <c r="C27" s="27" t="str">
        <f>IF($A27=1,_xlfn.LET(_xlpm.s,SUMIFS(Messages!$E:$E,Messages!$D:$D,C$19,Messages!$K:$K,"&gt;="&amp;Calc!$B9,Messages!$K:$K,"&lt;"&amp;Calc!$C9),IF(_xlpm.s=0,"",_xlpm.s)),IF($A27=2,SUMIFS(Messages!$E:$E,Messages!$D:$D,C$19),IF($A27=3,IFERROR(TEXT(SUMIFS(Messages!$E:$E,Messages!$D:$D,C$19)/SUM(Messages!$E:$E),"0%"),""),"")))</f>
        <v/>
      </c>
      <c r="D27" s="27" t="str">
        <f>IF($A27=1,_xlfn.LET(_xlpm.s,SUMIFS(Messages!$E:$E,Messages!$D:$D,D$19,Messages!$K:$K,"&gt;="&amp;Calc!$B9,Messages!$K:$K,"&lt;"&amp;Calc!$C9),IF(_xlpm.s=0,"",_xlpm.s)),IF($A27=2,SUMIFS(Messages!$E:$E,Messages!$D:$D,D$19),IF($A27=3,IFERROR(TEXT(SUMIFS(Messages!$E:$E,Messages!$D:$D,D$19)/SUM(Messages!$E:$E),"0%"),""),"")))</f>
        <v/>
      </c>
      <c r="E27" s="27" t="str">
        <f>IF($A27=1,_xlfn.LET(_xlpm.s,SUMIFS(Messages!$E:$E,Messages!$D:$D,E$19,Messages!$K:$K,"&gt;="&amp;Calc!$B9,Messages!$K:$K,"&lt;"&amp;Calc!$C9),IF(_xlpm.s=0,"",_xlpm.s)),IF($A27=2,SUMIFS(Messages!$E:$E,Messages!$D:$D,E$19),IF($A27=3,IFERROR(TEXT(SUMIFS(Messages!$E:$E,Messages!$D:$D,E$19)/SUM(Messages!$E:$E),"0%"),""),"")))</f>
        <v/>
      </c>
      <c r="F27" s="27" t="str">
        <f>IF($A27=1,_xlfn.LET(_xlpm.s,SUMIFS(Messages!$E:$E,Messages!$D:$D,F$19,Messages!$K:$K,"&gt;="&amp;Calc!$B9,Messages!$K:$K,"&lt;"&amp;Calc!$C9),IF(_xlpm.s=0,"",_xlpm.s)),IF($A27=2,SUMIFS(Messages!$E:$E,Messages!$D:$D,F$19),IF($A27=3,IFERROR(TEXT(SUMIFS(Messages!$E:$E,Messages!$D:$D,F$19)/SUM(Messages!$E:$E),"0%"),""),"")))</f>
        <v/>
      </c>
      <c r="G27" s="27" t="str">
        <f>IF($A27=1,_xlfn.LET(_xlpm.s,SUMIFS(Messages!$E:$E,Messages!$D:$D,G$19,Messages!$K:$K,"&gt;="&amp;Calc!$B9,Messages!$K:$K,"&lt;"&amp;Calc!$C9),IF(_xlpm.s=0,"",_xlpm.s)),IF($A27=2,SUMIFS(Messages!$E:$E,Messages!$D:$D,G$19),IF($A27=3,IFERROR(TEXT(SUMIFS(Messages!$E:$E,Messages!$D:$D,G$19)/SUM(Messages!$E:$E),"0%"),""),"")))</f>
        <v/>
      </c>
      <c r="H27" s="27" t="str">
        <f>IF($A27=1,COUNTIFS(Messages!$K:$K,"&gt;="&amp;Calc!$B9,Messages!$K:$K,"&lt;"&amp;Calc!$C9),IF($A27=2,COUNT(Messages!$K:$K),""))</f>
        <v/>
      </c>
      <c r="I27" s="28" t="str">
        <f>IF($A27=1,SUMIFS(Messages!$E:$E,Messages!$K:$K,"&gt;="&amp;Calc!$B9,Messages!$K:$K,"&lt;"&amp;Calc!$C9),IF($A27=2,SUM(Messages!$E:$E),""))</f>
        <v/>
      </c>
      <c r="J27" s="34" t="str">
        <f>IF(AND($A27=1,$O27&lt;&gt;""),IF($O27&lt;&gt;IF(ROW()=20,ReqInit,Calc!$K8),"Client asked for "&amp;$O27&amp;" m³/h.",""),"")</f>
        <v/>
      </c>
      <c r="K27" s="34"/>
      <c r="L27" s="34"/>
      <c r="M27" s="34"/>
      <c r="O27" s="24"/>
      <c r="Q27" s="31" t="str">
        <f t="shared" si="1"/>
        <v/>
      </c>
    </row>
    <row r="28" spans="1:17" ht="20.100000000000001" customHeight="1" x14ac:dyDescent="0.25">
      <c r="A28" s="16">
        <f t="shared" si="0"/>
        <v>0</v>
      </c>
      <c r="B28" s="19" t="str">
        <f>IF($A28=1,TEXT((Calc!$C10-60)/1440,"hh:mm")&amp;" – "&amp;TEXT(Calc!$C10/1440,"hh:mm"),IF($A28=2,"TOTAL",""))</f>
        <v/>
      </c>
      <c r="C28" s="27" t="str">
        <f>IF($A28=1,_xlfn.LET(_xlpm.s,SUMIFS(Messages!$E:$E,Messages!$D:$D,C$19,Messages!$K:$K,"&gt;="&amp;Calc!$B10,Messages!$K:$K,"&lt;"&amp;Calc!$C10),IF(_xlpm.s=0,"",_xlpm.s)),IF($A28=2,SUMIFS(Messages!$E:$E,Messages!$D:$D,C$19),IF($A28=3,IFERROR(TEXT(SUMIFS(Messages!$E:$E,Messages!$D:$D,C$19)/SUM(Messages!$E:$E),"0%"),""),"")))</f>
        <v/>
      </c>
      <c r="D28" s="27" t="str">
        <f>IF($A28=1,_xlfn.LET(_xlpm.s,SUMIFS(Messages!$E:$E,Messages!$D:$D,D$19,Messages!$K:$K,"&gt;="&amp;Calc!$B10,Messages!$K:$K,"&lt;"&amp;Calc!$C10),IF(_xlpm.s=0,"",_xlpm.s)),IF($A28=2,SUMIFS(Messages!$E:$E,Messages!$D:$D,D$19),IF($A28=3,IFERROR(TEXT(SUMIFS(Messages!$E:$E,Messages!$D:$D,D$19)/SUM(Messages!$E:$E),"0%"),""),"")))</f>
        <v/>
      </c>
      <c r="E28" s="27" t="str">
        <f>IF($A28=1,_xlfn.LET(_xlpm.s,SUMIFS(Messages!$E:$E,Messages!$D:$D,E$19,Messages!$K:$K,"&gt;="&amp;Calc!$B10,Messages!$K:$K,"&lt;"&amp;Calc!$C10),IF(_xlpm.s=0,"",_xlpm.s)),IF($A28=2,SUMIFS(Messages!$E:$E,Messages!$D:$D,E$19),IF($A28=3,IFERROR(TEXT(SUMIFS(Messages!$E:$E,Messages!$D:$D,E$19)/SUM(Messages!$E:$E),"0%"),""),"")))</f>
        <v/>
      </c>
      <c r="F28" s="27" t="str">
        <f>IF($A28=1,_xlfn.LET(_xlpm.s,SUMIFS(Messages!$E:$E,Messages!$D:$D,F$19,Messages!$K:$K,"&gt;="&amp;Calc!$B10,Messages!$K:$K,"&lt;"&amp;Calc!$C10),IF(_xlpm.s=0,"",_xlpm.s)),IF($A28=2,SUMIFS(Messages!$E:$E,Messages!$D:$D,F$19),IF($A28=3,IFERROR(TEXT(SUMIFS(Messages!$E:$E,Messages!$D:$D,F$19)/SUM(Messages!$E:$E),"0%"),""),"")))</f>
        <v/>
      </c>
      <c r="G28" s="27" t="str">
        <f>IF($A28=1,_xlfn.LET(_xlpm.s,SUMIFS(Messages!$E:$E,Messages!$D:$D,G$19,Messages!$K:$K,"&gt;="&amp;Calc!$B10,Messages!$K:$K,"&lt;"&amp;Calc!$C10),IF(_xlpm.s=0,"",_xlpm.s)),IF($A28=2,SUMIFS(Messages!$E:$E,Messages!$D:$D,G$19),IF($A28=3,IFERROR(TEXT(SUMIFS(Messages!$E:$E,Messages!$D:$D,G$19)/SUM(Messages!$E:$E),"0%"),""),"")))</f>
        <v/>
      </c>
      <c r="H28" s="27" t="str">
        <f>IF($A28=1,COUNTIFS(Messages!$K:$K,"&gt;="&amp;Calc!$B10,Messages!$K:$K,"&lt;"&amp;Calc!$C10),IF($A28=2,COUNT(Messages!$K:$K),""))</f>
        <v/>
      </c>
      <c r="I28" s="28" t="str">
        <f>IF($A28=1,SUMIFS(Messages!$E:$E,Messages!$K:$K,"&gt;="&amp;Calc!$B10,Messages!$K:$K,"&lt;"&amp;Calc!$C10),IF($A28=2,SUM(Messages!$E:$E),""))</f>
        <v/>
      </c>
      <c r="J28" s="34" t="str">
        <f>IF(AND($A28=1,$O28&lt;&gt;""),IF($O28&lt;&gt;IF(ROW()=20,ReqInit,Calc!$K9),"Client asked for "&amp;$O28&amp;" m³/h.",""),"")</f>
        <v/>
      </c>
      <c r="K28" s="34"/>
      <c r="L28" s="34"/>
      <c r="M28" s="34"/>
      <c r="O28" s="24"/>
      <c r="Q28" s="31" t="str">
        <f t="shared" si="1"/>
        <v/>
      </c>
    </row>
    <row r="29" spans="1:17" ht="20.100000000000001" customHeight="1" x14ac:dyDescent="0.25">
      <c r="A29" s="16">
        <f t="shared" si="0"/>
        <v>0</v>
      </c>
      <c r="B29" s="19" t="str">
        <f>IF($A29=1,TEXT((Calc!$C11-60)/1440,"hh:mm")&amp;" – "&amp;TEXT(Calc!$C11/1440,"hh:mm"),IF($A29=2,"TOTAL",""))</f>
        <v/>
      </c>
      <c r="C29" s="27" t="str">
        <f>IF($A29=1,_xlfn.LET(_xlpm.s,SUMIFS(Messages!$E:$E,Messages!$D:$D,C$19,Messages!$K:$K,"&gt;="&amp;Calc!$B11,Messages!$K:$K,"&lt;"&amp;Calc!$C11),IF(_xlpm.s=0,"",_xlpm.s)),IF($A29=2,SUMIFS(Messages!$E:$E,Messages!$D:$D,C$19),IF($A29=3,IFERROR(TEXT(SUMIFS(Messages!$E:$E,Messages!$D:$D,C$19)/SUM(Messages!$E:$E),"0%"),""),"")))</f>
        <v/>
      </c>
      <c r="D29" s="27" t="str">
        <f>IF($A29=1,_xlfn.LET(_xlpm.s,SUMIFS(Messages!$E:$E,Messages!$D:$D,D$19,Messages!$K:$K,"&gt;="&amp;Calc!$B11,Messages!$K:$K,"&lt;"&amp;Calc!$C11),IF(_xlpm.s=0,"",_xlpm.s)),IF($A29=2,SUMIFS(Messages!$E:$E,Messages!$D:$D,D$19),IF($A29=3,IFERROR(TEXT(SUMIFS(Messages!$E:$E,Messages!$D:$D,D$19)/SUM(Messages!$E:$E),"0%"),""),"")))</f>
        <v/>
      </c>
      <c r="E29" s="27" t="str">
        <f>IF($A29=1,_xlfn.LET(_xlpm.s,SUMIFS(Messages!$E:$E,Messages!$D:$D,E$19,Messages!$K:$K,"&gt;="&amp;Calc!$B11,Messages!$K:$K,"&lt;"&amp;Calc!$C11),IF(_xlpm.s=0,"",_xlpm.s)),IF($A29=2,SUMIFS(Messages!$E:$E,Messages!$D:$D,E$19),IF($A29=3,IFERROR(TEXT(SUMIFS(Messages!$E:$E,Messages!$D:$D,E$19)/SUM(Messages!$E:$E),"0%"),""),"")))</f>
        <v/>
      </c>
      <c r="F29" s="27" t="str">
        <f>IF($A29=1,_xlfn.LET(_xlpm.s,SUMIFS(Messages!$E:$E,Messages!$D:$D,F$19,Messages!$K:$K,"&gt;="&amp;Calc!$B11,Messages!$K:$K,"&lt;"&amp;Calc!$C11),IF(_xlpm.s=0,"",_xlpm.s)),IF($A29=2,SUMIFS(Messages!$E:$E,Messages!$D:$D,F$19),IF($A29=3,IFERROR(TEXT(SUMIFS(Messages!$E:$E,Messages!$D:$D,F$19)/SUM(Messages!$E:$E),"0%"),""),"")))</f>
        <v/>
      </c>
      <c r="G29" s="27" t="str">
        <f>IF($A29=1,_xlfn.LET(_xlpm.s,SUMIFS(Messages!$E:$E,Messages!$D:$D,G$19,Messages!$K:$K,"&gt;="&amp;Calc!$B11,Messages!$K:$K,"&lt;"&amp;Calc!$C11),IF(_xlpm.s=0,"",_xlpm.s)),IF($A29=2,SUMIFS(Messages!$E:$E,Messages!$D:$D,G$19),IF($A29=3,IFERROR(TEXT(SUMIFS(Messages!$E:$E,Messages!$D:$D,G$19)/SUM(Messages!$E:$E),"0%"),""),"")))</f>
        <v/>
      </c>
      <c r="H29" s="27" t="str">
        <f>IF($A29=1,COUNTIFS(Messages!$K:$K,"&gt;="&amp;Calc!$B11,Messages!$K:$K,"&lt;"&amp;Calc!$C11),IF($A29=2,COUNT(Messages!$K:$K),""))</f>
        <v/>
      </c>
      <c r="I29" s="28" t="str">
        <f>IF($A29=1,SUMIFS(Messages!$E:$E,Messages!$K:$K,"&gt;="&amp;Calc!$B11,Messages!$K:$K,"&lt;"&amp;Calc!$C11),IF($A29=2,SUM(Messages!$E:$E),""))</f>
        <v/>
      </c>
      <c r="J29" s="34" t="str">
        <f>IF(AND($A29=1,$O29&lt;&gt;""),IF($O29&lt;&gt;IF(ROW()=20,ReqInit,Calc!$K10),"Client asked for "&amp;$O29&amp;" m³/h.",""),"")</f>
        <v/>
      </c>
      <c r="K29" s="34"/>
      <c r="L29" s="34"/>
      <c r="M29" s="34"/>
      <c r="O29" s="24"/>
      <c r="Q29" s="31" t="str">
        <f t="shared" si="1"/>
        <v/>
      </c>
    </row>
    <row r="30" spans="1:17" ht="20.100000000000001" customHeight="1" x14ac:dyDescent="0.25">
      <c r="A30" s="16">
        <f t="shared" si="0"/>
        <v>0</v>
      </c>
      <c r="B30" s="19" t="str">
        <f>IF($A30=1,TEXT((Calc!$C12-60)/1440,"hh:mm")&amp;" – "&amp;TEXT(Calc!$C12/1440,"hh:mm"),IF($A30=2,"TOTAL",""))</f>
        <v/>
      </c>
      <c r="C30" s="27" t="str">
        <f>IF($A30=1,_xlfn.LET(_xlpm.s,SUMIFS(Messages!$E:$E,Messages!$D:$D,C$19,Messages!$K:$K,"&gt;="&amp;Calc!$B12,Messages!$K:$K,"&lt;"&amp;Calc!$C12),IF(_xlpm.s=0,"",_xlpm.s)),IF($A30=2,SUMIFS(Messages!$E:$E,Messages!$D:$D,C$19),IF($A30=3,IFERROR(TEXT(SUMIFS(Messages!$E:$E,Messages!$D:$D,C$19)/SUM(Messages!$E:$E),"0%"),""),"")))</f>
        <v/>
      </c>
      <c r="D30" s="27" t="str">
        <f>IF($A30=1,_xlfn.LET(_xlpm.s,SUMIFS(Messages!$E:$E,Messages!$D:$D,D$19,Messages!$K:$K,"&gt;="&amp;Calc!$B12,Messages!$K:$K,"&lt;"&amp;Calc!$C12),IF(_xlpm.s=0,"",_xlpm.s)),IF($A30=2,SUMIFS(Messages!$E:$E,Messages!$D:$D,D$19),IF($A30=3,IFERROR(TEXT(SUMIFS(Messages!$E:$E,Messages!$D:$D,D$19)/SUM(Messages!$E:$E),"0%"),""),"")))</f>
        <v/>
      </c>
      <c r="E30" s="27" t="str">
        <f>IF($A30=1,_xlfn.LET(_xlpm.s,SUMIFS(Messages!$E:$E,Messages!$D:$D,E$19,Messages!$K:$K,"&gt;="&amp;Calc!$B12,Messages!$K:$K,"&lt;"&amp;Calc!$C12),IF(_xlpm.s=0,"",_xlpm.s)),IF($A30=2,SUMIFS(Messages!$E:$E,Messages!$D:$D,E$19),IF($A30=3,IFERROR(TEXT(SUMIFS(Messages!$E:$E,Messages!$D:$D,E$19)/SUM(Messages!$E:$E),"0%"),""),"")))</f>
        <v/>
      </c>
      <c r="F30" s="27" t="str">
        <f>IF($A30=1,_xlfn.LET(_xlpm.s,SUMIFS(Messages!$E:$E,Messages!$D:$D,F$19,Messages!$K:$K,"&gt;="&amp;Calc!$B12,Messages!$K:$K,"&lt;"&amp;Calc!$C12),IF(_xlpm.s=0,"",_xlpm.s)),IF($A30=2,SUMIFS(Messages!$E:$E,Messages!$D:$D,F$19),IF($A30=3,IFERROR(TEXT(SUMIFS(Messages!$E:$E,Messages!$D:$D,F$19)/SUM(Messages!$E:$E),"0%"),""),"")))</f>
        <v/>
      </c>
      <c r="G30" s="27" t="str">
        <f>IF($A30=1,_xlfn.LET(_xlpm.s,SUMIFS(Messages!$E:$E,Messages!$D:$D,G$19,Messages!$K:$K,"&gt;="&amp;Calc!$B12,Messages!$K:$K,"&lt;"&amp;Calc!$C12),IF(_xlpm.s=0,"",_xlpm.s)),IF($A30=2,SUMIFS(Messages!$E:$E,Messages!$D:$D,G$19),IF($A30=3,IFERROR(TEXT(SUMIFS(Messages!$E:$E,Messages!$D:$D,G$19)/SUM(Messages!$E:$E),"0%"),""),"")))</f>
        <v/>
      </c>
      <c r="H30" s="27" t="str">
        <f>IF($A30=1,COUNTIFS(Messages!$K:$K,"&gt;="&amp;Calc!$B12,Messages!$K:$K,"&lt;"&amp;Calc!$C12),IF($A30=2,COUNT(Messages!$K:$K),""))</f>
        <v/>
      </c>
      <c r="I30" s="28" t="str">
        <f>IF($A30=1,SUMIFS(Messages!$E:$E,Messages!$K:$K,"&gt;="&amp;Calc!$B12,Messages!$K:$K,"&lt;"&amp;Calc!$C12),IF($A30=2,SUM(Messages!$E:$E),""))</f>
        <v/>
      </c>
      <c r="J30" s="34" t="str">
        <f>IF(AND($A30=1,$O30&lt;&gt;""),IF($O30&lt;&gt;IF(ROW()=20,ReqInit,Calc!$K11),"Client asked for "&amp;$O30&amp;" m³/h.",""),"")</f>
        <v/>
      </c>
      <c r="K30" s="34"/>
      <c r="L30" s="34"/>
      <c r="M30" s="34"/>
      <c r="O30" s="24"/>
      <c r="Q30" s="31" t="str">
        <f t="shared" si="1"/>
        <v/>
      </c>
    </row>
    <row r="31" spans="1:17" ht="20.100000000000001" customHeight="1" x14ac:dyDescent="0.25">
      <c r="A31" s="16">
        <f t="shared" si="0"/>
        <v>0</v>
      </c>
      <c r="B31" s="19" t="str">
        <f>IF($A31=1,TEXT((Calc!$C13-60)/1440,"hh:mm")&amp;" – "&amp;TEXT(Calc!$C13/1440,"hh:mm"),IF($A31=2,"TOTAL",""))</f>
        <v/>
      </c>
      <c r="C31" s="27" t="str">
        <f>IF($A31=1,_xlfn.LET(_xlpm.s,SUMIFS(Messages!$E:$E,Messages!$D:$D,C$19,Messages!$K:$K,"&gt;="&amp;Calc!$B13,Messages!$K:$K,"&lt;"&amp;Calc!$C13),IF(_xlpm.s=0,"",_xlpm.s)),IF($A31=2,SUMIFS(Messages!$E:$E,Messages!$D:$D,C$19),IF($A31=3,IFERROR(TEXT(SUMIFS(Messages!$E:$E,Messages!$D:$D,C$19)/SUM(Messages!$E:$E),"0%"),""),"")))</f>
        <v/>
      </c>
      <c r="D31" s="27" t="str">
        <f>IF($A31=1,_xlfn.LET(_xlpm.s,SUMIFS(Messages!$E:$E,Messages!$D:$D,D$19,Messages!$K:$K,"&gt;="&amp;Calc!$B13,Messages!$K:$K,"&lt;"&amp;Calc!$C13),IF(_xlpm.s=0,"",_xlpm.s)),IF($A31=2,SUMIFS(Messages!$E:$E,Messages!$D:$D,D$19),IF($A31=3,IFERROR(TEXT(SUMIFS(Messages!$E:$E,Messages!$D:$D,D$19)/SUM(Messages!$E:$E),"0%"),""),"")))</f>
        <v/>
      </c>
      <c r="E31" s="27" t="str">
        <f>IF($A31=1,_xlfn.LET(_xlpm.s,SUMIFS(Messages!$E:$E,Messages!$D:$D,E$19,Messages!$K:$K,"&gt;="&amp;Calc!$B13,Messages!$K:$K,"&lt;"&amp;Calc!$C13),IF(_xlpm.s=0,"",_xlpm.s)),IF($A31=2,SUMIFS(Messages!$E:$E,Messages!$D:$D,E$19),IF($A31=3,IFERROR(TEXT(SUMIFS(Messages!$E:$E,Messages!$D:$D,E$19)/SUM(Messages!$E:$E),"0%"),""),"")))</f>
        <v/>
      </c>
      <c r="F31" s="27" t="str">
        <f>IF($A31=1,_xlfn.LET(_xlpm.s,SUMIFS(Messages!$E:$E,Messages!$D:$D,F$19,Messages!$K:$K,"&gt;="&amp;Calc!$B13,Messages!$K:$K,"&lt;"&amp;Calc!$C13),IF(_xlpm.s=0,"",_xlpm.s)),IF($A31=2,SUMIFS(Messages!$E:$E,Messages!$D:$D,F$19),IF($A31=3,IFERROR(TEXT(SUMIFS(Messages!$E:$E,Messages!$D:$D,F$19)/SUM(Messages!$E:$E),"0%"),""),"")))</f>
        <v/>
      </c>
      <c r="G31" s="27" t="str">
        <f>IF($A31=1,_xlfn.LET(_xlpm.s,SUMIFS(Messages!$E:$E,Messages!$D:$D,G$19,Messages!$K:$K,"&gt;="&amp;Calc!$B13,Messages!$K:$K,"&lt;"&amp;Calc!$C13),IF(_xlpm.s=0,"",_xlpm.s)),IF($A31=2,SUMIFS(Messages!$E:$E,Messages!$D:$D,G$19),IF($A31=3,IFERROR(TEXT(SUMIFS(Messages!$E:$E,Messages!$D:$D,G$19)/SUM(Messages!$E:$E),"0%"),""),"")))</f>
        <v/>
      </c>
      <c r="H31" s="27" t="str">
        <f>IF($A31=1,COUNTIFS(Messages!$K:$K,"&gt;="&amp;Calc!$B13,Messages!$K:$K,"&lt;"&amp;Calc!$C13),IF($A31=2,COUNT(Messages!$K:$K),""))</f>
        <v/>
      </c>
      <c r="I31" s="28" t="str">
        <f>IF($A31=1,SUMIFS(Messages!$E:$E,Messages!$K:$K,"&gt;="&amp;Calc!$B13,Messages!$K:$K,"&lt;"&amp;Calc!$C13),IF($A31=2,SUM(Messages!$E:$E),""))</f>
        <v/>
      </c>
      <c r="J31" s="34" t="str">
        <f>IF(AND($A31=1,$O31&lt;&gt;""),IF($O31&lt;&gt;IF(ROW()=20,ReqInit,Calc!$K12),"Client asked for "&amp;$O31&amp;" m³/h.",""),"")</f>
        <v/>
      </c>
      <c r="K31" s="34"/>
      <c r="L31" s="34"/>
      <c r="M31" s="34"/>
      <c r="O31" s="24"/>
      <c r="Q31" s="31" t="str">
        <f t="shared" si="1"/>
        <v/>
      </c>
    </row>
    <row r="32" spans="1:17" ht="20.100000000000001" customHeight="1" x14ac:dyDescent="0.25">
      <c r="A32" s="16">
        <f t="shared" si="0"/>
        <v>0</v>
      </c>
      <c r="B32" s="19" t="str">
        <f>IF($A32=1,TEXT((Calc!$C14-60)/1440,"hh:mm")&amp;" – "&amp;TEXT(Calc!$C14/1440,"hh:mm"),IF($A32=2,"TOTAL",""))</f>
        <v/>
      </c>
      <c r="C32" s="27" t="str">
        <f>IF($A32=1,_xlfn.LET(_xlpm.s,SUMIFS(Messages!$E:$E,Messages!$D:$D,C$19,Messages!$K:$K,"&gt;="&amp;Calc!$B14,Messages!$K:$K,"&lt;"&amp;Calc!$C14),IF(_xlpm.s=0,"",_xlpm.s)),IF($A32=2,SUMIFS(Messages!$E:$E,Messages!$D:$D,C$19),IF($A32=3,IFERROR(TEXT(SUMIFS(Messages!$E:$E,Messages!$D:$D,C$19)/SUM(Messages!$E:$E),"0%"),""),"")))</f>
        <v/>
      </c>
      <c r="D32" s="27" t="str">
        <f>IF($A32=1,_xlfn.LET(_xlpm.s,SUMIFS(Messages!$E:$E,Messages!$D:$D,D$19,Messages!$K:$K,"&gt;="&amp;Calc!$B14,Messages!$K:$K,"&lt;"&amp;Calc!$C14),IF(_xlpm.s=0,"",_xlpm.s)),IF($A32=2,SUMIFS(Messages!$E:$E,Messages!$D:$D,D$19),IF($A32=3,IFERROR(TEXT(SUMIFS(Messages!$E:$E,Messages!$D:$D,D$19)/SUM(Messages!$E:$E),"0%"),""),"")))</f>
        <v/>
      </c>
      <c r="E32" s="27" t="str">
        <f>IF($A32=1,_xlfn.LET(_xlpm.s,SUMIFS(Messages!$E:$E,Messages!$D:$D,E$19,Messages!$K:$K,"&gt;="&amp;Calc!$B14,Messages!$K:$K,"&lt;"&amp;Calc!$C14),IF(_xlpm.s=0,"",_xlpm.s)),IF($A32=2,SUMIFS(Messages!$E:$E,Messages!$D:$D,E$19),IF($A32=3,IFERROR(TEXT(SUMIFS(Messages!$E:$E,Messages!$D:$D,E$19)/SUM(Messages!$E:$E),"0%"),""),"")))</f>
        <v/>
      </c>
      <c r="F32" s="27" t="str">
        <f>IF($A32=1,_xlfn.LET(_xlpm.s,SUMIFS(Messages!$E:$E,Messages!$D:$D,F$19,Messages!$K:$K,"&gt;="&amp;Calc!$B14,Messages!$K:$K,"&lt;"&amp;Calc!$C14),IF(_xlpm.s=0,"",_xlpm.s)),IF($A32=2,SUMIFS(Messages!$E:$E,Messages!$D:$D,F$19),IF($A32=3,IFERROR(TEXT(SUMIFS(Messages!$E:$E,Messages!$D:$D,F$19)/SUM(Messages!$E:$E),"0%"),""),"")))</f>
        <v/>
      </c>
      <c r="G32" s="27" t="str">
        <f>IF($A32=1,_xlfn.LET(_xlpm.s,SUMIFS(Messages!$E:$E,Messages!$D:$D,G$19,Messages!$K:$K,"&gt;="&amp;Calc!$B14,Messages!$K:$K,"&lt;"&amp;Calc!$C14),IF(_xlpm.s=0,"",_xlpm.s)),IF($A32=2,SUMIFS(Messages!$E:$E,Messages!$D:$D,G$19),IF($A32=3,IFERROR(TEXT(SUMIFS(Messages!$E:$E,Messages!$D:$D,G$19)/SUM(Messages!$E:$E),"0%"),""),"")))</f>
        <v/>
      </c>
      <c r="H32" s="27" t="str">
        <f>IF($A32=1,COUNTIFS(Messages!$K:$K,"&gt;="&amp;Calc!$B14,Messages!$K:$K,"&lt;"&amp;Calc!$C14),IF($A32=2,COUNT(Messages!$K:$K),""))</f>
        <v/>
      </c>
      <c r="I32" s="28" t="str">
        <f>IF($A32=1,SUMIFS(Messages!$E:$E,Messages!$K:$K,"&gt;="&amp;Calc!$B14,Messages!$K:$K,"&lt;"&amp;Calc!$C14),IF($A32=2,SUM(Messages!$E:$E),""))</f>
        <v/>
      </c>
      <c r="J32" s="34" t="str">
        <f>IF(AND($A32=1,$O32&lt;&gt;""),IF($O32&lt;&gt;IF(ROW()=20,ReqInit,Calc!$K13),"Client asked for "&amp;$O32&amp;" m³/h.",""),"")</f>
        <v/>
      </c>
      <c r="K32" s="34"/>
      <c r="L32" s="34"/>
      <c r="M32" s="34"/>
      <c r="O32" s="24"/>
      <c r="Q32" s="31" t="str">
        <f t="shared" si="1"/>
        <v/>
      </c>
    </row>
    <row r="33" spans="1:17" ht="20.100000000000001" customHeight="1" x14ac:dyDescent="0.25">
      <c r="A33" s="16">
        <f t="shared" si="0"/>
        <v>0</v>
      </c>
      <c r="B33" s="19" t="str">
        <f>IF($A33=1,TEXT((Calc!$C15-60)/1440,"hh:mm")&amp;" – "&amp;TEXT(Calc!$C15/1440,"hh:mm"),IF($A33=2,"TOTAL",""))</f>
        <v/>
      </c>
      <c r="C33" s="27" t="str">
        <f>IF($A33=1,_xlfn.LET(_xlpm.s,SUMIFS(Messages!$E:$E,Messages!$D:$D,C$19,Messages!$K:$K,"&gt;="&amp;Calc!$B15,Messages!$K:$K,"&lt;"&amp;Calc!$C15),IF(_xlpm.s=0,"",_xlpm.s)),IF($A33=2,SUMIFS(Messages!$E:$E,Messages!$D:$D,C$19),IF($A33=3,IFERROR(TEXT(SUMIFS(Messages!$E:$E,Messages!$D:$D,C$19)/SUM(Messages!$E:$E),"0%"),""),"")))</f>
        <v/>
      </c>
      <c r="D33" s="27" t="str">
        <f>IF($A33=1,_xlfn.LET(_xlpm.s,SUMIFS(Messages!$E:$E,Messages!$D:$D,D$19,Messages!$K:$K,"&gt;="&amp;Calc!$B15,Messages!$K:$K,"&lt;"&amp;Calc!$C15),IF(_xlpm.s=0,"",_xlpm.s)),IF($A33=2,SUMIFS(Messages!$E:$E,Messages!$D:$D,D$19),IF($A33=3,IFERROR(TEXT(SUMIFS(Messages!$E:$E,Messages!$D:$D,D$19)/SUM(Messages!$E:$E),"0%"),""),"")))</f>
        <v/>
      </c>
      <c r="E33" s="27" t="str">
        <f>IF($A33=1,_xlfn.LET(_xlpm.s,SUMIFS(Messages!$E:$E,Messages!$D:$D,E$19,Messages!$K:$K,"&gt;="&amp;Calc!$B15,Messages!$K:$K,"&lt;"&amp;Calc!$C15),IF(_xlpm.s=0,"",_xlpm.s)),IF($A33=2,SUMIFS(Messages!$E:$E,Messages!$D:$D,E$19),IF($A33=3,IFERROR(TEXT(SUMIFS(Messages!$E:$E,Messages!$D:$D,E$19)/SUM(Messages!$E:$E),"0%"),""),"")))</f>
        <v/>
      </c>
      <c r="F33" s="27" t="str">
        <f>IF($A33=1,_xlfn.LET(_xlpm.s,SUMIFS(Messages!$E:$E,Messages!$D:$D,F$19,Messages!$K:$K,"&gt;="&amp;Calc!$B15,Messages!$K:$K,"&lt;"&amp;Calc!$C15),IF(_xlpm.s=0,"",_xlpm.s)),IF($A33=2,SUMIFS(Messages!$E:$E,Messages!$D:$D,F$19),IF($A33=3,IFERROR(TEXT(SUMIFS(Messages!$E:$E,Messages!$D:$D,F$19)/SUM(Messages!$E:$E),"0%"),""),"")))</f>
        <v/>
      </c>
      <c r="G33" s="27" t="str">
        <f>IF($A33=1,_xlfn.LET(_xlpm.s,SUMIFS(Messages!$E:$E,Messages!$D:$D,G$19,Messages!$K:$K,"&gt;="&amp;Calc!$B15,Messages!$K:$K,"&lt;"&amp;Calc!$C15),IF(_xlpm.s=0,"",_xlpm.s)),IF($A33=2,SUMIFS(Messages!$E:$E,Messages!$D:$D,G$19),IF($A33=3,IFERROR(TEXT(SUMIFS(Messages!$E:$E,Messages!$D:$D,G$19)/SUM(Messages!$E:$E),"0%"),""),"")))</f>
        <v/>
      </c>
      <c r="H33" s="27" t="str">
        <f>IF($A33=1,COUNTIFS(Messages!$K:$K,"&gt;="&amp;Calc!$B15,Messages!$K:$K,"&lt;"&amp;Calc!$C15),IF($A33=2,COUNT(Messages!$K:$K),""))</f>
        <v/>
      </c>
      <c r="I33" s="28" t="str">
        <f>IF($A33=1,SUMIFS(Messages!$E:$E,Messages!$K:$K,"&gt;="&amp;Calc!$B15,Messages!$K:$K,"&lt;"&amp;Calc!$C15),IF($A33=2,SUM(Messages!$E:$E),""))</f>
        <v/>
      </c>
      <c r="J33" s="34" t="str">
        <f>IF(AND($A33=1,$O33&lt;&gt;""),IF($O33&lt;&gt;IF(ROW()=20,ReqInit,Calc!$K14),"Client asked for "&amp;$O33&amp;" m³/h.",""),"")</f>
        <v/>
      </c>
      <c r="K33" s="34"/>
      <c r="L33" s="34"/>
      <c r="M33" s="34"/>
      <c r="O33" s="24"/>
      <c r="Q33" s="31" t="str">
        <f t="shared" si="1"/>
        <v/>
      </c>
    </row>
    <row r="34" spans="1:17" ht="20.100000000000001" customHeight="1" x14ac:dyDescent="0.25">
      <c r="A34" s="16">
        <f t="shared" si="0"/>
        <v>0</v>
      </c>
      <c r="B34" s="19" t="str">
        <f>IF($A34=1,TEXT((Calc!$C16-60)/1440,"hh:mm")&amp;" – "&amp;TEXT(Calc!$C16/1440,"hh:mm"),IF($A34=2,"TOTAL",""))</f>
        <v/>
      </c>
      <c r="C34" s="27" t="str">
        <f>IF($A34=1,_xlfn.LET(_xlpm.s,SUMIFS(Messages!$E:$E,Messages!$D:$D,C$19,Messages!$K:$K,"&gt;="&amp;Calc!$B16,Messages!$K:$K,"&lt;"&amp;Calc!$C16),IF(_xlpm.s=0,"",_xlpm.s)),IF($A34=2,SUMIFS(Messages!$E:$E,Messages!$D:$D,C$19),IF($A34=3,IFERROR(TEXT(SUMIFS(Messages!$E:$E,Messages!$D:$D,C$19)/SUM(Messages!$E:$E),"0%"),""),"")))</f>
        <v/>
      </c>
      <c r="D34" s="27" t="str">
        <f>IF($A34=1,_xlfn.LET(_xlpm.s,SUMIFS(Messages!$E:$E,Messages!$D:$D,D$19,Messages!$K:$K,"&gt;="&amp;Calc!$B16,Messages!$K:$K,"&lt;"&amp;Calc!$C16),IF(_xlpm.s=0,"",_xlpm.s)),IF($A34=2,SUMIFS(Messages!$E:$E,Messages!$D:$D,D$19),IF($A34=3,IFERROR(TEXT(SUMIFS(Messages!$E:$E,Messages!$D:$D,D$19)/SUM(Messages!$E:$E),"0%"),""),"")))</f>
        <v/>
      </c>
      <c r="E34" s="27" t="str">
        <f>IF($A34=1,_xlfn.LET(_xlpm.s,SUMIFS(Messages!$E:$E,Messages!$D:$D,E$19,Messages!$K:$K,"&gt;="&amp;Calc!$B16,Messages!$K:$K,"&lt;"&amp;Calc!$C16),IF(_xlpm.s=0,"",_xlpm.s)),IF($A34=2,SUMIFS(Messages!$E:$E,Messages!$D:$D,E$19),IF($A34=3,IFERROR(TEXT(SUMIFS(Messages!$E:$E,Messages!$D:$D,E$19)/SUM(Messages!$E:$E),"0%"),""),"")))</f>
        <v/>
      </c>
      <c r="F34" s="27" t="str">
        <f>IF($A34=1,_xlfn.LET(_xlpm.s,SUMIFS(Messages!$E:$E,Messages!$D:$D,F$19,Messages!$K:$K,"&gt;="&amp;Calc!$B16,Messages!$K:$K,"&lt;"&amp;Calc!$C16),IF(_xlpm.s=0,"",_xlpm.s)),IF($A34=2,SUMIFS(Messages!$E:$E,Messages!$D:$D,F$19),IF($A34=3,IFERROR(TEXT(SUMIFS(Messages!$E:$E,Messages!$D:$D,F$19)/SUM(Messages!$E:$E),"0%"),""),"")))</f>
        <v/>
      </c>
      <c r="G34" s="27" t="str">
        <f>IF($A34=1,_xlfn.LET(_xlpm.s,SUMIFS(Messages!$E:$E,Messages!$D:$D,G$19,Messages!$K:$K,"&gt;="&amp;Calc!$B16,Messages!$K:$K,"&lt;"&amp;Calc!$C16),IF(_xlpm.s=0,"",_xlpm.s)),IF($A34=2,SUMIFS(Messages!$E:$E,Messages!$D:$D,G$19),IF($A34=3,IFERROR(TEXT(SUMIFS(Messages!$E:$E,Messages!$D:$D,G$19)/SUM(Messages!$E:$E),"0%"),""),"")))</f>
        <v/>
      </c>
      <c r="H34" s="27" t="str">
        <f>IF($A34=1,COUNTIFS(Messages!$K:$K,"&gt;="&amp;Calc!$B16,Messages!$K:$K,"&lt;"&amp;Calc!$C16),IF($A34=2,COUNT(Messages!$K:$K),""))</f>
        <v/>
      </c>
      <c r="I34" s="28" t="str">
        <f>IF($A34=1,SUMIFS(Messages!$E:$E,Messages!$K:$K,"&gt;="&amp;Calc!$B16,Messages!$K:$K,"&lt;"&amp;Calc!$C16),IF($A34=2,SUM(Messages!$E:$E),""))</f>
        <v/>
      </c>
      <c r="J34" s="34" t="str">
        <f>IF(AND($A34=1,$O34&lt;&gt;""),IF($O34&lt;&gt;IF(ROW()=20,ReqInit,Calc!$K15),"Client asked for "&amp;$O34&amp;" m³/h.",""),"")</f>
        <v/>
      </c>
      <c r="K34" s="34"/>
      <c r="L34" s="34"/>
      <c r="M34" s="34"/>
      <c r="O34" s="24"/>
      <c r="Q34" s="31" t="str">
        <f t="shared" si="1"/>
        <v/>
      </c>
    </row>
    <row r="35" spans="1:17" ht="20.100000000000001" customHeight="1" x14ac:dyDescent="0.25">
      <c r="A35" s="16">
        <f t="shared" si="0"/>
        <v>0</v>
      </c>
      <c r="B35" s="19" t="str">
        <f>IF($A35=1,TEXT((Calc!$C17-60)/1440,"hh:mm")&amp;" – "&amp;TEXT(Calc!$C17/1440,"hh:mm"),IF($A35=2,"TOTAL",""))</f>
        <v/>
      </c>
      <c r="C35" s="27" t="str">
        <f>IF($A35=1,_xlfn.LET(_xlpm.s,SUMIFS(Messages!$E:$E,Messages!$D:$D,C$19,Messages!$K:$K,"&gt;="&amp;Calc!$B17,Messages!$K:$K,"&lt;"&amp;Calc!$C17),IF(_xlpm.s=0,"",_xlpm.s)),IF($A35=2,SUMIFS(Messages!$E:$E,Messages!$D:$D,C$19),IF($A35=3,IFERROR(TEXT(SUMIFS(Messages!$E:$E,Messages!$D:$D,C$19)/SUM(Messages!$E:$E),"0%"),""),"")))</f>
        <v/>
      </c>
      <c r="D35" s="27" t="str">
        <f>IF($A35=1,_xlfn.LET(_xlpm.s,SUMIFS(Messages!$E:$E,Messages!$D:$D,D$19,Messages!$K:$K,"&gt;="&amp;Calc!$B17,Messages!$K:$K,"&lt;"&amp;Calc!$C17),IF(_xlpm.s=0,"",_xlpm.s)),IF($A35=2,SUMIFS(Messages!$E:$E,Messages!$D:$D,D$19),IF($A35=3,IFERROR(TEXT(SUMIFS(Messages!$E:$E,Messages!$D:$D,D$19)/SUM(Messages!$E:$E),"0%"),""),"")))</f>
        <v/>
      </c>
      <c r="E35" s="27" t="str">
        <f>IF($A35=1,_xlfn.LET(_xlpm.s,SUMIFS(Messages!$E:$E,Messages!$D:$D,E$19,Messages!$K:$K,"&gt;="&amp;Calc!$B17,Messages!$K:$K,"&lt;"&amp;Calc!$C17),IF(_xlpm.s=0,"",_xlpm.s)),IF($A35=2,SUMIFS(Messages!$E:$E,Messages!$D:$D,E$19),IF($A35=3,IFERROR(TEXT(SUMIFS(Messages!$E:$E,Messages!$D:$D,E$19)/SUM(Messages!$E:$E),"0%"),""),"")))</f>
        <v/>
      </c>
      <c r="F35" s="27" t="str">
        <f>IF($A35=1,_xlfn.LET(_xlpm.s,SUMIFS(Messages!$E:$E,Messages!$D:$D,F$19,Messages!$K:$K,"&gt;="&amp;Calc!$B17,Messages!$K:$K,"&lt;"&amp;Calc!$C17),IF(_xlpm.s=0,"",_xlpm.s)),IF($A35=2,SUMIFS(Messages!$E:$E,Messages!$D:$D,F$19),IF($A35=3,IFERROR(TEXT(SUMIFS(Messages!$E:$E,Messages!$D:$D,F$19)/SUM(Messages!$E:$E),"0%"),""),"")))</f>
        <v/>
      </c>
      <c r="G35" s="27" t="str">
        <f>IF($A35=1,_xlfn.LET(_xlpm.s,SUMIFS(Messages!$E:$E,Messages!$D:$D,G$19,Messages!$K:$K,"&gt;="&amp;Calc!$B17,Messages!$K:$K,"&lt;"&amp;Calc!$C17),IF(_xlpm.s=0,"",_xlpm.s)),IF($A35=2,SUMIFS(Messages!$E:$E,Messages!$D:$D,G$19),IF($A35=3,IFERROR(TEXT(SUMIFS(Messages!$E:$E,Messages!$D:$D,G$19)/SUM(Messages!$E:$E),"0%"),""),"")))</f>
        <v/>
      </c>
      <c r="H35" s="27" t="str">
        <f>IF($A35=1,COUNTIFS(Messages!$K:$K,"&gt;="&amp;Calc!$B17,Messages!$K:$K,"&lt;"&amp;Calc!$C17),IF($A35=2,COUNT(Messages!$K:$K),""))</f>
        <v/>
      </c>
      <c r="I35" s="28" t="str">
        <f>IF($A35=1,SUMIFS(Messages!$E:$E,Messages!$K:$K,"&gt;="&amp;Calc!$B17,Messages!$K:$K,"&lt;"&amp;Calc!$C17),IF($A35=2,SUM(Messages!$E:$E),""))</f>
        <v/>
      </c>
      <c r="J35" s="34" t="str">
        <f>IF(AND($A35=1,$O35&lt;&gt;""),IF($O35&lt;&gt;IF(ROW()=20,ReqInit,Calc!$K16),"Client asked for "&amp;$O35&amp;" m³/h.",""),"")</f>
        <v/>
      </c>
      <c r="K35" s="34"/>
      <c r="L35" s="34"/>
      <c r="M35" s="34"/>
      <c r="O35" s="24"/>
      <c r="Q35" s="31" t="str">
        <f t="shared" si="1"/>
        <v/>
      </c>
    </row>
    <row r="36" spans="1:17" ht="20.100000000000001" customHeight="1" x14ac:dyDescent="0.25">
      <c r="A36" s="16">
        <f t="shared" si="0"/>
        <v>0</v>
      </c>
      <c r="B36" s="19" t="str">
        <f>IF($A36=1,TEXT((Calc!$C18-60)/1440,"hh:mm")&amp;" – "&amp;TEXT(Calc!$C18/1440,"hh:mm"),IF($A36=2,"TOTAL",""))</f>
        <v/>
      </c>
      <c r="C36" s="27" t="str">
        <f>IF($A36=1,_xlfn.LET(_xlpm.s,SUMIFS(Messages!$E:$E,Messages!$D:$D,C$19,Messages!$K:$K,"&gt;="&amp;Calc!$B18,Messages!$K:$K,"&lt;"&amp;Calc!$C18),IF(_xlpm.s=0,"",_xlpm.s)),IF($A36=2,SUMIFS(Messages!$E:$E,Messages!$D:$D,C$19),IF($A36=3,IFERROR(TEXT(SUMIFS(Messages!$E:$E,Messages!$D:$D,C$19)/SUM(Messages!$E:$E),"0%"),""),"")))</f>
        <v/>
      </c>
      <c r="D36" s="27" t="str">
        <f>IF($A36=1,_xlfn.LET(_xlpm.s,SUMIFS(Messages!$E:$E,Messages!$D:$D,D$19,Messages!$K:$K,"&gt;="&amp;Calc!$B18,Messages!$K:$K,"&lt;"&amp;Calc!$C18),IF(_xlpm.s=0,"",_xlpm.s)),IF($A36=2,SUMIFS(Messages!$E:$E,Messages!$D:$D,D$19),IF($A36=3,IFERROR(TEXT(SUMIFS(Messages!$E:$E,Messages!$D:$D,D$19)/SUM(Messages!$E:$E),"0%"),""),"")))</f>
        <v/>
      </c>
      <c r="E36" s="27" t="str">
        <f>IF($A36=1,_xlfn.LET(_xlpm.s,SUMIFS(Messages!$E:$E,Messages!$D:$D,E$19,Messages!$K:$K,"&gt;="&amp;Calc!$B18,Messages!$K:$K,"&lt;"&amp;Calc!$C18),IF(_xlpm.s=0,"",_xlpm.s)),IF($A36=2,SUMIFS(Messages!$E:$E,Messages!$D:$D,E$19),IF($A36=3,IFERROR(TEXT(SUMIFS(Messages!$E:$E,Messages!$D:$D,E$19)/SUM(Messages!$E:$E),"0%"),""),"")))</f>
        <v/>
      </c>
      <c r="F36" s="27" t="str">
        <f>IF($A36=1,_xlfn.LET(_xlpm.s,SUMIFS(Messages!$E:$E,Messages!$D:$D,F$19,Messages!$K:$K,"&gt;="&amp;Calc!$B18,Messages!$K:$K,"&lt;"&amp;Calc!$C18),IF(_xlpm.s=0,"",_xlpm.s)),IF($A36=2,SUMIFS(Messages!$E:$E,Messages!$D:$D,F$19),IF($A36=3,IFERROR(TEXT(SUMIFS(Messages!$E:$E,Messages!$D:$D,F$19)/SUM(Messages!$E:$E),"0%"),""),"")))</f>
        <v/>
      </c>
      <c r="G36" s="27" t="str">
        <f>IF($A36=1,_xlfn.LET(_xlpm.s,SUMIFS(Messages!$E:$E,Messages!$D:$D,G$19,Messages!$K:$K,"&gt;="&amp;Calc!$B18,Messages!$K:$K,"&lt;"&amp;Calc!$C18),IF(_xlpm.s=0,"",_xlpm.s)),IF($A36=2,SUMIFS(Messages!$E:$E,Messages!$D:$D,G$19),IF($A36=3,IFERROR(TEXT(SUMIFS(Messages!$E:$E,Messages!$D:$D,G$19)/SUM(Messages!$E:$E),"0%"),""),"")))</f>
        <v/>
      </c>
      <c r="H36" s="27" t="str">
        <f>IF($A36=1,COUNTIFS(Messages!$K:$K,"&gt;="&amp;Calc!$B18,Messages!$K:$K,"&lt;"&amp;Calc!$C18),IF($A36=2,COUNT(Messages!$K:$K),""))</f>
        <v/>
      </c>
      <c r="I36" s="28" t="str">
        <f>IF($A36=1,SUMIFS(Messages!$E:$E,Messages!$K:$K,"&gt;="&amp;Calc!$B18,Messages!$K:$K,"&lt;"&amp;Calc!$C18),IF($A36=2,SUM(Messages!$E:$E),""))</f>
        <v/>
      </c>
      <c r="J36" s="34" t="str">
        <f>IF(AND($A36=1,$O36&lt;&gt;""),IF($O36&lt;&gt;IF(ROW()=20,ReqInit,Calc!$K17),"Client asked for "&amp;$O36&amp;" m³/h.",""),"")</f>
        <v/>
      </c>
      <c r="K36" s="34"/>
      <c r="L36" s="34"/>
      <c r="M36" s="34"/>
      <c r="O36" s="24"/>
      <c r="Q36" s="31" t="str">
        <f t="shared" si="1"/>
        <v/>
      </c>
    </row>
    <row r="37" spans="1:17" ht="20.100000000000001" customHeight="1" x14ac:dyDescent="0.25">
      <c r="A37" s="16">
        <f t="shared" si="0"/>
        <v>0</v>
      </c>
      <c r="B37" s="19" t="str">
        <f>IF($A37=1,TEXT((Calc!$C19-60)/1440,"hh:mm")&amp;" – "&amp;TEXT(Calc!$C19/1440,"hh:mm"),IF($A37=2,"TOTAL",""))</f>
        <v/>
      </c>
      <c r="C37" s="27" t="str">
        <f>IF($A37=1,_xlfn.LET(_xlpm.s,SUMIFS(Messages!$E:$E,Messages!$D:$D,C$19,Messages!$K:$K,"&gt;="&amp;Calc!$B19,Messages!$K:$K,"&lt;"&amp;Calc!$C19),IF(_xlpm.s=0,"",_xlpm.s)),IF($A37=2,SUMIFS(Messages!$E:$E,Messages!$D:$D,C$19),IF($A37=3,IFERROR(TEXT(SUMIFS(Messages!$E:$E,Messages!$D:$D,C$19)/SUM(Messages!$E:$E),"0%"),""),"")))</f>
        <v/>
      </c>
      <c r="D37" s="27" t="str">
        <f>IF($A37=1,_xlfn.LET(_xlpm.s,SUMIFS(Messages!$E:$E,Messages!$D:$D,D$19,Messages!$K:$K,"&gt;="&amp;Calc!$B19,Messages!$K:$K,"&lt;"&amp;Calc!$C19),IF(_xlpm.s=0,"",_xlpm.s)),IF($A37=2,SUMIFS(Messages!$E:$E,Messages!$D:$D,D$19),IF($A37=3,IFERROR(TEXT(SUMIFS(Messages!$E:$E,Messages!$D:$D,D$19)/SUM(Messages!$E:$E),"0%"),""),"")))</f>
        <v/>
      </c>
      <c r="E37" s="27" t="str">
        <f>IF($A37=1,_xlfn.LET(_xlpm.s,SUMIFS(Messages!$E:$E,Messages!$D:$D,E$19,Messages!$K:$K,"&gt;="&amp;Calc!$B19,Messages!$K:$K,"&lt;"&amp;Calc!$C19),IF(_xlpm.s=0,"",_xlpm.s)),IF($A37=2,SUMIFS(Messages!$E:$E,Messages!$D:$D,E$19),IF($A37=3,IFERROR(TEXT(SUMIFS(Messages!$E:$E,Messages!$D:$D,E$19)/SUM(Messages!$E:$E),"0%"),""),"")))</f>
        <v/>
      </c>
      <c r="F37" s="27" t="str">
        <f>IF($A37=1,_xlfn.LET(_xlpm.s,SUMIFS(Messages!$E:$E,Messages!$D:$D,F$19,Messages!$K:$K,"&gt;="&amp;Calc!$B19,Messages!$K:$K,"&lt;"&amp;Calc!$C19),IF(_xlpm.s=0,"",_xlpm.s)),IF($A37=2,SUMIFS(Messages!$E:$E,Messages!$D:$D,F$19),IF($A37=3,IFERROR(TEXT(SUMIFS(Messages!$E:$E,Messages!$D:$D,F$19)/SUM(Messages!$E:$E),"0%"),""),"")))</f>
        <v/>
      </c>
      <c r="G37" s="27" t="str">
        <f>IF($A37=1,_xlfn.LET(_xlpm.s,SUMIFS(Messages!$E:$E,Messages!$D:$D,G$19,Messages!$K:$K,"&gt;="&amp;Calc!$B19,Messages!$K:$K,"&lt;"&amp;Calc!$C19),IF(_xlpm.s=0,"",_xlpm.s)),IF($A37=2,SUMIFS(Messages!$E:$E,Messages!$D:$D,G$19),IF($A37=3,IFERROR(TEXT(SUMIFS(Messages!$E:$E,Messages!$D:$D,G$19)/SUM(Messages!$E:$E),"0%"),""),"")))</f>
        <v/>
      </c>
      <c r="H37" s="27" t="str">
        <f>IF($A37=1,COUNTIFS(Messages!$K:$K,"&gt;="&amp;Calc!$B19,Messages!$K:$K,"&lt;"&amp;Calc!$C19),IF($A37=2,COUNT(Messages!$K:$K),""))</f>
        <v/>
      </c>
      <c r="I37" s="28" t="str">
        <f>IF($A37=1,SUMIFS(Messages!$E:$E,Messages!$K:$K,"&gt;="&amp;Calc!$B19,Messages!$K:$K,"&lt;"&amp;Calc!$C19),IF($A37=2,SUM(Messages!$E:$E),""))</f>
        <v/>
      </c>
      <c r="J37" s="34" t="str">
        <f>IF(AND($A37=1,$O37&lt;&gt;""),IF($O37&lt;&gt;IF(ROW()=20,ReqInit,Calc!$K18),"Client asked for "&amp;$O37&amp;" m³/h.",""),"")</f>
        <v/>
      </c>
      <c r="K37" s="34"/>
      <c r="L37" s="34"/>
      <c r="M37" s="34"/>
      <c r="O37" s="24"/>
      <c r="Q37" s="31" t="str">
        <f t="shared" si="1"/>
        <v/>
      </c>
    </row>
    <row r="38" spans="1:17" ht="20.100000000000001" customHeight="1" x14ac:dyDescent="0.25">
      <c r="A38" s="16">
        <f t="shared" si="0"/>
        <v>0</v>
      </c>
      <c r="B38" s="19" t="str">
        <f>IF($A38=1,TEXT((Calc!$C20-60)/1440,"hh:mm")&amp;" – "&amp;TEXT(Calc!$C20/1440,"hh:mm"),IF($A38=2,"TOTAL",""))</f>
        <v/>
      </c>
      <c r="C38" s="27" t="str">
        <f>IF($A38=1,_xlfn.LET(_xlpm.s,SUMIFS(Messages!$E:$E,Messages!$D:$D,C$19,Messages!$K:$K,"&gt;="&amp;Calc!$B20,Messages!$K:$K,"&lt;"&amp;Calc!$C20),IF(_xlpm.s=0,"",_xlpm.s)),IF($A38=2,SUMIFS(Messages!$E:$E,Messages!$D:$D,C$19),IF($A38=3,IFERROR(TEXT(SUMIFS(Messages!$E:$E,Messages!$D:$D,C$19)/SUM(Messages!$E:$E),"0%"),""),"")))</f>
        <v/>
      </c>
      <c r="D38" s="27" t="str">
        <f>IF($A38=1,_xlfn.LET(_xlpm.s,SUMIFS(Messages!$E:$E,Messages!$D:$D,D$19,Messages!$K:$K,"&gt;="&amp;Calc!$B20,Messages!$K:$K,"&lt;"&amp;Calc!$C20),IF(_xlpm.s=0,"",_xlpm.s)),IF($A38=2,SUMIFS(Messages!$E:$E,Messages!$D:$D,D$19),IF($A38=3,IFERROR(TEXT(SUMIFS(Messages!$E:$E,Messages!$D:$D,D$19)/SUM(Messages!$E:$E),"0%"),""),"")))</f>
        <v/>
      </c>
      <c r="E38" s="27" t="str">
        <f>IF($A38=1,_xlfn.LET(_xlpm.s,SUMIFS(Messages!$E:$E,Messages!$D:$D,E$19,Messages!$K:$K,"&gt;="&amp;Calc!$B20,Messages!$K:$K,"&lt;"&amp;Calc!$C20),IF(_xlpm.s=0,"",_xlpm.s)),IF($A38=2,SUMIFS(Messages!$E:$E,Messages!$D:$D,E$19),IF($A38=3,IFERROR(TEXT(SUMIFS(Messages!$E:$E,Messages!$D:$D,E$19)/SUM(Messages!$E:$E),"0%"),""),"")))</f>
        <v/>
      </c>
      <c r="F38" s="27" t="str">
        <f>IF($A38=1,_xlfn.LET(_xlpm.s,SUMIFS(Messages!$E:$E,Messages!$D:$D,F$19,Messages!$K:$K,"&gt;="&amp;Calc!$B20,Messages!$K:$K,"&lt;"&amp;Calc!$C20),IF(_xlpm.s=0,"",_xlpm.s)),IF($A38=2,SUMIFS(Messages!$E:$E,Messages!$D:$D,F$19),IF($A38=3,IFERROR(TEXT(SUMIFS(Messages!$E:$E,Messages!$D:$D,F$19)/SUM(Messages!$E:$E),"0%"),""),"")))</f>
        <v/>
      </c>
      <c r="G38" s="27" t="str">
        <f>IF($A38=1,_xlfn.LET(_xlpm.s,SUMIFS(Messages!$E:$E,Messages!$D:$D,G$19,Messages!$K:$K,"&gt;="&amp;Calc!$B20,Messages!$K:$K,"&lt;"&amp;Calc!$C20),IF(_xlpm.s=0,"",_xlpm.s)),IF($A38=2,SUMIFS(Messages!$E:$E,Messages!$D:$D,G$19),IF($A38=3,IFERROR(TEXT(SUMIFS(Messages!$E:$E,Messages!$D:$D,G$19)/SUM(Messages!$E:$E),"0%"),""),"")))</f>
        <v/>
      </c>
      <c r="H38" s="27" t="str">
        <f>IF($A38=1,COUNTIFS(Messages!$K:$K,"&gt;="&amp;Calc!$B20,Messages!$K:$K,"&lt;"&amp;Calc!$C20),IF($A38=2,COUNT(Messages!$K:$K),""))</f>
        <v/>
      </c>
      <c r="I38" s="28" t="str">
        <f>IF($A38=1,SUMIFS(Messages!$E:$E,Messages!$K:$K,"&gt;="&amp;Calc!$B20,Messages!$K:$K,"&lt;"&amp;Calc!$C20),IF($A38=2,SUM(Messages!$E:$E),""))</f>
        <v/>
      </c>
      <c r="J38" s="34" t="str">
        <f>IF(AND($A38=1,$O38&lt;&gt;""),IF($O38&lt;&gt;IF(ROW()=20,ReqInit,Calc!$K19),"Client asked for "&amp;$O38&amp;" m³/h.",""),"")</f>
        <v/>
      </c>
      <c r="K38" s="34"/>
      <c r="L38" s="34"/>
      <c r="M38" s="34"/>
      <c r="O38" s="24"/>
      <c r="Q38" s="31" t="str">
        <f t="shared" si="1"/>
        <v/>
      </c>
    </row>
    <row r="39" spans="1:17" ht="20.100000000000001" customHeight="1" x14ac:dyDescent="0.25">
      <c r="A39" s="16">
        <f t="shared" si="0"/>
        <v>0</v>
      </c>
      <c r="B39" s="19" t="str">
        <f>IF($A39=1,TEXT((Calc!$C21-60)/1440,"hh:mm")&amp;" – "&amp;TEXT(Calc!$C21/1440,"hh:mm"),IF($A39=2,"TOTAL",""))</f>
        <v/>
      </c>
      <c r="C39" s="27" t="str">
        <f>IF($A39=1,_xlfn.LET(_xlpm.s,SUMIFS(Messages!$E:$E,Messages!$D:$D,C$19,Messages!$K:$K,"&gt;="&amp;Calc!$B21,Messages!$K:$K,"&lt;"&amp;Calc!$C21),IF(_xlpm.s=0,"",_xlpm.s)),IF($A39=2,SUMIFS(Messages!$E:$E,Messages!$D:$D,C$19),IF($A39=3,IFERROR(TEXT(SUMIFS(Messages!$E:$E,Messages!$D:$D,C$19)/SUM(Messages!$E:$E),"0%"),""),"")))</f>
        <v/>
      </c>
      <c r="D39" s="27" t="str">
        <f>IF($A39=1,_xlfn.LET(_xlpm.s,SUMIFS(Messages!$E:$E,Messages!$D:$D,D$19,Messages!$K:$K,"&gt;="&amp;Calc!$B21,Messages!$K:$K,"&lt;"&amp;Calc!$C21),IF(_xlpm.s=0,"",_xlpm.s)),IF($A39=2,SUMIFS(Messages!$E:$E,Messages!$D:$D,D$19),IF($A39=3,IFERROR(TEXT(SUMIFS(Messages!$E:$E,Messages!$D:$D,D$19)/SUM(Messages!$E:$E),"0%"),""),"")))</f>
        <v/>
      </c>
      <c r="E39" s="27" t="str">
        <f>IF($A39=1,_xlfn.LET(_xlpm.s,SUMIFS(Messages!$E:$E,Messages!$D:$D,E$19,Messages!$K:$K,"&gt;="&amp;Calc!$B21,Messages!$K:$K,"&lt;"&amp;Calc!$C21),IF(_xlpm.s=0,"",_xlpm.s)),IF($A39=2,SUMIFS(Messages!$E:$E,Messages!$D:$D,E$19),IF($A39=3,IFERROR(TEXT(SUMIFS(Messages!$E:$E,Messages!$D:$D,E$19)/SUM(Messages!$E:$E),"0%"),""),"")))</f>
        <v/>
      </c>
      <c r="F39" s="27" t="str">
        <f>IF($A39=1,_xlfn.LET(_xlpm.s,SUMIFS(Messages!$E:$E,Messages!$D:$D,F$19,Messages!$K:$K,"&gt;="&amp;Calc!$B21,Messages!$K:$K,"&lt;"&amp;Calc!$C21),IF(_xlpm.s=0,"",_xlpm.s)),IF($A39=2,SUMIFS(Messages!$E:$E,Messages!$D:$D,F$19),IF($A39=3,IFERROR(TEXT(SUMIFS(Messages!$E:$E,Messages!$D:$D,F$19)/SUM(Messages!$E:$E),"0%"),""),"")))</f>
        <v/>
      </c>
      <c r="G39" s="27" t="str">
        <f>IF($A39=1,_xlfn.LET(_xlpm.s,SUMIFS(Messages!$E:$E,Messages!$D:$D,G$19,Messages!$K:$K,"&gt;="&amp;Calc!$B21,Messages!$K:$K,"&lt;"&amp;Calc!$C21),IF(_xlpm.s=0,"",_xlpm.s)),IF($A39=2,SUMIFS(Messages!$E:$E,Messages!$D:$D,G$19),IF($A39=3,IFERROR(TEXT(SUMIFS(Messages!$E:$E,Messages!$D:$D,G$19)/SUM(Messages!$E:$E),"0%"),""),"")))</f>
        <v/>
      </c>
      <c r="H39" s="27" t="str">
        <f>IF($A39=1,COUNTIFS(Messages!$K:$K,"&gt;="&amp;Calc!$B21,Messages!$K:$K,"&lt;"&amp;Calc!$C21),IF($A39=2,COUNT(Messages!$K:$K),""))</f>
        <v/>
      </c>
      <c r="I39" s="28" t="str">
        <f>IF($A39=1,SUMIFS(Messages!$E:$E,Messages!$K:$K,"&gt;="&amp;Calc!$B21,Messages!$K:$K,"&lt;"&amp;Calc!$C21),IF($A39=2,SUM(Messages!$E:$E),""))</f>
        <v/>
      </c>
      <c r="J39" s="34" t="str">
        <f>IF(AND($A39=1,$O39&lt;&gt;""),IF($O39&lt;&gt;IF(ROW()=20,ReqInit,Calc!$K20),"Client asked for "&amp;$O39&amp;" m³/h.",""),"")</f>
        <v/>
      </c>
      <c r="K39" s="34"/>
      <c r="L39" s="34"/>
      <c r="M39" s="34"/>
      <c r="O39" s="24"/>
      <c r="Q39" s="31" t="str">
        <f t="shared" si="1"/>
        <v/>
      </c>
    </row>
    <row r="40" spans="1:17" ht="20.100000000000001" customHeight="1" x14ac:dyDescent="0.25">
      <c r="A40" s="16">
        <f t="shared" si="0"/>
        <v>0</v>
      </c>
      <c r="B40" s="19" t="str">
        <f>IF($A40=1,TEXT((Calc!$C22-60)/1440,"hh:mm")&amp;" – "&amp;TEXT(Calc!$C22/1440,"hh:mm"),IF($A40=2,"TOTAL",""))</f>
        <v/>
      </c>
      <c r="C40" s="27" t="str">
        <f>IF($A40=1,_xlfn.LET(_xlpm.s,SUMIFS(Messages!$E:$E,Messages!$D:$D,C$19,Messages!$K:$K,"&gt;="&amp;Calc!$B22,Messages!$K:$K,"&lt;"&amp;Calc!$C22),IF(_xlpm.s=0,"",_xlpm.s)),IF($A40=2,SUMIFS(Messages!$E:$E,Messages!$D:$D,C$19),IF($A40=3,IFERROR(TEXT(SUMIFS(Messages!$E:$E,Messages!$D:$D,C$19)/SUM(Messages!$E:$E),"0%"),""),"")))</f>
        <v/>
      </c>
      <c r="D40" s="27" t="str">
        <f>IF($A40=1,_xlfn.LET(_xlpm.s,SUMIFS(Messages!$E:$E,Messages!$D:$D,D$19,Messages!$K:$K,"&gt;="&amp;Calc!$B22,Messages!$K:$K,"&lt;"&amp;Calc!$C22),IF(_xlpm.s=0,"",_xlpm.s)),IF($A40=2,SUMIFS(Messages!$E:$E,Messages!$D:$D,D$19),IF($A40=3,IFERROR(TEXT(SUMIFS(Messages!$E:$E,Messages!$D:$D,D$19)/SUM(Messages!$E:$E),"0%"),""),"")))</f>
        <v/>
      </c>
      <c r="E40" s="27" t="str">
        <f>IF($A40=1,_xlfn.LET(_xlpm.s,SUMIFS(Messages!$E:$E,Messages!$D:$D,E$19,Messages!$K:$K,"&gt;="&amp;Calc!$B22,Messages!$K:$K,"&lt;"&amp;Calc!$C22),IF(_xlpm.s=0,"",_xlpm.s)),IF($A40=2,SUMIFS(Messages!$E:$E,Messages!$D:$D,E$19),IF($A40=3,IFERROR(TEXT(SUMIFS(Messages!$E:$E,Messages!$D:$D,E$19)/SUM(Messages!$E:$E),"0%"),""),"")))</f>
        <v/>
      </c>
      <c r="F40" s="27" t="str">
        <f>IF($A40=1,_xlfn.LET(_xlpm.s,SUMIFS(Messages!$E:$E,Messages!$D:$D,F$19,Messages!$K:$K,"&gt;="&amp;Calc!$B22,Messages!$K:$K,"&lt;"&amp;Calc!$C22),IF(_xlpm.s=0,"",_xlpm.s)),IF($A40=2,SUMIFS(Messages!$E:$E,Messages!$D:$D,F$19),IF($A40=3,IFERROR(TEXT(SUMIFS(Messages!$E:$E,Messages!$D:$D,F$19)/SUM(Messages!$E:$E),"0%"),""),"")))</f>
        <v/>
      </c>
      <c r="G40" s="27" t="str">
        <f>IF($A40=1,_xlfn.LET(_xlpm.s,SUMIFS(Messages!$E:$E,Messages!$D:$D,G$19,Messages!$K:$K,"&gt;="&amp;Calc!$B22,Messages!$K:$K,"&lt;"&amp;Calc!$C22),IF(_xlpm.s=0,"",_xlpm.s)),IF($A40=2,SUMIFS(Messages!$E:$E,Messages!$D:$D,G$19),IF($A40=3,IFERROR(TEXT(SUMIFS(Messages!$E:$E,Messages!$D:$D,G$19)/SUM(Messages!$E:$E),"0%"),""),"")))</f>
        <v/>
      </c>
      <c r="H40" s="27" t="str">
        <f>IF($A40=1,COUNTIFS(Messages!$K:$K,"&gt;="&amp;Calc!$B22,Messages!$K:$K,"&lt;"&amp;Calc!$C22),IF($A40=2,COUNT(Messages!$K:$K),""))</f>
        <v/>
      </c>
      <c r="I40" s="28" t="str">
        <f>IF($A40=1,SUMIFS(Messages!$E:$E,Messages!$K:$K,"&gt;="&amp;Calc!$B22,Messages!$K:$K,"&lt;"&amp;Calc!$C22),IF($A40=2,SUM(Messages!$E:$E),""))</f>
        <v/>
      </c>
      <c r="J40" s="34" t="str">
        <f>IF(AND($A40=1,$O40&lt;&gt;""),IF($O40&lt;&gt;IF(ROW()=20,ReqInit,Calc!$K21),"Client asked for "&amp;$O40&amp;" m³/h.",""),"")</f>
        <v/>
      </c>
      <c r="K40" s="34"/>
      <c r="L40" s="34"/>
      <c r="M40" s="34"/>
      <c r="O40" s="24"/>
      <c r="Q40" s="31" t="str">
        <f t="shared" si="1"/>
        <v/>
      </c>
    </row>
    <row r="41" spans="1:17" ht="20.100000000000001" customHeight="1" x14ac:dyDescent="0.25">
      <c r="A41" s="16">
        <f t="shared" si="0"/>
        <v>0</v>
      </c>
      <c r="B41" s="19" t="str">
        <f>IF($A41=1,TEXT((Calc!$C23-60)/1440,"hh:mm")&amp;" – "&amp;TEXT(Calc!$C23/1440,"hh:mm"),IF($A41=2,"TOTAL",""))</f>
        <v/>
      </c>
      <c r="C41" s="27" t="str">
        <f>IF($A41=1,_xlfn.LET(_xlpm.s,SUMIFS(Messages!$E:$E,Messages!$D:$D,C$19,Messages!$K:$K,"&gt;="&amp;Calc!$B23,Messages!$K:$K,"&lt;"&amp;Calc!$C23),IF(_xlpm.s=0,"",_xlpm.s)),IF($A41=2,SUMIFS(Messages!$E:$E,Messages!$D:$D,C$19),IF($A41=3,IFERROR(TEXT(SUMIFS(Messages!$E:$E,Messages!$D:$D,C$19)/SUM(Messages!$E:$E),"0%"),""),"")))</f>
        <v/>
      </c>
      <c r="D41" s="27" t="str">
        <f>IF($A41=1,_xlfn.LET(_xlpm.s,SUMIFS(Messages!$E:$E,Messages!$D:$D,D$19,Messages!$K:$K,"&gt;="&amp;Calc!$B23,Messages!$K:$K,"&lt;"&amp;Calc!$C23),IF(_xlpm.s=0,"",_xlpm.s)),IF($A41=2,SUMIFS(Messages!$E:$E,Messages!$D:$D,D$19),IF($A41=3,IFERROR(TEXT(SUMIFS(Messages!$E:$E,Messages!$D:$D,D$19)/SUM(Messages!$E:$E),"0%"),""),"")))</f>
        <v/>
      </c>
      <c r="E41" s="27" t="str">
        <f>IF($A41=1,_xlfn.LET(_xlpm.s,SUMIFS(Messages!$E:$E,Messages!$D:$D,E$19,Messages!$K:$K,"&gt;="&amp;Calc!$B23,Messages!$K:$K,"&lt;"&amp;Calc!$C23),IF(_xlpm.s=0,"",_xlpm.s)),IF($A41=2,SUMIFS(Messages!$E:$E,Messages!$D:$D,E$19),IF($A41=3,IFERROR(TEXT(SUMIFS(Messages!$E:$E,Messages!$D:$D,E$19)/SUM(Messages!$E:$E),"0%"),""),"")))</f>
        <v/>
      </c>
      <c r="F41" s="27" t="str">
        <f>IF($A41=1,_xlfn.LET(_xlpm.s,SUMIFS(Messages!$E:$E,Messages!$D:$D,F$19,Messages!$K:$K,"&gt;="&amp;Calc!$B23,Messages!$K:$K,"&lt;"&amp;Calc!$C23),IF(_xlpm.s=0,"",_xlpm.s)),IF($A41=2,SUMIFS(Messages!$E:$E,Messages!$D:$D,F$19),IF($A41=3,IFERROR(TEXT(SUMIFS(Messages!$E:$E,Messages!$D:$D,F$19)/SUM(Messages!$E:$E),"0%"),""),"")))</f>
        <v/>
      </c>
      <c r="G41" s="27" t="str">
        <f>IF($A41=1,_xlfn.LET(_xlpm.s,SUMIFS(Messages!$E:$E,Messages!$D:$D,G$19,Messages!$K:$K,"&gt;="&amp;Calc!$B23,Messages!$K:$K,"&lt;"&amp;Calc!$C23),IF(_xlpm.s=0,"",_xlpm.s)),IF($A41=2,SUMIFS(Messages!$E:$E,Messages!$D:$D,G$19),IF($A41=3,IFERROR(TEXT(SUMIFS(Messages!$E:$E,Messages!$D:$D,G$19)/SUM(Messages!$E:$E),"0%"),""),"")))</f>
        <v/>
      </c>
      <c r="H41" s="27" t="str">
        <f>IF($A41=1,COUNTIFS(Messages!$K:$K,"&gt;="&amp;Calc!$B23,Messages!$K:$K,"&lt;"&amp;Calc!$C23),IF($A41=2,COUNT(Messages!$K:$K),""))</f>
        <v/>
      </c>
      <c r="I41" s="28" t="str">
        <f>IF($A41=1,SUMIFS(Messages!$E:$E,Messages!$K:$K,"&gt;="&amp;Calc!$B23,Messages!$K:$K,"&lt;"&amp;Calc!$C23),IF($A41=2,SUM(Messages!$E:$E),""))</f>
        <v/>
      </c>
      <c r="J41" s="34" t="str">
        <f>IF(AND($A41=1,$O41&lt;&gt;""),IF($O41&lt;&gt;IF(ROW()=20,ReqInit,Calc!$K22),"Client asked for "&amp;$O41&amp;" m³/h.",""),"")</f>
        <v/>
      </c>
      <c r="K41" s="34"/>
      <c r="L41" s="34"/>
      <c r="M41" s="34"/>
      <c r="O41" s="24"/>
      <c r="Q41" s="31" t="str">
        <f t="shared" si="1"/>
        <v/>
      </c>
    </row>
    <row r="42" spans="1:17" ht="20.100000000000001" customHeight="1" x14ac:dyDescent="0.25">
      <c r="A42" s="16">
        <f t="shared" si="0"/>
        <v>0</v>
      </c>
      <c r="B42" s="19" t="str">
        <f>IF($A42=1,TEXT((Calc!$C24-60)/1440,"hh:mm")&amp;" – "&amp;TEXT(Calc!$C24/1440,"hh:mm"),IF($A42=2,"TOTAL",""))</f>
        <v/>
      </c>
      <c r="C42" s="27" t="str">
        <f>IF($A42=1,_xlfn.LET(_xlpm.s,SUMIFS(Messages!$E:$E,Messages!$D:$D,C$19,Messages!$K:$K,"&gt;="&amp;Calc!$B24,Messages!$K:$K,"&lt;"&amp;Calc!$C24),IF(_xlpm.s=0,"",_xlpm.s)),IF($A42=2,SUMIFS(Messages!$E:$E,Messages!$D:$D,C$19),IF($A42=3,IFERROR(TEXT(SUMIFS(Messages!$E:$E,Messages!$D:$D,C$19)/SUM(Messages!$E:$E),"0%"),""),"")))</f>
        <v/>
      </c>
      <c r="D42" s="27" t="str">
        <f>IF($A42=1,_xlfn.LET(_xlpm.s,SUMIFS(Messages!$E:$E,Messages!$D:$D,D$19,Messages!$K:$K,"&gt;="&amp;Calc!$B24,Messages!$K:$K,"&lt;"&amp;Calc!$C24),IF(_xlpm.s=0,"",_xlpm.s)),IF($A42=2,SUMIFS(Messages!$E:$E,Messages!$D:$D,D$19),IF($A42=3,IFERROR(TEXT(SUMIFS(Messages!$E:$E,Messages!$D:$D,D$19)/SUM(Messages!$E:$E),"0%"),""),"")))</f>
        <v/>
      </c>
      <c r="E42" s="27" t="str">
        <f>IF($A42=1,_xlfn.LET(_xlpm.s,SUMIFS(Messages!$E:$E,Messages!$D:$D,E$19,Messages!$K:$K,"&gt;="&amp;Calc!$B24,Messages!$K:$K,"&lt;"&amp;Calc!$C24),IF(_xlpm.s=0,"",_xlpm.s)),IF($A42=2,SUMIFS(Messages!$E:$E,Messages!$D:$D,E$19),IF($A42=3,IFERROR(TEXT(SUMIFS(Messages!$E:$E,Messages!$D:$D,E$19)/SUM(Messages!$E:$E),"0%"),""),"")))</f>
        <v/>
      </c>
      <c r="F42" s="27" t="str">
        <f>IF($A42=1,_xlfn.LET(_xlpm.s,SUMIFS(Messages!$E:$E,Messages!$D:$D,F$19,Messages!$K:$K,"&gt;="&amp;Calc!$B24,Messages!$K:$K,"&lt;"&amp;Calc!$C24),IF(_xlpm.s=0,"",_xlpm.s)),IF($A42=2,SUMIFS(Messages!$E:$E,Messages!$D:$D,F$19),IF($A42=3,IFERROR(TEXT(SUMIFS(Messages!$E:$E,Messages!$D:$D,F$19)/SUM(Messages!$E:$E),"0%"),""),"")))</f>
        <v/>
      </c>
      <c r="G42" s="27" t="str">
        <f>IF($A42=1,_xlfn.LET(_xlpm.s,SUMIFS(Messages!$E:$E,Messages!$D:$D,G$19,Messages!$K:$K,"&gt;="&amp;Calc!$B24,Messages!$K:$K,"&lt;"&amp;Calc!$C24),IF(_xlpm.s=0,"",_xlpm.s)),IF($A42=2,SUMIFS(Messages!$E:$E,Messages!$D:$D,G$19),IF($A42=3,IFERROR(TEXT(SUMIFS(Messages!$E:$E,Messages!$D:$D,G$19)/SUM(Messages!$E:$E),"0%"),""),"")))</f>
        <v/>
      </c>
      <c r="H42" s="27" t="str">
        <f>IF($A42=1,COUNTIFS(Messages!$K:$K,"&gt;="&amp;Calc!$B24,Messages!$K:$K,"&lt;"&amp;Calc!$C24),IF($A42=2,COUNT(Messages!$K:$K),""))</f>
        <v/>
      </c>
      <c r="I42" s="28" t="str">
        <f>IF($A42=1,SUMIFS(Messages!$E:$E,Messages!$K:$K,"&gt;="&amp;Calc!$B24,Messages!$K:$K,"&lt;"&amp;Calc!$C24),IF($A42=2,SUM(Messages!$E:$E),""))</f>
        <v/>
      </c>
      <c r="J42" s="34" t="str">
        <f>IF(AND($A42=1,$O42&lt;&gt;""),IF($O42&lt;&gt;IF(ROW()=20,ReqInit,Calc!$K23),"Client asked for "&amp;$O42&amp;" m³/h.",""),"")</f>
        <v/>
      </c>
      <c r="K42" s="34"/>
      <c r="L42" s="34"/>
      <c r="M42" s="34"/>
      <c r="O42" s="24"/>
      <c r="Q42" s="31" t="str">
        <f t="shared" si="1"/>
        <v/>
      </c>
    </row>
    <row r="43" spans="1:17" ht="20.100000000000001" customHeight="1" x14ac:dyDescent="0.25">
      <c r="A43" s="16">
        <f t="shared" si="0"/>
        <v>0</v>
      </c>
      <c r="B43" s="19" t="str">
        <f>IF($A43=1,TEXT((Calc!$C25-60)/1440,"hh:mm")&amp;" – "&amp;TEXT(Calc!$C25/1440,"hh:mm"),IF($A43=2,"TOTAL",""))</f>
        <v/>
      </c>
      <c r="C43" s="27" t="str">
        <f>IF($A43=1,_xlfn.LET(_xlpm.s,SUMIFS(Messages!$E:$E,Messages!$D:$D,C$19,Messages!$K:$K,"&gt;="&amp;Calc!$B25,Messages!$K:$K,"&lt;"&amp;Calc!$C25),IF(_xlpm.s=0,"",_xlpm.s)),IF($A43=2,SUMIFS(Messages!$E:$E,Messages!$D:$D,C$19),IF($A43=3,IFERROR(TEXT(SUMIFS(Messages!$E:$E,Messages!$D:$D,C$19)/SUM(Messages!$E:$E),"0%"),""),"")))</f>
        <v/>
      </c>
      <c r="D43" s="27" t="str">
        <f>IF($A43=1,_xlfn.LET(_xlpm.s,SUMIFS(Messages!$E:$E,Messages!$D:$D,D$19,Messages!$K:$K,"&gt;="&amp;Calc!$B25,Messages!$K:$K,"&lt;"&amp;Calc!$C25),IF(_xlpm.s=0,"",_xlpm.s)),IF($A43=2,SUMIFS(Messages!$E:$E,Messages!$D:$D,D$19),IF($A43=3,IFERROR(TEXT(SUMIFS(Messages!$E:$E,Messages!$D:$D,D$19)/SUM(Messages!$E:$E),"0%"),""),"")))</f>
        <v/>
      </c>
      <c r="E43" s="27" t="str">
        <f>IF($A43=1,_xlfn.LET(_xlpm.s,SUMIFS(Messages!$E:$E,Messages!$D:$D,E$19,Messages!$K:$K,"&gt;="&amp;Calc!$B25,Messages!$K:$K,"&lt;"&amp;Calc!$C25),IF(_xlpm.s=0,"",_xlpm.s)),IF($A43=2,SUMIFS(Messages!$E:$E,Messages!$D:$D,E$19),IF($A43=3,IFERROR(TEXT(SUMIFS(Messages!$E:$E,Messages!$D:$D,E$19)/SUM(Messages!$E:$E),"0%"),""),"")))</f>
        <v/>
      </c>
      <c r="F43" s="27" t="str">
        <f>IF($A43=1,_xlfn.LET(_xlpm.s,SUMIFS(Messages!$E:$E,Messages!$D:$D,F$19,Messages!$K:$K,"&gt;="&amp;Calc!$B25,Messages!$K:$K,"&lt;"&amp;Calc!$C25),IF(_xlpm.s=0,"",_xlpm.s)),IF($A43=2,SUMIFS(Messages!$E:$E,Messages!$D:$D,F$19),IF($A43=3,IFERROR(TEXT(SUMIFS(Messages!$E:$E,Messages!$D:$D,F$19)/SUM(Messages!$E:$E),"0%"),""),"")))</f>
        <v/>
      </c>
      <c r="G43" s="27" t="str">
        <f>IF($A43=1,_xlfn.LET(_xlpm.s,SUMIFS(Messages!$E:$E,Messages!$D:$D,G$19,Messages!$K:$K,"&gt;="&amp;Calc!$B25,Messages!$K:$K,"&lt;"&amp;Calc!$C25),IF(_xlpm.s=0,"",_xlpm.s)),IF($A43=2,SUMIFS(Messages!$E:$E,Messages!$D:$D,G$19),IF($A43=3,IFERROR(TEXT(SUMIFS(Messages!$E:$E,Messages!$D:$D,G$19)/SUM(Messages!$E:$E),"0%"),""),"")))</f>
        <v/>
      </c>
      <c r="H43" s="27" t="str">
        <f>IF($A43=1,COUNTIFS(Messages!$K:$K,"&gt;="&amp;Calc!$B25,Messages!$K:$K,"&lt;"&amp;Calc!$C25),IF($A43=2,COUNT(Messages!$K:$K),""))</f>
        <v/>
      </c>
      <c r="I43" s="28" t="str">
        <f>IF($A43=1,SUMIFS(Messages!$E:$E,Messages!$K:$K,"&gt;="&amp;Calc!$B25,Messages!$K:$K,"&lt;"&amp;Calc!$C25),IF($A43=2,SUM(Messages!$E:$E),""))</f>
        <v/>
      </c>
      <c r="J43" s="34" t="str">
        <f>IF(AND($A43=1,$O43&lt;&gt;""),IF($O43&lt;&gt;IF(ROW()=20,ReqInit,Calc!$K24),"Client asked for "&amp;$O43&amp;" m³/h.",""),"")</f>
        <v/>
      </c>
      <c r="K43" s="34"/>
      <c r="L43" s="34"/>
      <c r="M43" s="34"/>
      <c r="O43" s="24"/>
      <c r="Q43" s="31" t="str">
        <f t="shared" si="1"/>
        <v/>
      </c>
    </row>
    <row r="44" spans="1:17" ht="20.100000000000001" customHeight="1" x14ac:dyDescent="0.25">
      <c r="A44" s="16">
        <f t="shared" si="0"/>
        <v>0</v>
      </c>
      <c r="B44" s="19" t="str">
        <f>IF($A44=1,TEXT((Calc!$C26-60)/1440,"hh:mm")&amp;" – "&amp;TEXT(Calc!$C26/1440,"hh:mm"),IF($A44=2,"TOTAL",""))</f>
        <v/>
      </c>
      <c r="C44" s="27" t="str">
        <f>IF($A44=1,_xlfn.LET(_xlpm.s,SUMIFS(Messages!$E:$E,Messages!$D:$D,C$19,Messages!$K:$K,"&gt;="&amp;Calc!$B26,Messages!$K:$K,"&lt;"&amp;Calc!$C26),IF(_xlpm.s=0,"",_xlpm.s)),IF($A44=2,SUMIFS(Messages!$E:$E,Messages!$D:$D,C$19),IF($A44=3,IFERROR(TEXT(SUMIFS(Messages!$E:$E,Messages!$D:$D,C$19)/SUM(Messages!$E:$E),"0%"),""),"")))</f>
        <v/>
      </c>
      <c r="D44" s="27" t="str">
        <f>IF($A44=1,_xlfn.LET(_xlpm.s,SUMIFS(Messages!$E:$E,Messages!$D:$D,D$19,Messages!$K:$K,"&gt;="&amp;Calc!$B26,Messages!$K:$K,"&lt;"&amp;Calc!$C26),IF(_xlpm.s=0,"",_xlpm.s)),IF($A44=2,SUMIFS(Messages!$E:$E,Messages!$D:$D,D$19),IF($A44=3,IFERROR(TEXT(SUMIFS(Messages!$E:$E,Messages!$D:$D,D$19)/SUM(Messages!$E:$E),"0%"),""),"")))</f>
        <v/>
      </c>
      <c r="E44" s="27" t="str">
        <f>IF($A44=1,_xlfn.LET(_xlpm.s,SUMIFS(Messages!$E:$E,Messages!$D:$D,E$19,Messages!$K:$K,"&gt;="&amp;Calc!$B26,Messages!$K:$K,"&lt;"&amp;Calc!$C26),IF(_xlpm.s=0,"",_xlpm.s)),IF($A44=2,SUMIFS(Messages!$E:$E,Messages!$D:$D,E$19),IF($A44=3,IFERROR(TEXT(SUMIFS(Messages!$E:$E,Messages!$D:$D,E$19)/SUM(Messages!$E:$E),"0%"),""),"")))</f>
        <v/>
      </c>
      <c r="F44" s="27" t="str">
        <f>IF($A44=1,_xlfn.LET(_xlpm.s,SUMIFS(Messages!$E:$E,Messages!$D:$D,F$19,Messages!$K:$K,"&gt;="&amp;Calc!$B26,Messages!$K:$K,"&lt;"&amp;Calc!$C26),IF(_xlpm.s=0,"",_xlpm.s)),IF($A44=2,SUMIFS(Messages!$E:$E,Messages!$D:$D,F$19),IF($A44=3,IFERROR(TEXT(SUMIFS(Messages!$E:$E,Messages!$D:$D,F$19)/SUM(Messages!$E:$E),"0%"),""),"")))</f>
        <v/>
      </c>
      <c r="G44" s="27" t="str">
        <f>IF($A44=1,_xlfn.LET(_xlpm.s,SUMIFS(Messages!$E:$E,Messages!$D:$D,G$19,Messages!$K:$K,"&gt;="&amp;Calc!$B26,Messages!$K:$K,"&lt;"&amp;Calc!$C26),IF(_xlpm.s=0,"",_xlpm.s)),IF($A44=2,SUMIFS(Messages!$E:$E,Messages!$D:$D,G$19),IF($A44=3,IFERROR(TEXT(SUMIFS(Messages!$E:$E,Messages!$D:$D,G$19)/SUM(Messages!$E:$E),"0%"),""),"")))</f>
        <v/>
      </c>
      <c r="H44" s="27" t="str">
        <f>IF($A44=1,COUNTIFS(Messages!$K:$K,"&gt;="&amp;Calc!$B26,Messages!$K:$K,"&lt;"&amp;Calc!$C26),IF($A44=2,COUNT(Messages!$K:$K),""))</f>
        <v/>
      </c>
      <c r="I44" s="28" t="str">
        <f>IF($A44=1,SUMIFS(Messages!$E:$E,Messages!$K:$K,"&gt;="&amp;Calc!$B26,Messages!$K:$K,"&lt;"&amp;Calc!$C26),IF($A44=2,SUM(Messages!$E:$E),""))</f>
        <v/>
      </c>
      <c r="J44" s="34" t="str">
        <f>IF(AND($A44=1,$O44&lt;&gt;""),IF($O44&lt;&gt;IF(ROW()=20,ReqInit,Calc!$K25),"Client asked for "&amp;$O44&amp;" m³/h.",""),"")</f>
        <v/>
      </c>
      <c r="K44" s="34"/>
      <c r="L44" s="34"/>
      <c r="M44" s="34"/>
      <c r="O44" s="24"/>
      <c r="Q44" s="31" t="str">
        <f t="shared" si="1"/>
        <v/>
      </c>
    </row>
    <row r="45" spans="1:17" ht="20.100000000000001" customHeight="1" x14ac:dyDescent="0.25">
      <c r="A45" s="16">
        <f t="shared" si="0"/>
        <v>0</v>
      </c>
      <c r="B45" s="19" t="str">
        <f>IF($A45=1,TEXT((Calc!$C27-60)/1440,"hh:mm")&amp;" – "&amp;TEXT(Calc!$C27/1440,"hh:mm"),IF($A45=2,"TOTAL",""))</f>
        <v/>
      </c>
      <c r="C45" s="27" t="str">
        <f>IF($A45=1,_xlfn.LET(_xlpm.s,SUMIFS(Messages!$E:$E,Messages!$D:$D,C$19,Messages!$K:$K,"&gt;="&amp;Calc!$B27,Messages!$K:$K,"&lt;"&amp;Calc!$C27),IF(_xlpm.s=0,"",_xlpm.s)),IF($A45=2,SUMIFS(Messages!$E:$E,Messages!$D:$D,C$19),IF($A45=3,IFERROR(TEXT(SUMIFS(Messages!$E:$E,Messages!$D:$D,C$19)/SUM(Messages!$E:$E),"0%"),""),"")))</f>
        <v/>
      </c>
      <c r="D45" s="27" t="str">
        <f>IF($A45=1,_xlfn.LET(_xlpm.s,SUMIFS(Messages!$E:$E,Messages!$D:$D,D$19,Messages!$K:$K,"&gt;="&amp;Calc!$B27,Messages!$K:$K,"&lt;"&amp;Calc!$C27),IF(_xlpm.s=0,"",_xlpm.s)),IF($A45=2,SUMIFS(Messages!$E:$E,Messages!$D:$D,D$19),IF($A45=3,IFERROR(TEXT(SUMIFS(Messages!$E:$E,Messages!$D:$D,D$19)/SUM(Messages!$E:$E),"0%"),""),"")))</f>
        <v/>
      </c>
      <c r="E45" s="27" t="str">
        <f>IF($A45=1,_xlfn.LET(_xlpm.s,SUMIFS(Messages!$E:$E,Messages!$D:$D,E$19,Messages!$K:$K,"&gt;="&amp;Calc!$B27,Messages!$K:$K,"&lt;"&amp;Calc!$C27),IF(_xlpm.s=0,"",_xlpm.s)),IF($A45=2,SUMIFS(Messages!$E:$E,Messages!$D:$D,E$19),IF($A45=3,IFERROR(TEXT(SUMIFS(Messages!$E:$E,Messages!$D:$D,E$19)/SUM(Messages!$E:$E),"0%"),""),"")))</f>
        <v/>
      </c>
      <c r="F45" s="27" t="str">
        <f>IF($A45=1,_xlfn.LET(_xlpm.s,SUMIFS(Messages!$E:$E,Messages!$D:$D,F$19,Messages!$K:$K,"&gt;="&amp;Calc!$B27,Messages!$K:$K,"&lt;"&amp;Calc!$C27),IF(_xlpm.s=0,"",_xlpm.s)),IF($A45=2,SUMIFS(Messages!$E:$E,Messages!$D:$D,F$19),IF($A45=3,IFERROR(TEXT(SUMIFS(Messages!$E:$E,Messages!$D:$D,F$19)/SUM(Messages!$E:$E),"0%"),""),"")))</f>
        <v/>
      </c>
      <c r="G45" s="27" t="str">
        <f>IF($A45=1,_xlfn.LET(_xlpm.s,SUMIFS(Messages!$E:$E,Messages!$D:$D,G$19,Messages!$K:$K,"&gt;="&amp;Calc!$B27,Messages!$K:$K,"&lt;"&amp;Calc!$C27),IF(_xlpm.s=0,"",_xlpm.s)),IF($A45=2,SUMIFS(Messages!$E:$E,Messages!$D:$D,G$19),IF($A45=3,IFERROR(TEXT(SUMIFS(Messages!$E:$E,Messages!$D:$D,G$19)/SUM(Messages!$E:$E),"0%"),""),"")))</f>
        <v/>
      </c>
      <c r="H45" s="27" t="str">
        <f>IF($A45=1,COUNTIFS(Messages!$K:$K,"&gt;="&amp;Calc!$B27,Messages!$K:$K,"&lt;"&amp;Calc!$C27),IF($A45=2,COUNT(Messages!$K:$K),""))</f>
        <v/>
      </c>
      <c r="I45" s="28" t="str">
        <f>IF($A45=1,SUMIFS(Messages!$E:$E,Messages!$K:$K,"&gt;="&amp;Calc!$B27,Messages!$K:$K,"&lt;"&amp;Calc!$C27),IF($A45=2,SUM(Messages!$E:$E),""))</f>
        <v/>
      </c>
      <c r="J45" s="34" t="str">
        <f>IF(AND($A45=1,$O45&lt;&gt;""),IF($O45&lt;&gt;IF(ROW()=20,ReqInit,Calc!$K26),"Client asked for "&amp;$O45&amp;" m³/h.",""),"")</f>
        <v/>
      </c>
      <c r="K45" s="34"/>
      <c r="L45" s="34"/>
      <c r="M45" s="34"/>
      <c r="O45" s="24"/>
      <c r="Q45" s="31" t="str">
        <f t="shared" si="1"/>
        <v/>
      </c>
    </row>
    <row r="46" spans="1:17" ht="20.100000000000001" customHeight="1" x14ac:dyDescent="0.25">
      <c r="A46" s="16">
        <f t="shared" si="0"/>
        <v>0</v>
      </c>
      <c r="B46" s="19" t="str">
        <f>IF($A46=1,TEXT((Calc!$C28-60)/1440,"hh:mm")&amp;" – "&amp;TEXT(Calc!$C28/1440,"hh:mm"),IF($A46=2,"TOTAL",""))</f>
        <v/>
      </c>
      <c r="C46" s="27" t="str">
        <f>IF($A46=1,_xlfn.LET(_xlpm.s,SUMIFS(Messages!$E:$E,Messages!$D:$D,C$19,Messages!$K:$K,"&gt;="&amp;Calc!$B28,Messages!$K:$K,"&lt;"&amp;Calc!$C28),IF(_xlpm.s=0,"",_xlpm.s)),IF($A46=2,SUMIFS(Messages!$E:$E,Messages!$D:$D,C$19),IF($A46=3,IFERROR(TEXT(SUMIFS(Messages!$E:$E,Messages!$D:$D,C$19)/SUM(Messages!$E:$E),"0%"),""),"")))</f>
        <v/>
      </c>
      <c r="D46" s="27" t="str">
        <f>IF($A46=1,_xlfn.LET(_xlpm.s,SUMIFS(Messages!$E:$E,Messages!$D:$D,D$19,Messages!$K:$K,"&gt;="&amp;Calc!$B28,Messages!$K:$K,"&lt;"&amp;Calc!$C28),IF(_xlpm.s=0,"",_xlpm.s)),IF($A46=2,SUMIFS(Messages!$E:$E,Messages!$D:$D,D$19),IF($A46=3,IFERROR(TEXT(SUMIFS(Messages!$E:$E,Messages!$D:$D,D$19)/SUM(Messages!$E:$E),"0%"),""),"")))</f>
        <v/>
      </c>
      <c r="E46" s="27" t="str">
        <f>IF($A46=1,_xlfn.LET(_xlpm.s,SUMIFS(Messages!$E:$E,Messages!$D:$D,E$19,Messages!$K:$K,"&gt;="&amp;Calc!$B28,Messages!$K:$K,"&lt;"&amp;Calc!$C28),IF(_xlpm.s=0,"",_xlpm.s)),IF($A46=2,SUMIFS(Messages!$E:$E,Messages!$D:$D,E$19),IF($A46=3,IFERROR(TEXT(SUMIFS(Messages!$E:$E,Messages!$D:$D,E$19)/SUM(Messages!$E:$E),"0%"),""),"")))</f>
        <v/>
      </c>
      <c r="F46" s="27" t="str">
        <f>IF($A46=1,_xlfn.LET(_xlpm.s,SUMIFS(Messages!$E:$E,Messages!$D:$D,F$19,Messages!$K:$K,"&gt;="&amp;Calc!$B28,Messages!$K:$K,"&lt;"&amp;Calc!$C28),IF(_xlpm.s=0,"",_xlpm.s)),IF($A46=2,SUMIFS(Messages!$E:$E,Messages!$D:$D,F$19),IF($A46=3,IFERROR(TEXT(SUMIFS(Messages!$E:$E,Messages!$D:$D,F$19)/SUM(Messages!$E:$E),"0%"),""),"")))</f>
        <v/>
      </c>
      <c r="G46" s="27" t="str">
        <f>IF($A46=1,_xlfn.LET(_xlpm.s,SUMIFS(Messages!$E:$E,Messages!$D:$D,G$19,Messages!$K:$K,"&gt;="&amp;Calc!$B28,Messages!$K:$K,"&lt;"&amp;Calc!$C28),IF(_xlpm.s=0,"",_xlpm.s)),IF($A46=2,SUMIFS(Messages!$E:$E,Messages!$D:$D,G$19),IF($A46=3,IFERROR(TEXT(SUMIFS(Messages!$E:$E,Messages!$D:$D,G$19)/SUM(Messages!$E:$E),"0%"),""),"")))</f>
        <v/>
      </c>
      <c r="H46" s="27" t="str">
        <f>IF($A46=1,COUNTIFS(Messages!$K:$K,"&gt;="&amp;Calc!$B28,Messages!$K:$K,"&lt;"&amp;Calc!$C28),IF($A46=2,COUNT(Messages!$K:$K),""))</f>
        <v/>
      </c>
      <c r="I46" s="28" t="str">
        <f>IF($A46=1,SUMIFS(Messages!$E:$E,Messages!$K:$K,"&gt;="&amp;Calc!$B28,Messages!$K:$K,"&lt;"&amp;Calc!$C28),IF($A46=2,SUM(Messages!$E:$E),""))</f>
        <v/>
      </c>
      <c r="J46" s="34" t="str">
        <f>IF(AND($A46=1,$O46&lt;&gt;""),IF($O46&lt;&gt;IF(ROW()=20,ReqInit,Calc!$K27),"Client asked for "&amp;$O46&amp;" m³/h.",""),"")</f>
        <v/>
      </c>
      <c r="K46" s="34"/>
      <c r="L46" s="34"/>
      <c r="M46" s="34"/>
      <c r="O46" s="24"/>
      <c r="Q46" s="31" t="str">
        <f t="shared" si="1"/>
        <v/>
      </c>
    </row>
    <row r="47" spans="1:17" ht="20.100000000000001" customHeight="1" x14ac:dyDescent="0.25">
      <c r="A47" s="16">
        <f t="shared" si="0"/>
        <v>0</v>
      </c>
      <c r="B47" s="19" t="str">
        <f>IF($A47=1,TEXT((Calc!$C29-60)/1440,"hh:mm")&amp;" – "&amp;TEXT(Calc!$C29/1440,"hh:mm"),IF($A47=2,"TOTAL",""))</f>
        <v/>
      </c>
      <c r="C47" s="27" t="str">
        <f>IF($A47=1,_xlfn.LET(_xlpm.s,SUMIFS(Messages!$E:$E,Messages!$D:$D,C$19,Messages!$K:$K,"&gt;="&amp;Calc!$B29,Messages!$K:$K,"&lt;"&amp;Calc!$C29),IF(_xlpm.s=0,"",_xlpm.s)),IF($A47=2,SUMIFS(Messages!$E:$E,Messages!$D:$D,C$19),IF($A47=3,IFERROR(TEXT(SUMIFS(Messages!$E:$E,Messages!$D:$D,C$19)/SUM(Messages!$E:$E),"0%"),""),"")))</f>
        <v/>
      </c>
      <c r="D47" s="27" t="str">
        <f>IF($A47=1,_xlfn.LET(_xlpm.s,SUMIFS(Messages!$E:$E,Messages!$D:$D,D$19,Messages!$K:$K,"&gt;="&amp;Calc!$B29,Messages!$K:$K,"&lt;"&amp;Calc!$C29),IF(_xlpm.s=0,"",_xlpm.s)),IF($A47=2,SUMIFS(Messages!$E:$E,Messages!$D:$D,D$19),IF($A47=3,IFERROR(TEXT(SUMIFS(Messages!$E:$E,Messages!$D:$D,D$19)/SUM(Messages!$E:$E),"0%"),""),"")))</f>
        <v/>
      </c>
      <c r="E47" s="27" t="str">
        <f>IF($A47=1,_xlfn.LET(_xlpm.s,SUMIFS(Messages!$E:$E,Messages!$D:$D,E$19,Messages!$K:$K,"&gt;="&amp;Calc!$B29,Messages!$K:$K,"&lt;"&amp;Calc!$C29),IF(_xlpm.s=0,"",_xlpm.s)),IF($A47=2,SUMIFS(Messages!$E:$E,Messages!$D:$D,E$19),IF($A47=3,IFERROR(TEXT(SUMIFS(Messages!$E:$E,Messages!$D:$D,E$19)/SUM(Messages!$E:$E),"0%"),""),"")))</f>
        <v/>
      </c>
      <c r="F47" s="27" t="str">
        <f>IF($A47=1,_xlfn.LET(_xlpm.s,SUMIFS(Messages!$E:$E,Messages!$D:$D,F$19,Messages!$K:$K,"&gt;="&amp;Calc!$B29,Messages!$K:$K,"&lt;"&amp;Calc!$C29),IF(_xlpm.s=0,"",_xlpm.s)),IF($A47=2,SUMIFS(Messages!$E:$E,Messages!$D:$D,F$19),IF($A47=3,IFERROR(TEXT(SUMIFS(Messages!$E:$E,Messages!$D:$D,F$19)/SUM(Messages!$E:$E),"0%"),""),"")))</f>
        <v/>
      </c>
      <c r="G47" s="27" t="str">
        <f>IF($A47=1,_xlfn.LET(_xlpm.s,SUMIFS(Messages!$E:$E,Messages!$D:$D,G$19,Messages!$K:$K,"&gt;="&amp;Calc!$B29,Messages!$K:$K,"&lt;"&amp;Calc!$C29),IF(_xlpm.s=0,"",_xlpm.s)),IF($A47=2,SUMIFS(Messages!$E:$E,Messages!$D:$D,G$19),IF($A47=3,IFERROR(TEXT(SUMIFS(Messages!$E:$E,Messages!$D:$D,G$19)/SUM(Messages!$E:$E),"0%"),""),"")))</f>
        <v/>
      </c>
      <c r="H47" s="27" t="str">
        <f>IF($A47=1,COUNTIFS(Messages!$K:$K,"&gt;="&amp;Calc!$B29,Messages!$K:$K,"&lt;"&amp;Calc!$C29),IF($A47=2,COUNT(Messages!$K:$K),""))</f>
        <v/>
      </c>
      <c r="I47" s="28" t="str">
        <f>IF($A47=1,SUMIFS(Messages!$E:$E,Messages!$K:$K,"&gt;="&amp;Calc!$B29,Messages!$K:$K,"&lt;"&amp;Calc!$C29),IF($A47=2,SUM(Messages!$E:$E),""))</f>
        <v/>
      </c>
      <c r="J47" s="34" t="str">
        <f>IF(AND($A47=1,$O47&lt;&gt;""),IF($O47&lt;&gt;IF(ROW()=20,ReqInit,Calc!$K28),"Client asked for "&amp;$O47&amp;" m³/h.",""),"")</f>
        <v/>
      </c>
      <c r="K47" s="34"/>
      <c r="L47" s="34"/>
      <c r="M47" s="34"/>
      <c r="O47" s="24"/>
      <c r="Q47" s="31" t="str">
        <f t="shared" si="1"/>
        <v/>
      </c>
    </row>
    <row r="48" spans="1:17" ht="20.100000000000001" customHeight="1" x14ac:dyDescent="0.25">
      <c r="A48" s="16">
        <f t="shared" si="0"/>
        <v>0</v>
      </c>
      <c r="B48" s="19" t="str">
        <f>IF($A48=1,TEXT((Calc!$C30-60)/1440,"hh:mm")&amp;" – "&amp;TEXT(Calc!$C30/1440,"hh:mm"),IF($A48=2,"TOTAL",""))</f>
        <v/>
      </c>
      <c r="C48" s="27" t="str">
        <f>IF($A48=1,_xlfn.LET(_xlpm.s,SUMIFS(Messages!$E:$E,Messages!$D:$D,C$19,Messages!$K:$K,"&gt;="&amp;Calc!$B30,Messages!$K:$K,"&lt;"&amp;Calc!$C30),IF(_xlpm.s=0,"",_xlpm.s)),IF($A48=2,SUMIFS(Messages!$E:$E,Messages!$D:$D,C$19),IF($A48=3,IFERROR(TEXT(SUMIFS(Messages!$E:$E,Messages!$D:$D,C$19)/SUM(Messages!$E:$E),"0%"),""),"")))</f>
        <v/>
      </c>
      <c r="D48" s="27" t="str">
        <f>IF($A48=1,_xlfn.LET(_xlpm.s,SUMIFS(Messages!$E:$E,Messages!$D:$D,D$19,Messages!$K:$K,"&gt;="&amp;Calc!$B30,Messages!$K:$K,"&lt;"&amp;Calc!$C30),IF(_xlpm.s=0,"",_xlpm.s)),IF($A48=2,SUMIFS(Messages!$E:$E,Messages!$D:$D,D$19),IF($A48=3,IFERROR(TEXT(SUMIFS(Messages!$E:$E,Messages!$D:$D,D$19)/SUM(Messages!$E:$E),"0%"),""),"")))</f>
        <v/>
      </c>
      <c r="E48" s="27" t="str">
        <f>IF($A48=1,_xlfn.LET(_xlpm.s,SUMIFS(Messages!$E:$E,Messages!$D:$D,E$19,Messages!$K:$K,"&gt;="&amp;Calc!$B30,Messages!$K:$K,"&lt;"&amp;Calc!$C30),IF(_xlpm.s=0,"",_xlpm.s)),IF($A48=2,SUMIFS(Messages!$E:$E,Messages!$D:$D,E$19),IF($A48=3,IFERROR(TEXT(SUMIFS(Messages!$E:$E,Messages!$D:$D,E$19)/SUM(Messages!$E:$E),"0%"),""),"")))</f>
        <v/>
      </c>
      <c r="F48" s="27" t="str">
        <f>IF($A48=1,_xlfn.LET(_xlpm.s,SUMIFS(Messages!$E:$E,Messages!$D:$D,F$19,Messages!$K:$K,"&gt;="&amp;Calc!$B30,Messages!$K:$K,"&lt;"&amp;Calc!$C30),IF(_xlpm.s=0,"",_xlpm.s)),IF($A48=2,SUMIFS(Messages!$E:$E,Messages!$D:$D,F$19),IF($A48=3,IFERROR(TEXT(SUMIFS(Messages!$E:$E,Messages!$D:$D,F$19)/SUM(Messages!$E:$E),"0%"),""),"")))</f>
        <v/>
      </c>
      <c r="G48" s="27" t="str">
        <f>IF($A48=1,_xlfn.LET(_xlpm.s,SUMIFS(Messages!$E:$E,Messages!$D:$D,G$19,Messages!$K:$K,"&gt;="&amp;Calc!$B30,Messages!$K:$K,"&lt;"&amp;Calc!$C30),IF(_xlpm.s=0,"",_xlpm.s)),IF($A48=2,SUMIFS(Messages!$E:$E,Messages!$D:$D,G$19),IF($A48=3,IFERROR(TEXT(SUMIFS(Messages!$E:$E,Messages!$D:$D,G$19)/SUM(Messages!$E:$E),"0%"),""),"")))</f>
        <v/>
      </c>
      <c r="H48" s="27" t="str">
        <f>IF($A48=1,COUNTIFS(Messages!$K:$K,"&gt;="&amp;Calc!$B30,Messages!$K:$K,"&lt;"&amp;Calc!$C30),IF($A48=2,COUNT(Messages!$K:$K),""))</f>
        <v/>
      </c>
      <c r="I48" s="28" t="str">
        <f>IF($A48=1,SUMIFS(Messages!$E:$E,Messages!$K:$K,"&gt;="&amp;Calc!$B30,Messages!$K:$K,"&lt;"&amp;Calc!$C30),IF($A48=2,SUM(Messages!$E:$E),""))</f>
        <v/>
      </c>
      <c r="J48" s="34" t="str">
        <f>IF(AND($A48=1,$O48&lt;&gt;""),IF($O48&lt;&gt;IF(ROW()=20,ReqInit,Calc!$K29),"Client asked for "&amp;$O48&amp;" m³/h.",""),"")</f>
        <v/>
      </c>
      <c r="K48" s="34"/>
      <c r="L48" s="34"/>
      <c r="M48" s="34"/>
      <c r="O48" s="24"/>
      <c r="Q48" s="31" t="str">
        <f t="shared" si="1"/>
        <v/>
      </c>
    </row>
    <row r="49" spans="1:17" ht="20.100000000000001" customHeight="1" x14ac:dyDescent="0.25">
      <c r="A49" s="16">
        <f t="shared" si="0"/>
        <v>0</v>
      </c>
      <c r="B49" s="19" t="str">
        <f>IF($A49=1,TEXT((Calc!$C31-60)/1440,"hh:mm")&amp;" – "&amp;TEXT(Calc!$C31/1440,"hh:mm"),IF($A49=2,"TOTAL",""))</f>
        <v/>
      </c>
      <c r="C49" s="27" t="str">
        <f>IF($A49=1,_xlfn.LET(_xlpm.s,SUMIFS(Messages!$E:$E,Messages!$D:$D,C$19,Messages!$K:$K,"&gt;="&amp;Calc!$B31,Messages!$K:$K,"&lt;"&amp;Calc!$C31),IF(_xlpm.s=0,"",_xlpm.s)),IF($A49=2,SUMIFS(Messages!$E:$E,Messages!$D:$D,C$19),IF($A49=3,IFERROR(TEXT(SUMIFS(Messages!$E:$E,Messages!$D:$D,C$19)/SUM(Messages!$E:$E),"0%"),""),"")))</f>
        <v/>
      </c>
      <c r="D49" s="27" t="str">
        <f>IF($A49=1,_xlfn.LET(_xlpm.s,SUMIFS(Messages!$E:$E,Messages!$D:$D,D$19,Messages!$K:$K,"&gt;="&amp;Calc!$B31,Messages!$K:$K,"&lt;"&amp;Calc!$C31),IF(_xlpm.s=0,"",_xlpm.s)),IF($A49=2,SUMIFS(Messages!$E:$E,Messages!$D:$D,D$19),IF($A49=3,IFERROR(TEXT(SUMIFS(Messages!$E:$E,Messages!$D:$D,D$19)/SUM(Messages!$E:$E),"0%"),""),"")))</f>
        <v/>
      </c>
      <c r="E49" s="27" t="str">
        <f>IF($A49=1,_xlfn.LET(_xlpm.s,SUMIFS(Messages!$E:$E,Messages!$D:$D,E$19,Messages!$K:$K,"&gt;="&amp;Calc!$B31,Messages!$K:$K,"&lt;"&amp;Calc!$C31),IF(_xlpm.s=0,"",_xlpm.s)),IF($A49=2,SUMIFS(Messages!$E:$E,Messages!$D:$D,E$19),IF($A49=3,IFERROR(TEXT(SUMIFS(Messages!$E:$E,Messages!$D:$D,E$19)/SUM(Messages!$E:$E),"0%"),""),"")))</f>
        <v/>
      </c>
      <c r="F49" s="27" t="str">
        <f>IF($A49=1,_xlfn.LET(_xlpm.s,SUMIFS(Messages!$E:$E,Messages!$D:$D,F$19,Messages!$K:$K,"&gt;="&amp;Calc!$B31,Messages!$K:$K,"&lt;"&amp;Calc!$C31),IF(_xlpm.s=0,"",_xlpm.s)),IF($A49=2,SUMIFS(Messages!$E:$E,Messages!$D:$D,F$19),IF($A49=3,IFERROR(TEXT(SUMIFS(Messages!$E:$E,Messages!$D:$D,F$19)/SUM(Messages!$E:$E),"0%"),""),"")))</f>
        <v/>
      </c>
      <c r="G49" s="27" t="str">
        <f>IF($A49=1,_xlfn.LET(_xlpm.s,SUMIFS(Messages!$E:$E,Messages!$D:$D,G$19,Messages!$K:$K,"&gt;="&amp;Calc!$B31,Messages!$K:$K,"&lt;"&amp;Calc!$C31),IF(_xlpm.s=0,"",_xlpm.s)),IF($A49=2,SUMIFS(Messages!$E:$E,Messages!$D:$D,G$19),IF($A49=3,IFERROR(TEXT(SUMIFS(Messages!$E:$E,Messages!$D:$D,G$19)/SUM(Messages!$E:$E),"0%"),""),"")))</f>
        <v/>
      </c>
      <c r="H49" s="27" t="str">
        <f>IF($A49=1,COUNTIFS(Messages!$K:$K,"&gt;="&amp;Calc!$B31,Messages!$K:$K,"&lt;"&amp;Calc!$C31),IF($A49=2,COUNT(Messages!$K:$K),""))</f>
        <v/>
      </c>
      <c r="I49" s="28" t="str">
        <f>IF($A49=1,SUMIFS(Messages!$E:$E,Messages!$K:$K,"&gt;="&amp;Calc!$B31,Messages!$K:$K,"&lt;"&amp;Calc!$C31),IF($A49=2,SUM(Messages!$E:$E),""))</f>
        <v/>
      </c>
      <c r="J49" s="34" t="str">
        <f>IF(AND($A49=1,$O49&lt;&gt;""),IF($O49&lt;&gt;IF(ROW()=20,ReqInit,Calc!$K30),"Client asked for "&amp;$O49&amp;" m³/h.",""),"")</f>
        <v/>
      </c>
      <c r="K49" s="34"/>
      <c r="L49" s="34"/>
      <c r="M49" s="34"/>
      <c r="O49" s="24"/>
      <c r="Q49" s="31" t="str">
        <f t="shared" si="1"/>
        <v/>
      </c>
    </row>
    <row r="50" spans="1:17" ht="20.100000000000001" customHeight="1" x14ac:dyDescent="0.25">
      <c r="A50" s="16">
        <f t="shared" si="0"/>
        <v>0</v>
      </c>
      <c r="B50" s="19" t="str">
        <f>IF($A50=1,TEXT((Calc!$C32-60)/1440,"hh:mm")&amp;" – "&amp;TEXT(Calc!$C32/1440,"hh:mm"),IF($A50=2,"TOTAL",""))</f>
        <v/>
      </c>
      <c r="C50" s="27" t="str">
        <f>IF($A50=1,_xlfn.LET(_xlpm.s,SUMIFS(Messages!$E:$E,Messages!$D:$D,C$19,Messages!$K:$K,"&gt;="&amp;Calc!$B32,Messages!$K:$K,"&lt;"&amp;Calc!$C32),IF(_xlpm.s=0,"",_xlpm.s)),IF($A50=2,SUMIFS(Messages!$E:$E,Messages!$D:$D,C$19),IF($A50=3,IFERROR(TEXT(SUMIFS(Messages!$E:$E,Messages!$D:$D,C$19)/SUM(Messages!$E:$E),"0%"),""),"")))</f>
        <v/>
      </c>
      <c r="D50" s="27" t="str">
        <f>IF($A50=1,_xlfn.LET(_xlpm.s,SUMIFS(Messages!$E:$E,Messages!$D:$D,D$19,Messages!$K:$K,"&gt;="&amp;Calc!$B32,Messages!$K:$K,"&lt;"&amp;Calc!$C32),IF(_xlpm.s=0,"",_xlpm.s)),IF($A50=2,SUMIFS(Messages!$E:$E,Messages!$D:$D,D$19),IF($A50=3,IFERROR(TEXT(SUMIFS(Messages!$E:$E,Messages!$D:$D,D$19)/SUM(Messages!$E:$E),"0%"),""),"")))</f>
        <v/>
      </c>
      <c r="E50" s="27" t="str">
        <f>IF($A50=1,_xlfn.LET(_xlpm.s,SUMIFS(Messages!$E:$E,Messages!$D:$D,E$19,Messages!$K:$K,"&gt;="&amp;Calc!$B32,Messages!$K:$K,"&lt;"&amp;Calc!$C32),IF(_xlpm.s=0,"",_xlpm.s)),IF($A50=2,SUMIFS(Messages!$E:$E,Messages!$D:$D,E$19),IF($A50=3,IFERROR(TEXT(SUMIFS(Messages!$E:$E,Messages!$D:$D,E$19)/SUM(Messages!$E:$E),"0%"),""),"")))</f>
        <v/>
      </c>
      <c r="F50" s="27" t="str">
        <f>IF($A50=1,_xlfn.LET(_xlpm.s,SUMIFS(Messages!$E:$E,Messages!$D:$D,F$19,Messages!$K:$K,"&gt;="&amp;Calc!$B32,Messages!$K:$K,"&lt;"&amp;Calc!$C32),IF(_xlpm.s=0,"",_xlpm.s)),IF($A50=2,SUMIFS(Messages!$E:$E,Messages!$D:$D,F$19),IF($A50=3,IFERROR(TEXT(SUMIFS(Messages!$E:$E,Messages!$D:$D,F$19)/SUM(Messages!$E:$E),"0%"),""),"")))</f>
        <v/>
      </c>
      <c r="G50" s="27" t="str">
        <f>IF($A50=1,_xlfn.LET(_xlpm.s,SUMIFS(Messages!$E:$E,Messages!$D:$D,G$19,Messages!$K:$K,"&gt;="&amp;Calc!$B32,Messages!$K:$K,"&lt;"&amp;Calc!$C32),IF(_xlpm.s=0,"",_xlpm.s)),IF($A50=2,SUMIFS(Messages!$E:$E,Messages!$D:$D,G$19),IF($A50=3,IFERROR(TEXT(SUMIFS(Messages!$E:$E,Messages!$D:$D,G$19)/SUM(Messages!$E:$E),"0%"),""),"")))</f>
        <v/>
      </c>
      <c r="H50" s="27" t="str">
        <f>IF($A50=1,COUNTIFS(Messages!$K:$K,"&gt;="&amp;Calc!$B32,Messages!$K:$K,"&lt;"&amp;Calc!$C32),IF($A50=2,COUNT(Messages!$K:$K),""))</f>
        <v/>
      </c>
      <c r="I50" s="28" t="str">
        <f>IF($A50=1,SUMIFS(Messages!$E:$E,Messages!$K:$K,"&gt;="&amp;Calc!$B32,Messages!$K:$K,"&lt;"&amp;Calc!$C32),IF($A50=2,SUM(Messages!$E:$E),""))</f>
        <v/>
      </c>
      <c r="J50" s="34" t="str">
        <f>IF(AND($A50=1,$O50&lt;&gt;""),IF($O50&lt;&gt;IF(ROW()=20,ReqInit,Calc!$K31),"Client asked for "&amp;$O50&amp;" m³/h.",""),"")</f>
        <v/>
      </c>
      <c r="K50" s="34"/>
      <c r="L50" s="34"/>
      <c r="M50" s="34"/>
      <c r="O50" s="24"/>
      <c r="Q50" s="31" t="str">
        <f t="shared" si="1"/>
        <v/>
      </c>
    </row>
    <row r="51" spans="1:17" ht="20.100000000000001" customHeight="1" x14ac:dyDescent="0.25">
      <c r="A51" s="16">
        <f t="shared" si="0"/>
        <v>0</v>
      </c>
      <c r="B51" s="19" t="str">
        <f>IF($A51=1,TEXT((Calc!$C33-60)/1440,"hh:mm")&amp;" – "&amp;TEXT(Calc!$C33/1440,"hh:mm"),IF($A51=2,"TOTAL",""))</f>
        <v/>
      </c>
      <c r="C51" s="27" t="str">
        <f>IF($A51=1,_xlfn.LET(_xlpm.s,SUMIFS(Messages!$E:$E,Messages!$D:$D,C$19,Messages!$K:$K,"&gt;="&amp;Calc!$B33,Messages!$K:$K,"&lt;"&amp;Calc!$C33),IF(_xlpm.s=0,"",_xlpm.s)),IF($A51=2,SUMIFS(Messages!$E:$E,Messages!$D:$D,C$19),IF($A51=3,IFERROR(TEXT(SUMIFS(Messages!$E:$E,Messages!$D:$D,C$19)/SUM(Messages!$E:$E),"0%"),""),"")))</f>
        <v/>
      </c>
      <c r="D51" s="27" t="str">
        <f>IF($A51=1,_xlfn.LET(_xlpm.s,SUMIFS(Messages!$E:$E,Messages!$D:$D,D$19,Messages!$K:$K,"&gt;="&amp;Calc!$B33,Messages!$K:$K,"&lt;"&amp;Calc!$C33),IF(_xlpm.s=0,"",_xlpm.s)),IF($A51=2,SUMIFS(Messages!$E:$E,Messages!$D:$D,D$19),IF($A51=3,IFERROR(TEXT(SUMIFS(Messages!$E:$E,Messages!$D:$D,D$19)/SUM(Messages!$E:$E),"0%"),""),"")))</f>
        <v/>
      </c>
      <c r="E51" s="27" t="str">
        <f>IF($A51=1,_xlfn.LET(_xlpm.s,SUMIFS(Messages!$E:$E,Messages!$D:$D,E$19,Messages!$K:$K,"&gt;="&amp;Calc!$B33,Messages!$K:$K,"&lt;"&amp;Calc!$C33),IF(_xlpm.s=0,"",_xlpm.s)),IF($A51=2,SUMIFS(Messages!$E:$E,Messages!$D:$D,E$19),IF($A51=3,IFERROR(TEXT(SUMIFS(Messages!$E:$E,Messages!$D:$D,E$19)/SUM(Messages!$E:$E),"0%"),""),"")))</f>
        <v/>
      </c>
      <c r="F51" s="27" t="str">
        <f>IF($A51=1,_xlfn.LET(_xlpm.s,SUMIFS(Messages!$E:$E,Messages!$D:$D,F$19,Messages!$K:$K,"&gt;="&amp;Calc!$B33,Messages!$K:$K,"&lt;"&amp;Calc!$C33),IF(_xlpm.s=0,"",_xlpm.s)),IF($A51=2,SUMIFS(Messages!$E:$E,Messages!$D:$D,F$19),IF($A51=3,IFERROR(TEXT(SUMIFS(Messages!$E:$E,Messages!$D:$D,F$19)/SUM(Messages!$E:$E),"0%"),""),"")))</f>
        <v/>
      </c>
      <c r="G51" s="27" t="str">
        <f>IF($A51=1,_xlfn.LET(_xlpm.s,SUMIFS(Messages!$E:$E,Messages!$D:$D,G$19,Messages!$K:$K,"&gt;="&amp;Calc!$B33,Messages!$K:$K,"&lt;"&amp;Calc!$C33),IF(_xlpm.s=0,"",_xlpm.s)),IF($A51=2,SUMIFS(Messages!$E:$E,Messages!$D:$D,G$19),IF($A51=3,IFERROR(TEXT(SUMIFS(Messages!$E:$E,Messages!$D:$D,G$19)/SUM(Messages!$E:$E),"0%"),""),"")))</f>
        <v/>
      </c>
      <c r="H51" s="27" t="str">
        <f>IF($A51=1,COUNTIFS(Messages!$K:$K,"&gt;="&amp;Calc!$B33,Messages!$K:$K,"&lt;"&amp;Calc!$C33),IF($A51=2,COUNT(Messages!$K:$K),""))</f>
        <v/>
      </c>
      <c r="I51" s="28" t="str">
        <f>IF($A51=1,SUMIFS(Messages!$E:$E,Messages!$K:$K,"&gt;="&amp;Calc!$B33,Messages!$K:$K,"&lt;"&amp;Calc!$C33),IF($A51=2,SUM(Messages!$E:$E),""))</f>
        <v/>
      </c>
      <c r="J51" s="34" t="str">
        <f>IF(AND($A51=1,$O51&lt;&gt;""),IF($O51&lt;&gt;IF(ROW()=20,ReqInit,Calc!$K32),"Client asked for "&amp;$O51&amp;" m³/h.",""),"")</f>
        <v/>
      </c>
      <c r="K51" s="34"/>
      <c r="L51" s="34"/>
      <c r="M51" s="34"/>
      <c r="O51" s="24"/>
      <c r="Q51" s="31" t="str">
        <f t="shared" si="1"/>
        <v/>
      </c>
    </row>
    <row r="52" spans="1:17" ht="20.100000000000001" customHeight="1" x14ac:dyDescent="0.25">
      <c r="A52" s="16">
        <f t="shared" ref="A52:A69" si="2">IF(ROW()-19&lt;=nHours,1,IF(nHours=0,0,IF(ROW()-19=nHours+1,2,0)))</f>
        <v>0</v>
      </c>
      <c r="B52" s="19" t="str">
        <f>IF($A52=1,TEXT((Calc!$C34-60)/1440,"hh:mm")&amp;" – "&amp;TEXT(Calc!$C34/1440,"hh:mm"),IF($A52=2,"TOTAL",""))</f>
        <v/>
      </c>
      <c r="C52" s="27" t="str">
        <f>IF($A52=1,_xlfn.LET(_xlpm.s,SUMIFS(Messages!$E:$E,Messages!$D:$D,C$19,Messages!$K:$K,"&gt;="&amp;Calc!$B34,Messages!$K:$K,"&lt;"&amp;Calc!$C34),IF(_xlpm.s=0,"",_xlpm.s)),IF($A52=2,SUMIFS(Messages!$E:$E,Messages!$D:$D,C$19),IF($A52=3,IFERROR(TEXT(SUMIFS(Messages!$E:$E,Messages!$D:$D,C$19)/SUM(Messages!$E:$E),"0%"),""),"")))</f>
        <v/>
      </c>
      <c r="D52" s="27" t="str">
        <f>IF($A52=1,_xlfn.LET(_xlpm.s,SUMIFS(Messages!$E:$E,Messages!$D:$D,D$19,Messages!$K:$K,"&gt;="&amp;Calc!$B34,Messages!$K:$K,"&lt;"&amp;Calc!$C34),IF(_xlpm.s=0,"",_xlpm.s)),IF($A52=2,SUMIFS(Messages!$E:$E,Messages!$D:$D,D$19),IF($A52=3,IFERROR(TEXT(SUMIFS(Messages!$E:$E,Messages!$D:$D,D$19)/SUM(Messages!$E:$E),"0%"),""),"")))</f>
        <v/>
      </c>
      <c r="E52" s="27" t="str">
        <f>IF($A52=1,_xlfn.LET(_xlpm.s,SUMIFS(Messages!$E:$E,Messages!$D:$D,E$19,Messages!$K:$K,"&gt;="&amp;Calc!$B34,Messages!$K:$K,"&lt;"&amp;Calc!$C34),IF(_xlpm.s=0,"",_xlpm.s)),IF($A52=2,SUMIFS(Messages!$E:$E,Messages!$D:$D,E$19),IF($A52=3,IFERROR(TEXT(SUMIFS(Messages!$E:$E,Messages!$D:$D,E$19)/SUM(Messages!$E:$E),"0%"),""),"")))</f>
        <v/>
      </c>
      <c r="F52" s="27" t="str">
        <f>IF($A52=1,_xlfn.LET(_xlpm.s,SUMIFS(Messages!$E:$E,Messages!$D:$D,F$19,Messages!$K:$K,"&gt;="&amp;Calc!$B34,Messages!$K:$K,"&lt;"&amp;Calc!$C34),IF(_xlpm.s=0,"",_xlpm.s)),IF($A52=2,SUMIFS(Messages!$E:$E,Messages!$D:$D,F$19),IF($A52=3,IFERROR(TEXT(SUMIFS(Messages!$E:$E,Messages!$D:$D,F$19)/SUM(Messages!$E:$E),"0%"),""),"")))</f>
        <v/>
      </c>
      <c r="G52" s="27" t="str">
        <f>IF($A52=1,_xlfn.LET(_xlpm.s,SUMIFS(Messages!$E:$E,Messages!$D:$D,G$19,Messages!$K:$K,"&gt;="&amp;Calc!$B34,Messages!$K:$K,"&lt;"&amp;Calc!$C34),IF(_xlpm.s=0,"",_xlpm.s)),IF($A52=2,SUMIFS(Messages!$E:$E,Messages!$D:$D,G$19),IF($A52=3,IFERROR(TEXT(SUMIFS(Messages!$E:$E,Messages!$D:$D,G$19)/SUM(Messages!$E:$E),"0%"),""),"")))</f>
        <v/>
      </c>
      <c r="H52" s="27" t="str">
        <f>IF($A52=1,COUNTIFS(Messages!$K:$K,"&gt;="&amp;Calc!$B34,Messages!$K:$K,"&lt;"&amp;Calc!$C34),IF($A52=2,COUNT(Messages!$K:$K),""))</f>
        <v/>
      </c>
      <c r="I52" s="28" t="str">
        <f>IF($A52=1,SUMIFS(Messages!$E:$E,Messages!$K:$K,"&gt;="&amp;Calc!$B34,Messages!$K:$K,"&lt;"&amp;Calc!$C34),IF($A52=2,SUM(Messages!$E:$E),""))</f>
        <v/>
      </c>
      <c r="J52" s="34" t="str">
        <f>IF(AND($A52=1,$O52&lt;&gt;""),IF($O52&lt;&gt;IF(ROW()=20,ReqInit,Calc!$K33),"Client asked for "&amp;$O52&amp;" m³/h.",""),"")</f>
        <v/>
      </c>
      <c r="K52" s="34"/>
      <c r="L52" s="34"/>
      <c r="M52" s="34"/>
      <c r="O52" s="24"/>
      <c r="Q52" s="31" t="str">
        <f t="shared" ref="Q52:Q69" si="3">IF($A52&gt;0,$H52,"")</f>
        <v/>
      </c>
    </row>
    <row r="53" spans="1:17" ht="20.100000000000001" customHeight="1" x14ac:dyDescent="0.25">
      <c r="A53" s="16">
        <f t="shared" si="2"/>
        <v>0</v>
      </c>
      <c r="B53" s="19" t="str">
        <f>IF($A53=1,TEXT((Calc!$C35-60)/1440,"hh:mm")&amp;" – "&amp;TEXT(Calc!$C35/1440,"hh:mm"),IF($A53=2,"TOTAL",""))</f>
        <v/>
      </c>
      <c r="C53" s="27" t="str">
        <f>IF($A53=1,_xlfn.LET(_xlpm.s,SUMIFS(Messages!$E:$E,Messages!$D:$D,C$19,Messages!$K:$K,"&gt;="&amp;Calc!$B35,Messages!$K:$K,"&lt;"&amp;Calc!$C35),IF(_xlpm.s=0,"",_xlpm.s)),IF($A53=2,SUMIFS(Messages!$E:$E,Messages!$D:$D,C$19),IF($A53=3,IFERROR(TEXT(SUMIFS(Messages!$E:$E,Messages!$D:$D,C$19)/SUM(Messages!$E:$E),"0%"),""),"")))</f>
        <v/>
      </c>
      <c r="D53" s="27" t="str">
        <f>IF($A53=1,_xlfn.LET(_xlpm.s,SUMIFS(Messages!$E:$E,Messages!$D:$D,D$19,Messages!$K:$K,"&gt;="&amp;Calc!$B35,Messages!$K:$K,"&lt;"&amp;Calc!$C35),IF(_xlpm.s=0,"",_xlpm.s)),IF($A53=2,SUMIFS(Messages!$E:$E,Messages!$D:$D,D$19),IF($A53=3,IFERROR(TEXT(SUMIFS(Messages!$E:$E,Messages!$D:$D,D$19)/SUM(Messages!$E:$E),"0%"),""),"")))</f>
        <v/>
      </c>
      <c r="E53" s="27" t="str">
        <f>IF($A53=1,_xlfn.LET(_xlpm.s,SUMIFS(Messages!$E:$E,Messages!$D:$D,E$19,Messages!$K:$K,"&gt;="&amp;Calc!$B35,Messages!$K:$K,"&lt;"&amp;Calc!$C35),IF(_xlpm.s=0,"",_xlpm.s)),IF($A53=2,SUMIFS(Messages!$E:$E,Messages!$D:$D,E$19),IF($A53=3,IFERROR(TEXT(SUMIFS(Messages!$E:$E,Messages!$D:$D,E$19)/SUM(Messages!$E:$E),"0%"),""),"")))</f>
        <v/>
      </c>
      <c r="F53" s="27" t="str">
        <f>IF($A53=1,_xlfn.LET(_xlpm.s,SUMIFS(Messages!$E:$E,Messages!$D:$D,F$19,Messages!$K:$K,"&gt;="&amp;Calc!$B35,Messages!$K:$K,"&lt;"&amp;Calc!$C35),IF(_xlpm.s=0,"",_xlpm.s)),IF($A53=2,SUMIFS(Messages!$E:$E,Messages!$D:$D,F$19),IF($A53=3,IFERROR(TEXT(SUMIFS(Messages!$E:$E,Messages!$D:$D,F$19)/SUM(Messages!$E:$E),"0%"),""),"")))</f>
        <v/>
      </c>
      <c r="G53" s="27" t="str">
        <f>IF($A53=1,_xlfn.LET(_xlpm.s,SUMIFS(Messages!$E:$E,Messages!$D:$D,G$19,Messages!$K:$K,"&gt;="&amp;Calc!$B35,Messages!$K:$K,"&lt;"&amp;Calc!$C35),IF(_xlpm.s=0,"",_xlpm.s)),IF($A53=2,SUMIFS(Messages!$E:$E,Messages!$D:$D,G$19),IF($A53=3,IFERROR(TEXT(SUMIFS(Messages!$E:$E,Messages!$D:$D,G$19)/SUM(Messages!$E:$E),"0%"),""),"")))</f>
        <v/>
      </c>
      <c r="H53" s="27" t="str">
        <f>IF($A53=1,COUNTIFS(Messages!$K:$K,"&gt;="&amp;Calc!$B35,Messages!$K:$K,"&lt;"&amp;Calc!$C35),IF($A53=2,COUNT(Messages!$K:$K),""))</f>
        <v/>
      </c>
      <c r="I53" s="28" t="str">
        <f>IF($A53=1,SUMIFS(Messages!$E:$E,Messages!$K:$K,"&gt;="&amp;Calc!$B35,Messages!$K:$K,"&lt;"&amp;Calc!$C35),IF($A53=2,SUM(Messages!$E:$E),""))</f>
        <v/>
      </c>
      <c r="J53" s="34" t="str">
        <f>IF(AND($A53=1,$O53&lt;&gt;""),IF($O53&lt;&gt;IF(ROW()=20,ReqInit,Calc!$K34),"Client asked for "&amp;$O53&amp;" m³/h.",""),"")</f>
        <v/>
      </c>
      <c r="K53" s="34"/>
      <c r="L53" s="34"/>
      <c r="M53" s="34"/>
      <c r="O53" s="24"/>
      <c r="Q53" s="31" t="str">
        <f t="shared" si="3"/>
        <v/>
      </c>
    </row>
    <row r="54" spans="1:17" ht="20.100000000000001" customHeight="1" x14ac:dyDescent="0.25">
      <c r="A54" s="16">
        <f t="shared" si="2"/>
        <v>0</v>
      </c>
      <c r="B54" s="19" t="str">
        <f>IF($A54=1,TEXT((Calc!$C36-60)/1440,"hh:mm")&amp;" – "&amp;TEXT(Calc!$C36/1440,"hh:mm"),IF($A54=2,"TOTAL",""))</f>
        <v/>
      </c>
      <c r="C54" s="27" t="str">
        <f>IF($A54=1,_xlfn.LET(_xlpm.s,SUMIFS(Messages!$E:$E,Messages!$D:$D,C$19,Messages!$K:$K,"&gt;="&amp;Calc!$B36,Messages!$K:$K,"&lt;"&amp;Calc!$C36),IF(_xlpm.s=0,"",_xlpm.s)),IF($A54=2,SUMIFS(Messages!$E:$E,Messages!$D:$D,C$19),IF($A54=3,IFERROR(TEXT(SUMIFS(Messages!$E:$E,Messages!$D:$D,C$19)/SUM(Messages!$E:$E),"0%"),""),"")))</f>
        <v/>
      </c>
      <c r="D54" s="27" t="str">
        <f>IF($A54=1,_xlfn.LET(_xlpm.s,SUMIFS(Messages!$E:$E,Messages!$D:$D,D$19,Messages!$K:$K,"&gt;="&amp;Calc!$B36,Messages!$K:$K,"&lt;"&amp;Calc!$C36),IF(_xlpm.s=0,"",_xlpm.s)),IF($A54=2,SUMIFS(Messages!$E:$E,Messages!$D:$D,D$19),IF($A54=3,IFERROR(TEXT(SUMIFS(Messages!$E:$E,Messages!$D:$D,D$19)/SUM(Messages!$E:$E),"0%"),""),"")))</f>
        <v/>
      </c>
      <c r="E54" s="27" t="str">
        <f>IF($A54=1,_xlfn.LET(_xlpm.s,SUMIFS(Messages!$E:$E,Messages!$D:$D,E$19,Messages!$K:$K,"&gt;="&amp;Calc!$B36,Messages!$K:$K,"&lt;"&amp;Calc!$C36),IF(_xlpm.s=0,"",_xlpm.s)),IF($A54=2,SUMIFS(Messages!$E:$E,Messages!$D:$D,E$19),IF($A54=3,IFERROR(TEXT(SUMIFS(Messages!$E:$E,Messages!$D:$D,E$19)/SUM(Messages!$E:$E),"0%"),""),"")))</f>
        <v/>
      </c>
      <c r="F54" s="27" t="str">
        <f>IF($A54=1,_xlfn.LET(_xlpm.s,SUMIFS(Messages!$E:$E,Messages!$D:$D,F$19,Messages!$K:$K,"&gt;="&amp;Calc!$B36,Messages!$K:$K,"&lt;"&amp;Calc!$C36),IF(_xlpm.s=0,"",_xlpm.s)),IF($A54=2,SUMIFS(Messages!$E:$E,Messages!$D:$D,F$19),IF($A54=3,IFERROR(TEXT(SUMIFS(Messages!$E:$E,Messages!$D:$D,F$19)/SUM(Messages!$E:$E),"0%"),""),"")))</f>
        <v/>
      </c>
      <c r="G54" s="27" t="str">
        <f>IF($A54=1,_xlfn.LET(_xlpm.s,SUMIFS(Messages!$E:$E,Messages!$D:$D,G$19,Messages!$K:$K,"&gt;="&amp;Calc!$B36,Messages!$K:$K,"&lt;"&amp;Calc!$C36),IF(_xlpm.s=0,"",_xlpm.s)),IF($A54=2,SUMIFS(Messages!$E:$E,Messages!$D:$D,G$19),IF($A54=3,IFERROR(TEXT(SUMIFS(Messages!$E:$E,Messages!$D:$D,G$19)/SUM(Messages!$E:$E),"0%"),""),"")))</f>
        <v/>
      </c>
      <c r="H54" s="27" t="str">
        <f>IF($A54=1,COUNTIFS(Messages!$K:$K,"&gt;="&amp;Calc!$B36,Messages!$K:$K,"&lt;"&amp;Calc!$C36),IF($A54=2,COUNT(Messages!$K:$K),""))</f>
        <v/>
      </c>
      <c r="I54" s="28" t="str">
        <f>IF($A54=1,SUMIFS(Messages!$E:$E,Messages!$K:$K,"&gt;="&amp;Calc!$B36,Messages!$K:$K,"&lt;"&amp;Calc!$C36),IF($A54=2,SUM(Messages!$E:$E),""))</f>
        <v/>
      </c>
      <c r="J54" s="34" t="str">
        <f>IF(AND($A54=1,$O54&lt;&gt;""),IF($O54&lt;&gt;IF(ROW()=20,ReqInit,Calc!$K35),"Client asked for "&amp;$O54&amp;" m³/h.",""),"")</f>
        <v/>
      </c>
      <c r="K54" s="34"/>
      <c r="L54" s="34"/>
      <c r="M54" s="34"/>
      <c r="O54" s="24"/>
      <c r="Q54" s="31" t="str">
        <f t="shared" si="3"/>
        <v/>
      </c>
    </row>
    <row r="55" spans="1:17" ht="20.100000000000001" customHeight="1" x14ac:dyDescent="0.25">
      <c r="A55" s="16">
        <f t="shared" si="2"/>
        <v>0</v>
      </c>
      <c r="B55" s="19" t="str">
        <f>IF($A55=1,TEXT((Calc!$C37-60)/1440,"hh:mm")&amp;" – "&amp;TEXT(Calc!$C37/1440,"hh:mm"),IF($A55=2,"TOTAL",""))</f>
        <v/>
      </c>
      <c r="C55" s="27" t="str">
        <f>IF($A55=1,_xlfn.LET(_xlpm.s,SUMIFS(Messages!$E:$E,Messages!$D:$D,C$19,Messages!$K:$K,"&gt;="&amp;Calc!$B37,Messages!$K:$K,"&lt;"&amp;Calc!$C37),IF(_xlpm.s=0,"",_xlpm.s)),IF($A55=2,SUMIFS(Messages!$E:$E,Messages!$D:$D,C$19),IF($A55=3,IFERROR(TEXT(SUMIFS(Messages!$E:$E,Messages!$D:$D,C$19)/SUM(Messages!$E:$E),"0%"),""),"")))</f>
        <v/>
      </c>
      <c r="D55" s="27" t="str">
        <f>IF($A55=1,_xlfn.LET(_xlpm.s,SUMIFS(Messages!$E:$E,Messages!$D:$D,D$19,Messages!$K:$K,"&gt;="&amp;Calc!$B37,Messages!$K:$K,"&lt;"&amp;Calc!$C37),IF(_xlpm.s=0,"",_xlpm.s)),IF($A55=2,SUMIFS(Messages!$E:$E,Messages!$D:$D,D$19),IF($A55=3,IFERROR(TEXT(SUMIFS(Messages!$E:$E,Messages!$D:$D,D$19)/SUM(Messages!$E:$E),"0%"),""),"")))</f>
        <v/>
      </c>
      <c r="E55" s="27" t="str">
        <f>IF($A55=1,_xlfn.LET(_xlpm.s,SUMIFS(Messages!$E:$E,Messages!$D:$D,E$19,Messages!$K:$K,"&gt;="&amp;Calc!$B37,Messages!$K:$K,"&lt;"&amp;Calc!$C37),IF(_xlpm.s=0,"",_xlpm.s)),IF($A55=2,SUMIFS(Messages!$E:$E,Messages!$D:$D,E$19),IF($A55=3,IFERROR(TEXT(SUMIFS(Messages!$E:$E,Messages!$D:$D,E$19)/SUM(Messages!$E:$E),"0%"),""),"")))</f>
        <v/>
      </c>
      <c r="F55" s="27" t="str">
        <f>IF($A55=1,_xlfn.LET(_xlpm.s,SUMIFS(Messages!$E:$E,Messages!$D:$D,F$19,Messages!$K:$K,"&gt;="&amp;Calc!$B37,Messages!$K:$K,"&lt;"&amp;Calc!$C37),IF(_xlpm.s=0,"",_xlpm.s)),IF($A55=2,SUMIFS(Messages!$E:$E,Messages!$D:$D,F$19),IF($A55=3,IFERROR(TEXT(SUMIFS(Messages!$E:$E,Messages!$D:$D,F$19)/SUM(Messages!$E:$E),"0%"),""),"")))</f>
        <v/>
      </c>
      <c r="G55" s="27" t="str">
        <f>IF($A55=1,_xlfn.LET(_xlpm.s,SUMIFS(Messages!$E:$E,Messages!$D:$D,G$19,Messages!$K:$K,"&gt;="&amp;Calc!$B37,Messages!$K:$K,"&lt;"&amp;Calc!$C37),IF(_xlpm.s=0,"",_xlpm.s)),IF($A55=2,SUMIFS(Messages!$E:$E,Messages!$D:$D,G$19),IF($A55=3,IFERROR(TEXT(SUMIFS(Messages!$E:$E,Messages!$D:$D,G$19)/SUM(Messages!$E:$E),"0%"),""),"")))</f>
        <v/>
      </c>
      <c r="H55" s="27" t="str">
        <f>IF($A55=1,COUNTIFS(Messages!$K:$K,"&gt;="&amp;Calc!$B37,Messages!$K:$K,"&lt;"&amp;Calc!$C37),IF($A55=2,COUNT(Messages!$K:$K),""))</f>
        <v/>
      </c>
      <c r="I55" s="28" t="str">
        <f>IF($A55=1,SUMIFS(Messages!$E:$E,Messages!$K:$K,"&gt;="&amp;Calc!$B37,Messages!$K:$K,"&lt;"&amp;Calc!$C37),IF($A55=2,SUM(Messages!$E:$E),""))</f>
        <v/>
      </c>
      <c r="J55" s="34" t="str">
        <f>IF(AND($A55=1,$O55&lt;&gt;""),IF($O55&lt;&gt;IF(ROW()=20,ReqInit,Calc!$K36),"Client asked for "&amp;$O55&amp;" m³/h.",""),"")</f>
        <v/>
      </c>
      <c r="K55" s="34"/>
      <c r="L55" s="34"/>
      <c r="M55" s="34"/>
      <c r="O55" s="24"/>
      <c r="Q55" s="31" t="str">
        <f t="shared" si="3"/>
        <v/>
      </c>
    </row>
    <row r="56" spans="1:17" ht="20.100000000000001" customHeight="1" x14ac:dyDescent="0.25">
      <c r="A56" s="16">
        <f t="shared" si="2"/>
        <v>0</v>
      </c>
      <c r="B56" s="19" t="str">
        <f>IF($A56=1,TEXT((Calc!$C38-60)/1440,"hh:mm")&amp;" – "&amp;TEXT(Calc!$C38/1440,"hh:mm"),IF($A56=2,"TOTAL",""))</f>
        <v/>
      </c>
      <c r="C56" s="27" t="str">
        <f>IF($A56=1,_xlfn.LET(_xlpm.s,SUMIFS(Messages!$E:$E,Messages!$D:$D,C$19,Messages!$K:$K,"&gt;="&amp;Calc!$B38,Messages!$K:$K,"&lt;"&amp;Calc!$C38),IF(_xlpm.s=0,"",_xlpm.s)),IF($A56=2,SUMIFS(Messages!$E:$E,Messages!$D:$D,C$19),IF($A56=3,IFERROR(TEXT(SUMIFS(Messages!$E:$E,Messages!$D:$D,C$19)/SUM(Messages!$E:$E),"0%"),""),"")))</f>
        <v/>
      </c>
      <c r="D56" s="27" t="str">
        <f>IF($A56=1,_xlfn.LET(_xlpm.s,SUMIFS(Messages!$E:$E,Messages!$D:$D,D$19,Messages!$K:$K,"&gt;="&amp;Calc!$B38,Messages!$K:$K,"&lt;"&amp;Calc!$C38),IF(_xlpm.s=0,"",_xlpm.s)),IF($A56=2,SUMIFS(Messages!$E:$E,Messages!$D:$D,D$19),IF($A56=3,IFERROR(TEXT(SUMIFS(Messages!$E:$E,Messages!$D:$D,D$19)/SUM(Messages!$E:$E),"0%"),""),"")))</f>
        <v/>
      </c>
      <c r="E56" s="27" t="str">
        <f>IF($A56=1,_xlfn.LET(_xlpm.s,SUMIFS(Messages!$E:$E,Messages!$D:$D,E$19,Messages!$K:$K,"&gt;="&amp;Calc!$B38,Messages!$K:$K,"&lt;"&amp;Calc!$C38),IF(_xlpm.s=0,"",_xlpm.s)),IF($A56=2,SUMIFS(Messages!$E:$E,Messages!$D:$D,E$19),IF($A56=3,IFERROR(TEXT(SUMIFS(Messages!$E:$E,Messages!$D:$D,E$19)/SUM(Messages!$E:$E),"0%"),""),"")))</f>
        <v/>
      </c>
      <c r="F56" s="27" t="str">
        <f>IF($A56=1,_xlfn.LET(_xlpm.s,SUMIFS(Messages!$E:$E,Messages!$D:$D,F$19,Messages!$K:$K,"&gt;="&amp;Calc!$B38,Messages!$K:$K,"&lt;"&amp;Calc!$C38),IF(_xlpm.s=0,"",_xlpm.s)),IF($A56=2,SUMIFS(Messages!$E:$E,Messages!$D:$D,F$19),IF($A56=3,IFERROR(TEXT(SUMIFS(Messages!$E:$E,Messages!$D:$D,F$19)/SUM(Messages!$E:$E),"0%"),""),"")))</f>
        <v/>
      </c>
      <c r="G56" s="27" t="str">
        <f>IF($A56=1,_xlfn.LET(_xlpm.s,SUMIFS(Messages!$E:$E,Messages!$D:$D,G$19,Messages!$K:$K,"&gt;="&amp;Calc!$B38,Messages!$K:$K,"&lt;"&amp;Calc!$C38),IF(_xlpm.s=0,"",_xlpm.s)),IF($A56=2,SUMIFS(Messages!$E:$E,Messages!$D:$D,G$19),IF($A56=3,IFERROR(TEXT(SUMIFS(Messages!$E:$E,Messages!$D:$D,G$19)/SUM(Messages!$E:$E),"0%"),""),"")))</f>
        <v/>
      </c>
      <c r="H56" s="27" t="str">
        <f>IF($A56=1,COUNTIFS(Messages!$K:$K,"&gt;="&amp;Calc!$B38,Messages!$K:$K,"&lt;"&amp;Calc!$C38),IF($A56=2,COUNT(Messages!$K:$K),""))</f>
        <v/>
      </c>
      <c r="I56" s="28" t="str">
        <f>IF($A56=1,SUMIFS(Messages!$E:$E,Messages!$K:$K,"&gt;="&amp;Calc!$B38,Messages!$K:$K,"&lt;"&amp;Calc!$C38),IF($A56=2,SUM(Messages!$E:$E),""))</f>
        <v/>
      </c>
      <c r="J56" s="34" t="str">
        <f>IF(AND($A56=1,$O56&lt;&gt;""),IF($O56&lt;&gt;IF(ROW()=20,ReqInit,Calc!$K37),"Client asked for "&amp;$O56&amp;" m³/h.",""),"")</f>
        <v/>
      </c>
      <c r="K56" s="34"/>
      <c r="L56" s="34"/>
      <c r="M56" s="34"/>
      <c r="O56" s="24"/>
      <c r="Q56" s="31" t="str">
        <f t="shared" si="3"/>
        <v/>
      </c>
    </row>
    <row r="57" spans="1:17" ht="20.100000000000001" customHeight="1" x14ac:dyDescent="0.25">
      <c r="A57" s="16">
        <f t="shared" si="2"/>
        <v>0</v>
      </c>
      <c r="B57" s="19" t="str">
        <f>IF($A57=1,TEXT((Calc!$C39-60)/1440,"hh:mm")&amp;" – "&amp;TEXT(Calc!$C39/1440,"hh:mm"),IF($A57=2,"TOTAL",""))</f>
        <v/>
      </c>
      <c r="C57" s="27" t="str">
        <f>IF($A57=1,_xlfn.LET(_xlpm.s,SUMIFS(Messages!$E:$E,Messages!$D:$D,C$19,Messages!$K:$K,"&gt;="&amp;Calc!$B39,Messages!$K:$K,"&lt;"&amp;Calc!$C39),IF(_xlpm.s=0,"",_xlpm.s)),IF($A57=2,SUMIFS(Messages!$E:$E,Messages!$D:$D,C$19),IF($A57=3,IFERROR(TEXT(SUMIFS(Messages!$E:$E,Messages!$D:$D,C$19)/SUM(Messages!$E:$E),"0%"),""),"")))</f>
        <v/>
      </c>
      <c r="D57" s="27" t="str">
        <f>IF($A57=1,_xlfn.LET(_xlpm.s,SUMIFS(Messages!$E:$E,Messages!$D:$D,D$19,Messages!$K:$K,"&gt;="&amp;Calc!$B39,Messages!$K:$K,"&lt;"&amp;Calc!$C39),IF(_xlpm.s=0,"",_xlpm.s)),IF($A57=2,SUMIFS(Messages!$E:$E,Messages!$D:$D,D$19),IF($A57=3,IFERROR(TEXT(SUMIFS(Messages!$E:$E,Messages!$D:$D,D$19)/SUM(Messages!$E:$E),"0%"),""),"")))</f>
        <v/>
      </c>
      <c r="E57" s="27" t="str">
        <f>IF($A57=1,_xlfn.LET(_xlpm.s,SUMIFS(Messages!$E:$E,Messages!$D:$D,E$19,Messages!$K:$K,"&gt;="&amp;Calc!$B39,Messages!$K:$K,"&lt;"&amp;Calc!$C39),IF(_xlpm.s=0,"",_xlpm.s)),IF($A57=2,SUMIFS(Messages!$E:$E,Messages!$D:$D,E$19),IF($A57=3,IFERROR(TEXT(SUMIFS(Messages!$E:$E,Messages!$D:$D,E$19)/SUM(Messages!$E:$E),"0%"),""),"")))</f>
        <v/>
      </c>
      <c r="F57" s="27" t="str">
        <f>IF($A57=1,_xlfn.LET(_xlpm.s,SUMIFS(Messages!$E:$E,Messages!$D:$D,F$19,Messages!$K:$K,"&gt;="&amp;Calc!$B39,Messages!$K:$K,"&lt;"&amp;Calc!$C39),IF(_xlpm.s=0,"",_xlpm.s)),IF($A57=2,SUMIFS(Messages!$E:$E,Messages!$D:$D,F$19),IF($A57=3,IFERROR(TEXT(SUMIFS(Messages!$E:$E,Messages!$D:$D,F$19)/SUM(Messages!$E:$E),"0%"),""),"")))</f>
        <v/>
      </c>
      <c r="G57" s="27" t="str">
        <f>IF($A57=1,_xlfn.LET(_xlpm.s,SUMIFS(Messages!$E:$E,Messages!$D:$D,G$19,Messages!$K:$K,"&gt;="&amp;Calc!$B39,Messages!$K:$K,"&lt;"&amp;Calc!$C39),IF(_xlpm.s=0,"",_xlpm.s)),IF($A57=2,SUMIFS(Messages!$E:$E,Messages!$D:$D,G$19),IF($A57=3,IFERROR(TEXT(SUMIFS(Messages!$E:$E,Messages!$D:$D,G$19)/SUM(Messages!$E:$E),"0%"),""),"")))</f>
        <v/>
      </c>
      <c r="H57" s="27" t="str">
        <f>IF($A57=1,COUNTIFS(Messages!$K:$K,"&gt;="&amp;Calc!$B39,Messages!$K:$K,"&lt;"&amp;Calc!$C39),IF($A57=2,COUNT(Messages!$K:$K),""))</f>
        <v/>
      </c>
      <c r="I57" s="28" t="str">
        <f>IF($A57=1,SUMIFS(Messages!$E:$E,Messages!$K:$K,"&gt;="&amp;Calc!$B39,Messages!$K:$K,"&lt;"&amp;Calc!$C39),IF($A57=2,SUM(Messages!$E:$E),""))</f>
        <v/>
      </c>
      <c r="J57" s="34" t="str">
        <f>IF(AND($A57=1,$O57&lt;&gt;""),IF($O57&lt;&gt;IF(ROW()=20,ReqInit,Calc!$K38),"Client asked for "&amp;$O57&amp;" m³/h.",""),"")</f>
        <v/>
      </c>
      <c r="K57" s="34"/>
      <c r="L57" s="34"/>
      <c r="M57" s="34"/>
      <c r="O57" s="24"/>
      <c r="Q57" s="31" t="str">
        <f t="shared" si="3"/>
        <v/>
      </c>
    </row>
    <row r="58" spans="1:17" ht="20.100000000000001" customHeight="1" x14ac:dyDescent="0.25">
      <c r="A58" s="16">
        <f t="shared" si="2"/>
        <v>0</v>
      </c>
      <c r="B58" s="19" t="str">
        <f>IF($A58=1,TEXT((Calc!$C40-60)/1440,"hh:mm")&amp;" – "&amp;TEXT(Calc!$C40/1440,"hh:mm"),IF($A58=2,"TOTAL",""))</f>
        <v/>
      </c>
      <c r="C58" s="27" t="str">
        <f>IF($A58=1,_xlfn.LET(_xlpm.s,SUMIFS(Messages!$E:$E,Messages!$D:$D,C$19,Messages!$K:$K,"&gt;="&amp;Calc!$B40,Messages!$K:$K,"&lt;"&amp;Calc!$C40),IF(_xlpm.s=0,"",_xlpm.s)),IF($A58=2,SUMIFS(Messages!$E:$E,Messages!$D:$D,C$19),IF($A58=3,IFERROR(TEXT(SUMIFS(Messages!$E:$E,Messages!$D:$D,C$19)/SUM(Messages!$E:$E),"0%"),""),"")))</f>
        <v/>
      </c>
      <c r="D58" s="27" t="str">
        <f>IF($A58=1,_xlfn.LET(_xlpm.s,SUMIFS(Messages!$E:$E,Messages!$D:$D,D$19,Messages!$K:$K,"&gt;="&amp;Calc!$B40,Messages!$K:$K,"&lt;"&amp;Calc!$C40),IF(_xlpm.s=0,"",_xlpm.s)),IF($A58=2,SUMIFS(Messages!$E:$E,Messages!$D:$D,D$19),IF($A58=3,IFERROR(TEXT(SUMIFS(Messages!$E:$E,Messages!$D:$D,D$19)/SUM(Messages!$E:$E),"0%"),""),"")))</f>
        <v/>
      </c>
      <c r="E58" s="27" t="str">
        <f>IF($A58=1,_xlfn.LET(_xlpm.s,SUMIFS(Messages!$E:$E,Messages!$D:$D,E$19,Messages!$K:$K,"&gt;="&amp;Calc!$B40,Messages!$K:$K,"&lt;"&amp;Calc!$C40),IF(_xlpm.s=0,"",_xlpm.s)),IF($A58=2,SUMIFS(Messages!$E:$E,Messages!$D:$D,E$19),IF($A58=3,IFERROR(TEXT(SUMIFS(Messages!$E:$E,Messages!$D:$D,E$19)/SUM(Messages!$E:$E),"0%"),""),"")))</f>
        <v/>
      </c>
      <c r="F58" s="27" t="str">
        <f>IF($A58=1,_xlfn.LET(_xlpm.s,SUMIFS(Messages!$E:$E,Messages!$D:$D,F$19,Messages!$K:$K,"&gt;="&amp;Calc!$B40,Messages!$K:$K,"&lt;"&amp;Calc!$C40),IF(_xlpm.s=0,"",_xlpm.s)),IF($A58=2,SUMIFS(Messages!$E:$E,Messages!$D:$D,F$19),IF($A58=3,IFERROR(TEXT(SUMIFS(Messages!$E:$E,Messages!$D:$D,F$19)/SUM(Messages!$E:$E),"0%"),""),"")))</f>
        <v/>
      </c>
      <c r="G58" s="27" t="str">
        <f>IF($A58=1,_xlfn.LET(_xlpm.s,SUMIFS(Messages!$E:$E,Messages!$D:$D,G$19,Messages!$K:$K,"&gt;="&amp;Calc!$B40,Messages!$K:$K,"&lt;"&amp;Calc!$C40),IF(_xlpm.s=0,"",_xlpm.s)),IF($A58=2,SUMIFS(Messages!$E:$E,Messages!$D:$D,G$19),IF($A58=3,IFERROR(TEXT(SUMIFS(Messages!$E:$E,Messages!$D:$D,G$19)/SUM(Messages!$E:$E),"0%"),""),"")))</f>
        <v/>
      </c>
      <c r="H58" s="27" t="str">
        <f>IF($A58=1,COUNTIFS(Messages!$K:$K,"&gt;="&amp;Calc!$B40,Messages!$K:$K,"&lt;"&amp;Calc!$C40),IF($A58=2,COUNT(Messages!$K:$K),""))</f>
        <v/>
      </c>
      <c r="I58" s="28" t="str">
        <f>IF($A58=1,SUMIFS(Messages!$E:$E,Messages!$K:$K,"&gt;="&amp;Calc!$B40,Messages!$K:$K,"&lt;"&amp;Calc!$C40),IF($A58=2,SUM(Messages!$E:$E),""))</f>
        <v/>
      </c>
      <c r="J58" s="34" t="str">
        <f>IF(AND($A58=1,$O58&lt;&gt;""),IF($O58&lt;&gt;IF(ROW()=20,ReqInit,Calc!$K39),"Client asked for "&amp;$O58&amp;" m³/h.",""),"")</f>
        <v/>
      </c>
      <c r="K58" s="34"/>
      <c r="L58" s="34"/>
      <c r="M58" s="34"/>
      <c r="O58" s="24"/>
      <c r="Q58" s="31" t="str">
        <f t="shared" si="3"/>
        <v/>
      </c>
    </row>
    <row r="59" spans="1:17" ht="20.100000000000001" customHeight="1" x14ac:dyDescent="0.25">
      <c r="A59" s="16">
        <f t="shared" si="2"/>
        <v>0</v>
      </c>
      <c r="B59" s="19" t="str">
        <f>IF($A59=1,TEXT((Calc!$C41-60)/1440,"hh:mm")&amp;" – "&amp;TEXT(Calc!$C41/1440,"hh:mm"),IF($A59=2,"TOTAL",""))</f>
        <v/>
      </c>
      <c r="C59" s="27" t="str">
        <f>IF($A59=1,_xlfn.LET(_xlpm.s,SUMIFS(Messages!$E:$E,Messages!$D:$D,C$19,Messages!$K:$K,"&gt;="&amp;Calc!$B41,Messages!$K:$K,"&lt;"&amp;Calc!$C41),IF(_xlpm.s=0,"",_xlpm.s)),IF($A59=2,SUMIFS(Messages!$E:$E,Messages!$D:$D,C$19),IF($A59=3,IFERROR(TEXT(SUMIFS(Messages!$E:$E,Messages!$D:$D,C$19)/SUM(Messages!$E:$E),"0%"),""),"")))</f>
        <v/>
      </c>
      <c r="D59" s="27" t="str">
        <f>IF($A59=1,_xlfn.LET(_xlpm.s,SUMIFS(Messages!$E:$E,Messages!$D:$D,D$19,Messages!$K:$K,"&gt;="&amp;Calc!$B41,Messages!$K:$K,"&lt;"&amp;Calc!$C41),IF(_xlpm.s=0,"",_xlpm.s)),IF($A59=2,SUMIFS(Messages!$E:$E,Messages!$D:$D,D$19),IF($A59=3,IFERROR(TEXT(SUMIFS(Messages!$E:$E,Messages!$D:$D,D$19)/SUM(Messages!$E:$E),"0%"),""),"")))</f>
        <v/>
      </c>
      <c r="E59" s="27" t="str">
        <f>IF($A59=1,_xlfn.LET(_xlpm.s,SUMIFS(Messages!$E:$E,Messages!$D:$D,E$19,Messages!$K:$K,"&gt;="&amp;Calc!$B41,Messages!$K:$K,"&lt;"&amp;Calc!$C41),IF(_xlpm.s=0,"",_xlpm.s)),IF($A59=2,SUMIFS(Messages!$E:$E,Messages!$D:$D,E$19),IF($A59=3,IFERROR(TEXT(SUMIFS(Messages!$E:$E,Messages!$D:$D,E$19)/SUM(Messages!$E:$E),"0%"),""),"")))</f>
        <v/>
      </c>
      <c r="F59" s="27" t="str">
        <f>IF($A59=1,_xlfn.LET(_xlpm.s,SUMIFS(Messages!$E:$E,Messages!$D:$D,F$19,Messages!$K:$K,"&gt;="&amp;Calc!$B41,Messages!$K:$K,"&lt;"&amp;Calc!$C41),IF(_xlpm.s=0,"",_xlpm.s)),IF($A59=2,SUMIFS(Messages!$E:$E,Messages!$D:$D,F$19),IF($A59=3,IFERROR(TEXT(SUMIFS(Messages!$E:$E,Messages!$D:$D,F$19)/SUM(Messages!$E:$E),"0%"),""),"")))</f>
        <v/>
      </c>
      <c r="G59" s="27" t="str">
        <f>IF($A59=1,_xlfn.LET(_xlpm.s,SUMIFS(Messages!$E:$E,Messages!$D:$D,G$19,Messages!$K:$K,"&gt;="&amp;Calc!$B41,Messages!$K:$K,"&lt;"&amp;Calc!$C41),IF(_xlpm.s=0,"",_xlpm.s)),IF($A59=2,SUMIFS(Messages!$E:$E,Messages!$D:$D,G$19),IF($A59=3,IFERROR(TEXT(SUMIFS(Messages!$E:$E,Messages!$D:$D,G$19)/SUM(Messages!$E:$E),"0%"),""),"")))</f>
        <v/>
      </c>
      <c r="H59" s="27" t="str">
        <f>IF($A59=1,COUNTIFS(Messages!$K:$K,"&gt;="&amp;Calc!$B41,Messages!$K:$K,"&lt;"&amp;Calc!$C41),IF($A59=2,COUNT(Messages!$K:$K),""))</f>
        <v/>
      </c>
      <c r="I59" s="28" t="str">
        <f>IF($A59=1,SUMIFS(Messages!$E:$E,Messages!$K:$K,"&gt;="&amp;Calc!$B41,Messages!$K:$K,"&lt;"&amp;Calc!$C41),IF($A59=2,SUM(Messages!$E:$E),""))</f>
        <v/>
      </c>
      <c r="J59" s="34" t="str">
        <f>IF(AND($A59=1,$O59&lt;&gt;""),IF($O59&lt;&gt;IF(ROW()=20,ReqInit,Calc!$K40),"Client asked for "&amp;$O59&amp;" m³/h.",""),"")</f>
        <v/>
      </c>
      <c r="K59" s="34"/>
      <c r="L59" s="34"/>
      <c r="M59" s="34"/>
      <c r="O59" s="24"/>
      <c r="Q59" s="31" t="str">
        <f t="shared" si="3"/>
        <v/>
      </c>
    </row>
    <row r="60" spans="1:17" ht="20.100000000000001" customHeight="1" x14ac:dyDescent="0.25">
      <c r="A60" s="16">
        <f t="shared" si="2"/>
        <v>0</v>
      </c>
      <c r="B60" s="19" t="str">
        <f>IF($A60=1,TEXT((Calc!$C42-60)/1440,"hh:mm")&amp;" – "&amp;TEXT(Calc!$C42/1440,"hh:mm"),IF($A60=2,"TOTAL",""))</f>
        <v/>
      </c>
      <c r="C60" s="27" t="str">
        <f>IF($A60=1,_xlfn.LET(_xlpm.s,SUMIFS(Messages!$E:$E,Messages!$D:$D,C$19,Messages!$K:$K,"&gt;="&amp;Calc!$B42,Messages!$K:$K,"&lt;"&amp;Calc!$C42),IF(_xlpm.s=0,"",_xlpm.s)),IF($A60=2,SUMIFS(Messages!$E:$E,Messages!$D:$D,C$19),IF($A60=3,IFERROR(TEXT(SUMIFS(Messages!$E:$E,Messages!$D:$D,C$19)/SUM(Messages!$E:$E),"0%"),""),"")))</f>
        <v/>
      </c>
      <c r="D60" s="27" t="str">
        <f>IF($A60=1,_xlfn.LET(_xlpm.s,SUMIFS(Messages!$E:$E,Messages!$D:$D,D$19,Messages!$K:$K,"&gt;="&amp;Calc!$B42,Messages!$K:$K,"&lt;"&amp;Calc!$C42),IF(_xlpm.s=0,"",_xlpm.s)),IF($A60=2,SUMIFS(Messages!$E:$E,Messages!$D:$D,D$19),IF($A60=3,IFERROR(TEXT(SUMIFS(Messages!$E:$E,Messages!$D:$D,D$19)/SUM(Messages!$E:$E),"0%"),""),"")))</f>
        <v/>
      </c>
      <c r="E60" s="27" t="str">
        <f>IF($A60=1,_xlfn.LET(_xlpm.s,SUMIFS(Messages!$E:$E,Messages!$D:$D,E$19,Messages!$K:$K,"&gt;="&amp;Calc!$B42,Messages!$K:$K,"&lt;"&amp;Calc!$C42),IF(_xlpm.s=0,"",_xlpm.s)),IF($A60=2,SUMIFS(Messages!$E:$E,Messages!$D:$D,E$19),IF($A60=3,IFERROR(TEXT(SUMIFS(Messages!$E:$E,Messages!$D:$D,E$19)/SUM(Messages!$E:$E),"0%"),""),"")))</f>
        <v/>
      </c>
      <c r="F60" s="27" t="str">
        <f>IF($A60=1,_xlfn.LET(_xlpm.s,SUMIFS(Messages!$E:$E,Messages!$D:$D,F$19,Messages!$K:$K,"&gt;="&amp;Calc!$B42,Messages!$K:$K,"&lt;"&amp;Calc!$C42),IF(_xlpm.s=0,"",_xlpm.s)),IF($A60=2,SUMIFS(Messages!$E:$E,Messages!$D:$D,F$19),IF($A60=3,IFERROR(TEXT(SUMIFS(Messages!$E:$E,Messages!$D:$D,F$19)/SUM(Messages!$E:$E),"0%"),""),"")))</f>
        <v/>
      </c>
      <c r="G60" s="27" t="str">
        <f>IF($A60=1,_xlfn.LET(_xlpm.s,SUMIFS(Messages!$E:$E,Messages!$D:$D,G$19,Messages!$K:$K,"&gt;="&amp;Calc!$B42,Messages!$K:$K,"&lt;"&amp;Calc!$C42),IF(_xlpm.s=0,"",_xlpm.s)),IF($A60=2,SUMIFS(Messages!$E:$E,Messages!$D:$D,G$19),IF($A60=3,IFERROR(TEXT(SUMIFS(Messages!$E:$E,Messages!$D:$D,G$19)/SUM(Messages!$E:$E),"0%"),""),"")))</f>
        <v/>
      </c>
      <c r="H60" s="27" t="str">
        <f>IF($A60=1,COUNTIFS(Messages!$K:$K,"&gt;="&amp;Calc!$B42,Messages!$K:$K,"&lt;"&amp;Calc!$C42),IF($A60=2,COUNT(Messages!$K:$K),""))</f>
        <v/>
      </c>
      <c r="I60" s="28" t="str">
        <f>IF($A60=1,SUMIFS(Messages!$E:$E,Messages!$K:$K,"&gt;="&amp;Calc!$B42,Messages!$K:$K,"&lt;"&amp;Calc!$C42),IF($A60=2,SUM(Messages!$E:$E),""))</f>
        <v/>
      </c>
      <c r="J60" s="34" t="str">
        <f>IF(AND($A60=1,$O60&lt;&gt;""),IF($O60&lt;&gt;IF(ROW()=20,ReqInit,Calc!$K41),"Client asked for "&amp;$O60&amp;" m³/h.",""),"")</f>
        <v/>
      </c>
      <c r="K60" s="34"/>
      <c r="L60" s="34"/>
      <c r="M60" s="34"/>
      <c r="O60" s="24"/>
      <c r="Q60" s="31" t="str">
        <f t="shared" si="3"/>
        <v/>
      </c>
    </row>
    <row r="61" spans="1:17" ht="20.100000000000001" customHeight="1" x14ac:dyDescent="0.25">
      <c r="A61" s="16">
        <f t="shared" si="2"/>
        <v>0</v>
      </c>
      <c r="B61" s="19" t="str">
        <f>IF($A61=1,TEXT((Calc!$C43-60)/1440,"hh:mm")&amp;" – "&amp;TEXT(Calc!$C43/1440,"hh:mm"),IF($A61=2,"TOTAL",""))</f>
        <v/>
      </c>
      <c r="C61" s="27" t="str">
        <f>IF($A61=1,_xlfn.LET(_xlpm.s,SUMIFS(Messages!$E:$E,Messages!$D:$D,C$19,Messages!$K:$K,"&gt;="&amp;Calc!$B43,Messages!$K:$K,"&lt;"&amp;Calc!$C43),IF(_xlpm.s=0,"",_xlpm.s)),IF($A61=2,SUMIFS(Messages!$E:$E,Messages!$D:$D,C$19),IF($A61=3,IFERROR(TEXT(SUMIFS(Messages!$E:$E,Messages!$D:$D,C$19)/SUM(Messages!$E:$E),"0%"),""),"")))</f>
        <v/>
      </c>
      <c r="D61" s="27" t="str">
        <f>IF($A61=1,_xlfn.LET(_xlpm.s,SUMIFS(Messages!$E:$E,Messages!$D:$D,D$19,Messages!$K:$K,"&gt;="&amp;Calc!$B43,Messages!$K:$K,"&lt;"&amp;Calc!$C43),IF(_xlpm.s=0,"",_xlpm.s)),IF($A61=2,SUMIFS(Messages!$E:$E,Messages!$D:$D,D$19),IF($A61=3,IFERROR(TEXT(SUMIFS(Messages!$E:$E,Messages!$D:$D,D$19)/SUM(Messages!$E:$E),"0%"),""),"")))</f>
        <v/>
      </c>
      <c r="E61" s="27" t="str">
        <f>IF($A61=1,_xlfn.LET(_xlpm.s,SUMIFS(Messages!$E:$E,Messages!$D:$D,E$19,Messages!$K:$K,"&gt;="&amp;Calc!$B43,Messages!$K:$K,"&lt;"&amp;Calc!$C43),IF(_xlpm.s=0,"",_xlpm.s)),IF($A61=2,SUMIFS(Messages!$E:$E,Messages!$D:$D,E$19),IF($A61=3,IFERROR(TEXT(SUMIFS(Messages!$E:$E,Messages!$D:$D,E$19)/SUM(Messages!$E:$E),"0%"),""),"")))</f>
        <v/>
      </c>
      <c r="F61" s="27" t="str">
        <f>IF($A61=1,_xlfn.LET(_xlpm.s,SUMIFS(Messages!$E:$E,Messages!$D:$D,F$19,Messages!$K:$K,"&gt;="&amp;Calc!$B43,Messages!$K:$K,"&lt;"&amp;Calc!$C43),IF(_xlpm.s=0,"",_xlpm.s)),IF($A61=2,SUMIFS(Messages!$E:$E,Messages!$D:$D,F$19),IF($A61=3,IFERROR(TEXT(SUMIFS(Messages!$E:$E,Messages!$D:$D,F$19)/SUM(Messages!$E:$E),"0%"),""),"")))</f>
        <v/>
      </c>
      <c r="G61" s="27" t="str">
        <f>IF($A61=1,_xlfn.LET(_xlpm.s,SUMIFS(Messages!$E:$E,Messages!$D:$D,G$19,Messages!$K:$K,"&gt;="&amp;Calc!$B43,Messages!$K:$K,"&lt;"&amp;Calc!$C43),IF(_xlpm.s=0,"",_xlpm.s)),IF($A61=2,SUMIFS(Messages!$E:$E,Messages!$D:$D,G$19),IF($A61=3,IFERROR(TEXT(SUMIFS(Messages!$E:$E,Messages!$D:$D,G$19)/SUM(Messages!$E:$E),"0%"),""),"")))</f>
        <v/>
      </c>
      <c r="H61" s="27" t="str">
        <f>IF($A61=1,COUNTIFS(Messages!$K:$K,"&gt;="&amp;Calc!$B43,Messages!$K:$K,"&lt;"&amp;Calc!$C43),IF($A61=2,COUNT(Messages!$K:$K),""))</f>
        <v/>
      </c>
      <c r="I61" s="28" t="str">
        <f>IF($A61=1,SUMIFS(Messages!$E:$E,Messages!$K:$K,"&gt;="&amp;Calc!$B43,Messages!$K:$K,"&lt;"&amp;Calc!$C43),IF($A61=2,SUM(Messages!$E:$E),""))</f>
        <v/>
      </c>
      <c r="J61" s="34" t="str">
        <f>IF(AND($A61=1,$O61&lt;&gt;""),IF($O61&lt;&gt;IF(ROW()=20,ReqInit,Calc!$K42),"Client asked for "&amp;$O61&amp;" m³/h.",""),"")</f>
        <v/>
      </c>
      <c r="K61" s="34"/>
      <c r="L61" s="34"/>
      <c r="M61" s="34"/>
      <c r="O61" s="24"/>
      <c r="Q61" s="31" t="str">
        <f t="shared" si="3"/>
        <v/>
      </c>
    </row>
    <row r="62" spans="1:17" ht="20.100000000000001" customHeight="1" x14ac:dyDescent="0.25">
      <c r="A62" s="16">
        <f t="shared" si="2"/>
        <v>0</v>
      </c>
      <c r="B62" s="19" t="str">
        <f>IF($A62=1,TEXT((Calc!$C44-60)/1440,"hh:mm")&amp;" – "&amp;TEXT(Calc!$C44/1440,"hh:mm"),IF($A62=2,"TOTAL",""))</f>
        <v/>
      </c>
      <c r="C62" s="27" t="str">
        <f>IF($A62=1,_xlfn.LET(_xlpm.s,SUMIFS(Messages!$E:$E,Messages!$D:$D,C$19,Messages!$K:$K,"&gt;="&amp;Calc!$B44,Messages!$K:$K,"&lt;"&amp;Calc!$C44),IF(_xlpm.s=0,"",_xlpm.s)),IF($A62=2,SUMIFS(Messages!$E:$E,Messages!$D:$D,C$19),IF($A62=3,IFERROR(TEXT(SUMIFS(Messages!$E:$E,Messages!$D:$D,C$19)/SUM(Messages!$E:$E),"0%"),""),"")))</f>
        <v/>
      </c>
      <c r="D62" s="27" t="str">
        <f>IF($A62=1,_xlfn.LET(_xlpm.s,SUMIFS(Messages!$E:$E,Messages!$D:$D,D$19,Messages!$K:$K,"&gt;="&amp;Calc!$B44,Messages!$K:$K,"&lt;"&amp;Calc!$C44),IF(_xlpm.s=0,"",_xlpm.s)),IF($A62=2,SUMIFS(Messages!$E:$E,Messages!$D:$D,D$19),IF($A62=3,IFERROR(TEXT(SUMIFS(Messages!$E:$E,Messages!$D:$D,D$19)/SUM(Messages!$E:$E),"0%"),""),"")))</f>
        <v/>
      </c>
      <c r="E62" s="27" t="str">
        <f>IF($A62=1,_xlfn.LET(_xlpm.s,SUMIFS(Messages!$E:$E,Messages!$D:$D,E$19,Messages!$K:$K,"&gt;="&amp;Calc!$B44,Messages!$K:$K,"&lt;"&amp;Calc!$C44),IF(_xlpm.s=0,"",_xlpm.s)),IF($A62=2,SUMIFS(Messages!$E:$E,Messages!$D:$D,E$19),IF($A62=3,IFERROR(TEXT(SUMIFS(Messages!$E:$E,Messages!$D:$D,E$19)/SUM(Messages!$E:$E),"0%"),""),"")))</f>
        <v/>
      </c>
      <c r="F62" s="27" t="str">
        <f>IF($A62=1,_xlfn.LET(_xlpm.s,SUMIFS(Messages!$E:$E,Messages!$D:$D,F$19,Messages!$K:$K,"&gt;="&amp;Calc!$B44,Messages!$K:$K,"&lt;"&amp;Calc!$C44),IF(_xlpm.s=0,"",_xlpm.s)),IF($A62=2,SUMIFS(Messages!$E:$E,Messages!$D:$D,F$19),IF($A62=3,IFERROR(TEXT(SUMIFS(Messages!$E:$E,Messages!$D:$D,F$19)/SUM(Messages!$E:$E),"0%"),""),"")))</f>
        <v/>
      </c>
      <c r="G62" s="27" t="str">
        <f>IF($A62=1,_xlfn.LET(_xlpm.s,SUMIFS(Messages!$E:$E,Messages!$D:$D,G$19,Messages!$K:$K,"&gt;="&amp;Calc!$B44,Messages!$K:$K,"&lt;"&amp;Calc!$C44),IF(_xlpm.s=0,"",_xlpm.s)),IF($A62=2,SUMIFS(Messages!$E:$E,Messages!$D:$D,G$19),IF($A62=3,IFERROR(TEXT(SUMIFS(Messages!$E:$E,Messages!$D:$D,G$19)/SUM(Messages!$E:$E),"0%"),""),"")))</f>
        <v/>
      </c>
      <c r="H62" s="27" t="str">
        <f>IF($A62=1,COUNTIFS(Messages!$K:$K,"&gt;="&amp;Calc!$B44,Messages!$K:$K,"&lt;"&amp;Calc!$C44),IF($A62=2,COUNT(Messages!$K:$K),""))</f>
        <v/>
      </c>
      <c r="I62" s="28" t="str">
        <f>IF($A62=1,SUMIFS(Messages!$E:$E,Messages!$K:$K,"&gt;="&amp;Calc!$B44,Messages!$K:$K,"&lt;"&amp;Calc!$C44),IF($A62=2,SUM(Messages!$E:$E),""))</f>
        <v/>
      </c>
      <c r="J62" s="34" t="str">
        <f>IF(AND($A62=1,$O62&lt;&gt;""),IF($O62&lt;&gt;IF(ROW()=20,ReqInit,Calc!$K43),"Client asked for "&amp;$O62&amp;" m³/h.",""),"")</f>
        <v/>
      </c>
      <c r="K62" s="34"/>
      <c r="L62" s="34"/>
      <c r="M62" s="34"/>
      <c r="O62" s="24"/>
      <c r="Q62" s="31" t="str">
        <f t="shared" si="3"/>
        <v/>
      </c>
    </row>
    <row r="63" spans="1:17" ht="20.100000000000001" customHeight="1" x14ac:dyDescent="0.25">
      <c r="A63" s="16">
        <f t="shared" si="2"/>
        <v>0</v>
      </c>
      <c r="B63" s="19" t="str">
        <f>IF($A63=1,TEXT((Calc!$C45-60)/1440,"hh:mm")&amp;" – "&amp;TEXT(Calc!$C45/1440,"hh:mm"),IF($A63=2,"TOTAL",""))</f>
        <v/>
      </c>
      <c r="C63" s="27" t="str">
        <f>IF($A63=1,_xlfn.LET(_xlpm.s,SUMIFS(Messages!$E:$E,Messages!$D:$D,C$19,Messages!$K:$K,"&gt;="&amp;Calc!$B45,Messages!$K:$K,"&lt;"&amp;Calc!$C45),IF(_xlpm.s=0,"",_xlpm.s)),IF($A63=2,SUMIFS(Messages!$E:$E,Messages!$D:$D,C$19),IF($A63=3,IFERROR(TEXT(SUMIFS(Messages!$E:$E,Messages!$D:$D,C$19)/SUM(Messages!$E:$E),"0%"),""),"")))</f>
        <v/>
      </c>
      <c r="D63" s="27" t="str">
        <f>IF($A63=1,_xlfn.LET(_xlpm.s,SUMIFS(Messages!$E:$E,Messages!$D:$D,D$19,Messages!$K:$K,"&gt;="&amp;Calc!$B45,Messages!$K:$K,"&lt;"&amp;Calc!$C45),IF(_xlpm.s=0,"",_xlpm.s)),IF($A63=2,SUMIFS(Messages!$E:$E,Messages!$D:$D,D$19),IF($A63=3,IFERROR(TEXT(SUMIFS(Messages!$E:$E,Messages!$D:$D,D$19)/SUM(Messages!$E:$E),"0%"),""),"")))</f>
        <v/>
      </c>
      <c r="E63" s="27" t="str">
        <f>IF($A63=1,_xlfn.LET(_xlpm.s,SUMIFS(Messages!$E:$E,Messages!$D:$D,E$19,Messages!$K:$K,"&gt;="&amp;Calc!$B45,Messages!$K:$K,"&lt;"&amp;Calc!$C45),IF(_xlpm.s=0,"",_xlpm.s)),IF($A63=2,SUMIFS(Messages!$E:$E,Messages!$D:$D,E$19),IF($A63=3,IFERROR(TEXT(SUMIFS(Messages!$E:$E,Messages!$D:$D,E$19)/SUM(Messages!$E:$E),"0%"),""),"")))</f>
        <v/>
      </c>
      <c r="F63" s="27" t="str">
        <f>IF($A63=1,_xlfn.LET(_xlpm.s,SUMIFS(Messages!$E:$E,Messages!$D:$D,F$19,Messages!$K:$K,"&gt;="&amp;Calc!$B45,Messages!$K:$K,"&lt;"&amp;Calc!$C45),IF(_xlpm.s=0,"",_xlpm.s)),IF($A63=2,SUMIFS(Messages!$E:$E,Messages!$D:$D,F$19),IF($A63=3,IFERROR(TEXT(SUMIFS(Messages!$E:$E,Messages!$D:$D,F$19)/SUM(Messages!$E:$E),"0%"),""),"")))</f>
        <v/>
      </c>
      <c r="G63" s="27" t="str">
        <f>IF($A63=1,_xlfn.LET(_xlpm.s,SUMIFS(Messages!$E:$E,Messages!$D:$D,G$19,Messages!$K:$K,"&gt;="&amp;Calc!$B45,Messages!$K:$K,"&lt;"&amp;Calc!$C45),IF(_xlpm.s=0,"",_xlpm.s)),IF($A63=2,SUMIFS(Messages!$E:$E,Messages!$D:$D,G$19),IF($A63=3,IFERROR(TEXT(SUMIFS(Messages!$E:$E,Messages!$D:$D,G$19)/SUM(Messages!$E:$E),"0%"),""),"")))</f>
        <v/>
      </c>
      <c r="H63" s="27" t="str">
        <f>IF($A63=1,COUNTIFS(Messages!$K:$K,"&gt;="&amp;Calc!$B45,Messages!$K:$K,"&lt;"&amp;Calc!$C45),IF($A63=2,COUNT(Messages!$K:$K),""))</f>
        <v/>
      </c>
      <c r="I63" s="28" t="str">
        <f>IF($A63=1,SUMIFS(Messages!$E:$E,Messages!$K:$K,"&gt;="&amp;Calc!$B45,Messages!$K:$K,"&lt;"&amp;Calc!$C45),IF($A63=2,SUM(Messages!$E:$E),""))</f>
        <v/>
      </c>
      <c r="J63" s="34" t="str">
        <f>IF(AND($A63=1,$O63&lt;&gt;""),IF($O63&lt;&gt;IF(ROW()=20,ReqInit,Calc!$K44),"Client asked for "&amp;$O63&amp;" m³/h.",""),"")</f>
        <v/>
      </c>
      <c r="K63" s="34"/>
      <c r="L63" s="34"/>
      <c r="M63" s="34"/>
      <c r="O63" s="24"/>
      <c r="Q63" s="31" t="str">
        <f t="shared" si="3"/>
        <v/>
      </c>
    </row>
    <row r="64" spans="1:17" ht="20.100000000000001" customHeight="1" x14ac:dyDescent="0.25">
      <c r="A64" s="16">
        <f t="shared" si="2"/>
        <v>0</v>
      </c>
      <c r="B64" s="19" t="str">
        <f>IF($A64=1,TEXT((Calc!$C46-60)/1440,"hh:mm")&amp;" – "&amp;TEXT(Calc!$C46/1440,"hh:mm"),IF($A64=2,"TOTAL",""))</f>
        <v/>
      </c>
      <c r="C64" s="27" t="str">
        <f>IF($A64=1,_xlfn.LET(_xlpm.s,SUMIFS(Messages!$E:$E,Messages!$D:$D,C$19,Messages!$K:$K,"&gt;="&amp;Calc!$B46,Messages!$K:$K,"&lt;"&amp;Calc!$C46),IF(_xlpm.s=0,"",_xlpm.s)),IF($A64=2,SUMIFS(Messages!$E:$E,Messages!$D:$D,C$19),IF($A64=3,IFERROR(TEXT(SUMIFS(Messages!$E:$E,Messages!$D:$D,C$19)/SUM(Messages!$E:$E),"0%"),""),"")))</f>
        <v/>
      </c>
      <c r="D64" s="27" t="str">
        <f>IF($A64=1,_xlfn.LET(_xlpm.s,SUMIFS(Messages!$E:$E,Messages!$D:$D,D$19,Messages!$K:$K,"&gt;="&amp;Calc!$B46,Messages!$K:$K,"&lt;"&amp;Calc!$C46),IF(_xlpm.s=0,"",_xlpm.s)),IF($A64=2,SUMIFS(Messages!$E:$E,Messages!$D:$D,D$19),IF($A64=3,IFERROR(TEXT(SUMIFS(Messages!$E:$E,Messages!$D:$D,D$19)/SUM(Messages!$E:$E),"0%"),""),"")))</f>
        <v/>
      </c>
      <c r="E64" s="27" t="str">
        <f>IF($A64=1,_xlfn.LET(_xlpm.s,SUMIFS(Messages!$E:$E,Messages!$D:$D,E$19,Messages!$K:$K,"&gt;="&amp;Calc!$B46,Messages!$K:$K,"&lt;"&amp;Calc!$C46),IF(_xlpm.s=0,"",_xlpm.s)),IF($A64=2,SUMIFS(Messages!$E:$E,Messages!$D:$D,E$19),IF($A64=3,IFERROR(TEXT(SUMIFS(Messages!$E:$E,Messages!$D:$D,E$19)/SUM(Messages!$E:$E),"0%"),""),"")))</f>
        <v/>
      </c>
      <c r="F64" s="27" t="str">
        <f>IF($A64=1,_xlfn.LET(_xlpm.s,SUMIFS(Messages!$E:$E,Messages!$D:$D,F$19,Messages!$K:$K,"&gt;="&amp;Calc!$B46,Messages!$K:$K,"&lt;"&amp;Calc!$C46),IF(_xlpm.s=0,"",_xlpm.s)),IF($A64=2,SUMIFS(Messages!$E:$E,Messages!$D:$D,F$19),IF($A64=3,IFERROR(TEXT(SUMIFS(Messages!$E:$E,Messages!$D:$D,F$19)/SUM(Messages!$E:$E),"0%"),""),"")))</f>
        <v/>
      </c>
      <c r="G64" s="27" t="str">
        <f>IF($A64=1,_xlfn.LET(_xlpm.s,SUMIFS(Messages!$E:$E,Messages!$D:$D,G$19,Messages!$K:$K,"&gt;="&amp;Calc!$B46,Messages!$K:$K,"&lt;"&amp;Calc!$C46),IF(_xlpm.s=0,"",_xlpm.s)),IF($A64=2,SUMIFS(Messages!$E:$E,Messages!$D:$D,G$19),IF($A64=3,IFERROR(TEXT(SUMIFS(Messages!$E:$E,Messages!$D:$D,G$19)/SUM(Messages!$E:$E),"0%"),""),"")))</f>
        <v/>
      </c>
      <c r="H64" s="27" t="str">
        <f>IF($A64=1,COUNTIFS(Messages!$K:$K,"&gt;="&amp;Calc!$B46,Messages!$K:$K,"&lt;"&amp;Calc!$C46),IF($A64=2,COUNT(Messages!$K:$K),""))</f>
        <v/>
      </c>
      <c r="I64" s="28" t="str">
        <f>IF($A64=1,SUMIFS(Messages!$E:$E,Messages!$K:$K,"&gt;="&amp;Calc!$B46,Messages!$K:$K,"&lt;"&amp;Calc!$C46),IF($A64=2,SUM(Messages!$E:$E),""))</f>
        <v/>
      </c>
      <c r="J64" s="34" t="str">
        <f>IF(AND($A64=1,$O64&lt;&gt;""),IF($O64&lt;&gt;IF(ROW()=20,ReqInit,Calc!$K45),"Client asked for "&amp;$O64&amp;" m³/h.",""),"")</f>
        <v/>
      </c>
      <c r="K64" s="34"/>
      <c r="L64" s="34"/>
      <c r="M64" s="34"/>
      <c r="O64" s="24"/>
      <c r="Q64" s="31" t="str">
        <f t="shared" si="3"/>
        <v/>
      </c>
    </row>
    <row r="65" spans="1:17" ht="20.100000000000001" customHeight="1" x14ac:dyDescent="0.25">
      <c r="A65" s="16">
        <f t="shared" si="2"/>
        <v>0</v>
      </c>
      <c r="B65" s="19" t="str">
        <f>IF($A65=1,TEXT((Calc!$C47-60)/1440,"hh:mm")&amp;" – "&amp;TEXT(Calc!$C47/1440,"hh:mm"),IF($A65=2,"TOTAL",""))</f>
        <v/>
      </c>
      <c r="C65" s="27" t="str">
        <f>IF($A65=1,_xlfn.LET(_xlpm.s,SUMIFS(Messages!$E:$E,Messages!$D:$D,C$19,Messages!$K:$K,"&gt;="&amp;Calc!$B47,Messages!$K:$K,"&lt;"&amp;Calc!$C47),IF(_xlpm.s=0,"",_xlpm.s)),IF($A65=2,SUMIFS(Messages!$E:$E,Messages!$D:$D,C$19),IF($A65=3,IFERROR(TEXT(SUMIFS(Messages!$E:$E,Messages!$D:$D,C$19)/SUM(Messages!$E:$E),"0%"),""),"")))</f>
        <v/>
      </c>
      <c r="D65" s="27" t="str">
        <f>IF($A65=1,_xlfn.LET(_xlpm.s,SUMIFS(Messages!$E:$E,Messages!$D:$D,D$19,Messages!$K:$K,"&gt;="&amp;Calc!$B47,Messages!$K:$K,"&lt;"&amp;Calc!$C47),IF(_xlpm.s=0,"",_xlpm.s)),IF($A65=2,SUMIFS(Messages!$E:$E,Messages!$D:$D,D$19),IF($A65=3,IFERROR(TEXT(SUMIFS(Messages!$E:$E,Messages!$D:$D,D$19)/SUM(Messages!$E:$E),"0%"),""),"")))</f>
        <v/>
      </c>
      <c r="E65" s="27" t="str">
        <f>IF($A65=1,_xlfn.LET(_xlpm.s,SUMIFS(Messages!$E:$E,Messages!$D:$D,E$19,Messages!$K:$K,"&gt;="&amp;Calc!$B47,Messages!$K:$K,"&lt;"&amp;Calc!$C47),IF(_xlpm.s=0,"",_xlpm.s)),IF($A65=2,SUMIFS(Messages!$E:$E,Messages!$D:$D,E$19),IF($A65=3,IFERROR(TEXT(SUMIFS(Messages!$E:$E,Messages!$D:$D,E$19)/SUM(Messages!$E:$E),"0%"),""),"")))</f>
        <v/>
      </c>
      <c r="F65" s="27" t="str">
        <f>IF($A65=1,_xlfn.LET(_xlpm.s,SUMIFS(Messages!$E:$E,Messages!$D:$D,F$19,Messages!$K:$K,"&gt;="&amp;Calc!$B47,Messages!$K:$K,"&lt;"&amp;Calc!$C47),IF(_xlpm.s=0,"",_xlpm.s)),IF($A65=2,SUMIFS(Messages!$E:$E,Messages!$D:$D,F$19),IF($A65=3,IFERROR(TEXT(SUMIFS(Messages!$E:$E,Messages!$D:$D,F$19)/SUM(Messages!$E:$E),"0%"),""),"")))</f>
        <v/>
      </c>
      <c r="G65" s="27" t="str">
        <f>IF($A65=1,_xlfn.LET(_xlpm.s,SUMIFS(Messages!$E:$E,Messages!$D:$D,G$19,Messages!$K:$K,"&gt;="&amp;Calc!$B47,Messages!$K:$K,"&lt;"&amp;Calc!$C47),IF(_xlpm.s=0,"",_xlpm.s)),IF($A65=2,SUMIFS(Messages!$E:$E,Messages!$D:$D,G$19),IF($A65=3,IFERROR(TEXT(SUMIFS(Messages!$E:$E,Messages!$D:$D,G$19)/SUM(Messages!$E:$E),"0%"),""),"")))</f>
        <v/>
      </c>
      <c r="H65" s="27" t="str">
        <f>IF($A65=1,COUNTIFS(Messages!$K:$K,"&gt;="&amp;Calc!$B47,Messages!$K:$K,"&lt;"&amp;Calc!$C47),IF($A65=2,COUNT(Messages!$K:$K),""))</f>
        <v/>
      </c>
      <c r="I65" s="28" t="str">
        <f>IF($A65=1,SUMIFS(Messages!$E:$E,Messages!$K:$K,"&gt;="&amp;Calc!$B47,Messages!$K:$K,"&lt;"&amp;Calc!$C47),IF($A65=2,SUM(Messages!$E:$E),""))</f>
        <v/>
      </c>
      <c r="J65" s="34" t="str">
        <f>IF(AND($A65=1,$O65&lt;&gt;""),IF($O65&lt;&gt;IF(ROW()=20,ReqInit,Calc!$K46),"Client asked for "&amp;$O65&amp;" m³/h.",""),"")</f>
        <v/>
      </c>
      <c r="K65" s="34"/>
      <c r="L65" s="34"/>
      <c r="M65" s="34"/>
      <c r="O65" s="24"/>
      <c r="Q65" s="31" t="str">
        <f t="shared" si="3"/>
        <v/>
      </c>
    </row>
    <row r="66" spans="1:17" ht="20.100000000000001" customHeight="1" x14ac:dyDescent="0.25">
      <c r="A66" s="16">
        <f t="shared" si="2"/>
        <v>0</v>
      </c>
      <c r="B66" s="19" t="str">
        <f>IF($A66=1,TEXT((Calc!$C48-60)/1440,"hh:mm")&amp;" – "&amp;TEXT(Calc!$C48/1440,"hh:mm"),IF($A66=2,"TOTAL",""))</f>
        <v/>
      </c>
      <c r="C66" s="27" t="str">
        <f>IF($A66=1,_xlfn.LET(_xlpm.s,SUMIFS(Messages!$E:$E,Messages!$D:$D,C$19,Messages!$K:$K,"&gt;="&amp;Calc!$B48,Messages!$K:$K,"&lt;"&amp;Calc!$C48),IF(_xlpm.s=0,"",_xlpm.s)),IF($A66=2,SUMIFS(Messages!$E:$E,Messages!$D:$D,C$19),IF($A66=3,IFERROR(TEXT(SUMIFS(Messages!$E:$E,Messages!$D:$D,C$19)/SUM(Messages!$E:$E),"0%"),""),"")))</f>
        <v/>
      </c>
      <c r="D66" s="27" t="str">
        <f>IF($A66=1,_xlfn.LET(_xlpm.s,SUMIFS(Messages!$E:$E,Messages!$D:$D,D$19,Messages!$K:$K,"&gt;="&amp;Calc!$B48,Messages!$K:$K,"&lt;"&amp;Calc!$C48),IF(_xlpm.s=0,"",_xlpm.s)),IF($A66=2,SUMIFS(Messages!$E:$E,Messages!$D:$D,D$19),IF($A66=3,IFERROR(TEXT(SUMIFS(Messages!$E:$E,Messages!$D:$D,D$19)/SUM(Messages!$E:$E),"0%"),""),"")))</f>
        <v/>
      </c>
      <c r="E66" s="27" t="str">
        <f>IF($A66=1,_xlfn.LET(_xlpm.s,SUMIFS(Messages!$E:$E,Messages!$D:$D,E$19,Messages!$K:$K,"&gt;="&amp;Calc!$B48,Messages!$K:$K,"&lt;"&amp;Calc!$C48),IF(_xlpm.s=0,"",_xlpm.s)),IF($A66=2,SUMIFS(Messages!$E:$E,Messages!$D:$D,E$19),IF($A66=3,IFERROR(TEXT(SUMIFS(Messages!$E:$E,Messages!$D:$D,E$19)/SUM(Messages!$E:$E),"0%"),""),"")))</f>
        <v/>
      </c>
      <c r="F66" s="27" t="str">
        <f>IF($A66=1,_xlfn.LET(_xlpm.s,SUMIFS(Messages!$E:$E,Messages!$D:$D,F$19,Messages!$K:$K,"&gt;="&amp;Calc!$B48,Messages!$K:$K,"&lt;"&amp;Calc!$C48),IF(_xlpm.s=0,"",_xlpm.s)),IF($A66=2,SUMIFS(Messages!$E:$E,Messages!$D:$D,F$19),IF($A66=3,IFERROR(TEXT(SUMIFS(Messages!$E:$E,Messages!$D:$D,F$19)/SUM(Messages!$E:$E),"0%"),""),"")))</f>
        <v/>
      </c>
      <c r="G66" s="27" t="str">
        <f>IF($A66=1,_xlfn.LET(_xlpm.s,SUMIFS(Messages!$E:$E,Messages!$D:$D,G$19,Messages!$K:$K,"&gt;="&amp;Calc!$B48,Messages!$K:$K,"&lt;"&amp;Calc!$C48),IF(_xlpm.s=0,"",_xlpm.s)),IF($A66=2,SUMIFS(Messages!$E:$E,Messages!$D:$D,G$19),IF($A66=3,IFERROR(TEXT(SUMIFS(Messages!$E:$E,Messages!$D:$D,G$19)/SUM(Messages!$E:$E),"0%"),""),"")))</f>
        <v/>
      </c>
      <c r="H66" s="27" t="str">
        <f>IF($A66=1,COUNTIFS(Messages!$K:$K,"&gt;="&amp;Calc!$B48,Messages!$K:$K,"&lt;"&amp;Calc!$C48),IF($A66=2,COUNT(Messages!$K:$K),""))</f>
        <v/>
      </c>
      <c r="I66" s="28" t="str">
        <f>IF($A66=1,SUMIFS(Messages!$E:$E,Messages!$K:$K,"&gt;="&amp;Calc!$B48,Messages!$K:$K,"&lt;"&amp;Calc!$C48),IF($A66=2,SUM(Messages!$E:$E),""))</f>
        <v/>
      </c>
      <c r="J66" s="34" t="str">
        <f>IF(AND($A66=1,$O66&lt;&gt;""),IF($O66&lt;&gt;IF(ROW()=20,ReqInit,Calc!$K47),"Client asked for "&amp;$O66&amp;" m³/h.",""),"")</f>
        <v/>
      </c>
      <c r="K66" s="34"/>
      <c r="L66" s="34"/>
      <c r="M66" s="34"/>
      <c r="O66" s="24"/>
      <c r="Q66" s="31" t="str">
        <f t="shared" si="3"/>
        <v/>
      </c>
    </row>
    <row r="67" spans="1:17" ht="20.100000000000001" customHeight="1" x14ac:dyDescent="0.25">
      <c r="A67" s="16">
        <f t="shared" si="2"/>
        <v>0</v>
      </c>
      <c r="B67" s="19" t="str">
        <f>IF($A67=1,TEXT((Calc!$C49-60)/1440,"hh:mm")&amp;" – "&amp;TEXT(Calc!$C49/1440,"hh:mm"),IF($A67=2,"TOTAL",""))</f>
        <v/>
      </c>
      <c r="C67" s="27" t="str">
        <f>IF($A67=1,_xlfn.LET(_xlpm.s,SUMIFS(Messages!$E:$E,Messages!$D:$D,C$19,Messages!$K:$K,"&gt;="&amp;Calc!$B49,Messages!$K:$K,"&lt;"&amp;Calc!$C49),IF(_xlpm.s=0,"",_xlpm.s)),IF($A67=2,SUMIFS(Messages!$E:$E,Messages!$D:$D,C$19),IF($A67=3,IFERROR(TEXT(SUMIFS(Messages!$E:$E,Messages!$D:$D,C$19)/SUM(Messages!$E:$E),"0%"),""),"")))</f>
        <v/>
      </c>
      <c r="D67" s="27" t="str">
        <f>IF($A67=1,_xlfn.LET(_xlpm.s,SUMIFS(Messages!$E:$E,Messages!$D:$D,D$19,Messages!$K:$K,"&gt;="&amp;Calc!$B49,Messages!$K:$K,"&lt;"&amp;Calc!$C49),IF(_xlpm.s=0,"",_xlpm.s)),IF($A67=2,SUMIFS(Messages!$E:$E,Messages!$D:$D,D$19),IF($A67=3,IFERROR(TEXT(SUMIFS(Messages!$E:$E,Messages!$D:$D,D$19)/SUM(Messages!$E:$E),"0%"),""),"")))</f>
        <v/>
      </c>
      <c r="E67" s="27" t="str">
        <f>IF($A67=1,_xlfn.LET(_xlpm.s,SUMIFS(Messages!$E:$E,Messages!$D:$D,E$19,Messages!$K:$K,"&gt;="&amp;Calc!$B49,Messages!$K:$K,"&lt;"&amp;Calc!$C49),IF(_xlpm.s=0,"",_xlpm.s)),IF($A67=2,SUMIFS(Messages!$E:$E,Messages!$D:$D,E$19),IF($A67=3,IFERROR(TEXT(SUMIFS(Messages!$E:$E,Messages!$D:$D,E$19)/SUM(Messages!$E:$E),"0%"),""),"")))</f>
        <v/>
      </c>
      <c r="F67" s="27" t="str">
        <f>IF($A67=1,_xlfn.LET(_xlpm.s,SUMIFS(Messages!$E:$E,Messages!$D:$D,F$19,Messages!$K:$K,"&gt;="&amp;Calc!$B49,Messages!$K:$K,"&lt;"&amp;Calc!$C49),IF(_xlpm.s=0,"",_xlpm.s)),IF($A67=2,SUMIFS(Messages!$E:$E,Messages!$D:$D,F$19),IF($A67=3,IFERROR(TEXT(SUMIFS(Messages!$E:$E,Messages!$D:$D,F$19)/SUM(Messages!$E:$E),"0%"),""),"")))</f>
        <v/>
      </c>
      <c r="G67" s="27" t="str">
        <f>IF($A67=1,_xlfn.LET(_xlpm.s,SUMIFS(Messages!$E:$E,Messages!$D:$D,G$19,Messages!$K:$K,"&gt;="&amp;Calc!$B49,Messages!$K:$K,"&lt;"&amp;Calc!$C49),IF(_xlpm.s=0,"",_xlpm.s)),IF($A67=2,SUMIFS(Messages!$E:$E,Messages!$D:$D,G$19),IF($A67=3,IFERROR(TEXT(SUMIFS(Messages!$E:$E,Messages!$D:$D,G$19)/SUM(Messages!$E:$E),"0%"),""),"")))</f>
        <v/>
      </c>
      <c r="H67" s="27" t="str">
        <f>IF($A67=1,COUNTIFS(Messages!$K:$K,"&gt;="&amp;Calc!$B49,Messages!$K:$K,"&lt;"&amp;Calc!$C49),IF($A67=2,COUNT(Messages!$K:$K),""))</f>
        <v/>
      </c>
      <c r="I67" s="28" t="str">
        <f>IF($A67=1,SUMIFS(Messages!$E:$E,Messages!$K:$K,"&gt;="&amp;Calc!$B49,Messages!$K:$K,"&lt;"&amp;Calc!$C49),IF($A67=2,SUM(Messages!$E:$E),""))</f>
        <v/>
      </c>
      <c r="J67" s="34" t="str">
        <f>IF(AND($A67=1,$O67&lt;&gt;""),IF($O67&lt;&gt;IF(ROW()=20,ReqInit,Calc!$K48),"Client asked for "&amp;$O67&amp;" m³/h.",""),"")</f>
        <v/>
      </c>
      <c r="K67" s="34"/>
      <c r="L67" s="34"/>
      <c r="M67" s="34"/>
      <c r="O67" s="24"/>
      <c r="Q67" s="31" t="str">
        <f t="shared" si="3"/>
        <v/>
      </c>
    </row>
    <row r="68" spans="1:17" ht="20.100000000000001" customHeight="1" x14ac:dyDescent="0.25">
      <c r="A68" s="16">
        <f t="shared" si="2"/>
        <v>0</v>
      </c>
      <c r="B68" s="19" t="str">
        <f>IF($A68=1,TEXT((Calc!$C50-60)/1440,"hh:mm")&amp;" – "&amp;TEXT(Calc!$C50/1440,"hh:mm"),IF($A68=2,"TOTAL",""))</f>
        <v/>
      </c>
      <c r="C68" s="27" t="str">
        <f>IF($A68=1,_xlfn.LET(_xlpm.s,SUMIFS(Messages!$E:$E,Messages!$D:$D,C$19,Messages!$K:$K,"&gt;="&amp;Calc!$B50,Messages!$K:$K,"&lt;"&amp;Calc!$C50),IF(_xlpm.s=0,"",_xlpm.s)),IF($A68=2,SUMIFS(Messages!$E:$E,Messages!$D:$D,C$19),IF($A68=3,IFERROR(TEXT(SUMIFS(Messages!$E:$E,Messages!$D:$D,C$19)/SUM(Messages!$E:$E),"0%"),""),"")))</f>
        <v/>
      </c>
      <c r="D68" s="27" t="str">
        <f>IF($A68=1,_xlfn.LET(_xlpm.s,SUMIFS(Messages!$E:$E,Messages!$D:$D,D$19,Messages!$K:$K,"&gt;="&amp;Calc!$B50,Messages!$K:$K,"&lt;"&amp;Calc!$C50),IF(_xlpm.s=0,"",_xlpm.s)),IF($A68=2,SUMIFS(Messages!$E:$E,Messages!$D:$D,D$19),IF($A68=3,IFERROR(TEXT(SUMIFS(Messages!$E:$E,Messages!$D:$D,D$19)/SUM(Messages!$E:$E),"0%"),""),"")))</f>
        <v/>
      </c>
      <c r="E68" s="27" t="str">
        <f>IF($A68=1,_xlfn.LET(_xlpm.s,SUMIFS(Messages!$E:$E,Messages!$D:$D,E$19,Messages!$K:$K,"&gt;="&amp;Calc!$B50,Messages!$K:$K,"&lt;"&amp;Calc!$C50),IF(_xlpm.s=0,"",_xlpm.s)),IF($A68=2,SUMIFS(Messages!$E:$E,Messages!$D:$D,E$19),IF($A68=3,IFERROR(TEXT(SUMIFS(Messages!$E:$E,Messages!$D:$D,E$19)/SUM(Messages!$E:$E),"0%"),""),"")))</f>
        <v/>
      </c>
      <c r="F68" s="27" t="str">
        <f>IF($A68=1,_xlfn.LET(_xlpm.s,SUMIFS(Messages!$E:$E,Messages!$D:$D,F$19,Messages!$K:$K,"&gt;="&amp;Calc!$B50,Messages!$K:$K,"&lt;"&amp;Calc!$C50),IF(_xlpm.s=0,"",_xlpm.s)),IF($A68=2,SUMIFS(Messages!$E:$E,Messages!$D:$D,F$19),IF($A68=3,IFERROR(TEXT(SUMIFS(Messages!$E:$E,Messages!$D:$D,F$19)/SUM(Messages!$E:$E),"0%"),""),"")))</f>
        <v/>
      </c>
      <c r="G68" s="27" t="str">
        <f>IF($A68=1,_xlfn.LET(_xlpm.s,SUMIFS(Messages!$E:$E,Messages!$D:$D,G$19,Messages!$K:$K,"&gt;="&amp;Calc!$B50,Messages!$K:$K,"&lt;"&amp;Calc!$C50),IF(_xlpm.s=0,"",_xlpm.s)),IF($A68=2,SUMIFS(Messages!$E:$E,Messages!$D:$D,G$19),IF($A68=3,IFERROR(TEXT(SUMIFS(Messages!$E:$E,Messages!$D:$D,G$19)/SUM(Messages!$E:$E),"0%"),""),"")))</f>
        <v/>
      </c>
      <c r="H68" s="27" t="str">
        <f>IF($A68=1,COUNTIFS(Messages!$K:$K,"&gt;="&amp;Calc!$B50,Messages!$K:$K,"&lt;"&amp;Calc!$C50),IF($A68=2,COUNT(Messages!$K:$K),""))</f>
        <v/>
      </c>
      <c r="I68" s="28" t="str">
        <f>IF($A68=1,SUMIFS(Messages!$E:$E,Messages!$K:$K,"&gt;="&amp;Calc!$B50,Messages!$K:$K,"&lt;"&amp;Calc!$C50),IF($A68=2,SUM(Messages!$E:$E),""))</f>
        <v/>
      </c>
      <c r="J68" s="34" t="str">
        <f>IF(AND($A68=1,$O68&lt;&gt;""),IF($O68&lt;&gt;IF(ROW()=20,ReqInit,Calc!$K49),"Client asked for "&amp;$O68&amp;" m³/h.",""),"")</f>
        <v/>
      </c>
      <c r="K68" s="34"/>
      <c r="L68" s="34"/>
      <c r="M68" s="34"/>
      <c r="Q68" s="31" t="str">
        <f t="shared" si="3"/>
        <v/>
      </c>
    </row>
    <row r="69" spans="1:17" ht="20.100000000000001" customHeight="1" x14ac:dyDescent="0.25">
      <c r="A69" s="16">
        <f t="shared" si="2"/>
        <v>0</v>
      </c>
      <c r="B69" s="19" t="str">
        <f>IF($A69=1,TEXT((Calc!$C51-60)/1440,"hh:mm")&amp;" – "&amp;TEXT(Calc!$C51/1440,"hh:mm"),IF($A69=2,"TOTAL",""))</f>
        <v/>
      </c>
      <c r="C69" s="27" t="str">
        <f>IF($A69=1,_xlfn.LET(_xlpm.s,SUMIFS(Messages!$E:$E,Messages!$D:$D,C$19,Messages!$K:$K,"&gt;="&amp;Calc!$B51,Messages!$K:$K,"&lt;"&amp;Calc!$C51),IF(_xlpm.s=0,"",_xlpm.s)),IF($A69=2,SUMIFS(Messages!$E:$E,Messages!$D:$D,C$19),IF($A69=3,IFERROR(TEXT(SUMIFS(Messages!$E:$E,Messages!$D:$D,C$19)/SUM(Messages!$E:$E),"0%"),""),"")))</f>
        <v/>
      </c>
      <c r="D69" s="27" t="str">
        <f>IF($A69=1,_xlfn.LET(_xlpm.s,SUMIFS(Messages!$E:$E,Messages!$D:$D,D$19,Messages!$K:$K,"&gt;="&amp;Calc!$B51,Messages!$K:$K,"&lt;"&amp;Calc!$C51),IF(_xlpm.s=0,"",_xlpm.s)),IF($A69=2,SUMIFS(Messages!$E:$E,Messages!$D:$D,D$19),IF($A69=3,IFERROR(TEXT(SUMIFS(Messages!$E:$E,Messages!$D:$D,D$19)/SUM(Messages!$E:$E),"0%"),""),"")))</f>
        <v/>
      </c>
      <c r="E69" s="27" t="str">
        <f>IF($A69=1,_xlfn.LET(_xlpm.s,SUMIFS(Messages!$E:$E,Messages!$D:$D,E$19,Messages!$K:$K,"&gt;="&amp;Calc!$B51,Messages!$K:$K,"&lt;"&amp;Calc!$C51),IF(_xlpm.s=0,"",_xlpm.s)),IF($A69=2,SUMIFS(Messages!$E:$E,Messages!$D:$D,E$19),IF($A69=3,IFERROR(TEXT(SUMIFS(Messages!$E:$E,Messages!$D:$D,E$19)/SUM(Messages!$E:$E),"0%"),""),"")))</f>
        <v/>
      </c>
      <c r="F69" s="27" t="str">
        <f>IF($A69=1,_xlfn.LET(_xlpm.s,SUMIFS(Messages!$E:$E,Messages!$D:$D,F$19,Messages!$K:$K,"&gt;="&amp;Calc!$B51,Messages!$K:$K,"&lt;"&amp;Calc!$C51),IF(_xlpm.s=0,"",_xlpm.s)),IF($A69=2,SUMIFS(Messages!$E:$E,Messages!$D:$D,F$19),IF($A69=3,IFERROR(TEXT(SUMIFS(Messages!$E:$E,Messages!$D:$D,F$19)/SUM(Messages!$E:$E),"0%"),""),"")))</f>
        <v/>
      </c>
      <c r="G69" s="27" t="str">
        <f>IF($A69=1,_xlfn.LET(_xlpm.s,SUMIFS(Messages!$E:$E,Messages!$D:$D,G$19,Messages!$K:$K,"&gt;="&amp;Calc!$B51,Messages!$K:$K,"&lt;"&amp;Calc!$C51),IF(_xlpm.s=0,"",_xlpm.s)),IF($A69=2,SUMIFS(Messages!$E:$E,Messages!$D:$D,G$19),IF($A69=3,IFERROR(TEXT(SUMIFS(Messages!$E:$E,Messages!$D:$D,G$19)/SUM(Messages!$E:$E),"0%"),""),"")))</f>
        <v/>
      </c>
      <c r="H69" s="27" t="str">
        <f>IF($A69=1,COUNTIFS(Messages!$K:$K,"&gt;="&amp;Calc!$B51,Messages!$K:$K,"&lt;"&amp;Calc!$C51),IF($A69=2,COUNT(Messages!$K:$K),""))</f>
        <v/>
      </c>
      <c r="I69" s="28" t="str">
        <f>IF($A69=1,SUMIFS(Messages!$E:$E,Messages!$K:$K,"&gt;="&amp;Calc!$B51,Messages!$K:$K,"&lt;"&amp;Calc!$C51),IF($A69=2,SUM(Messages!$E:$E),""))</f>
        <v/>
      </c>
      <c r="J69" s="34" t="str">
        <f>IF(AND($A69=1,$O69&lt;&gt;""),IF($O69&lt;&gt;IF(ROW()=20,ReqInit,Calc!$K50),"Client asked for "&amp;$O69&amp;" m³/h.",""),"")</f>
        <v/>
      </c>
      <c r="K69" s="34"/>
      <c r="L69" s="34"/>
      <c r="M69" s="34"/>
      <c r="Q69" s="31" t="str">
        <f t="shared" si="3"/>
        <v/>
      </c>
    </row>
  </sheetData>
  <mergeCells count="69">
    <mergeCell ref="B7:F7"/>
    <mergeCell ref="B8:F8"/>
    <mergeCell ref="G7:K7"/>
    <mergeCell ref="G8:K8"/>
    <mergeCell ref="L7:M7"/>
    <mergeCell ref="L8:M8"/>
    <mergeCell ref="J64:M64"/>
    <mergeCell ref="J55:M55"/>
    <mergeCell ref="J60:M60"/>
    <mergeCell ref="J61:M61"/>
    <mergeCell ref="J62:M62"/>
    <mergeCell ref="J63:M63"/>
    <mergeCell ref="J56:M56"/>
    <mergeCell ref="J57:M57"/>
    <mergeCell ref="J58:M58"/>
    <mergeCell ref="J59:M59"/>
    <mergeCell ref="J46:M46"/>
    <mergeCell ref="J42:M42"/>
    <mergeCell ref="J43:M43"/>
    <mergeCell ref="J44:M44"/>
    <mergeCell ref="J45:M45"/>
    <mergeCell ref="J29:M29"/>
    <mergeCell ref="J30:M30"/>
    <mergeCell ref="J31:M31"/>
    <mergeCell ref="J32:M32"/>
    <mergeCell ref="J37:M37"/>
    <mergeCell ref="J65:M65"/>
    <mergeCell ref="J66:M66"/>
    <mergeCell ref="J67:M67"/>
    <mergeCell ref="J68:M68"/>
    <mergeCell ref="J69:M69"/>
    <mergeCell ref="J52:M52"/>
    <mergeCell ref="J53:M53"/>
    <mergeCell ref="J54:M54"/>
    <mergeCell ref="J33:M33"/>
    <mergeCell ref="J34:M34"/>
    <mergeCell ref="J35:M35"/>
    <mergeCell ref="J36:M36"/>
    <mergeCell ref="J47:M47"/>
    <mergeCell ref="J48:M48"/>
    <mergeCell ref="J49:M49"/>
    <mergeCell ref="J50:M50"/>
    <mergeCell ref="J51:M51"/>
    <mergeCell ref="J38:M38"/>
    <mergeCell ref="J39:M39"/>
    <mergeCell ref="J40:M40"/>
    <mergeCell ref="J41:M41"/>
    <mergeCell ref="J24:M24"/>
    <mergeCell ref="J25:M25"/>
    <mergeCell ref="J26:M26"/>
    <mergeCell ref="J19:M19"/>
    <mergeCell ref="J20:M20"/>
    <mergeCell ref="J21:M21"/>
    <mergeCell ref="G5:K5"/>
    <mergeCell ref="G6:K6"/>
    <mergeCell ref="J27:M27"/>
    <mergeCell ref="J28:M28"/>
    <mergeCell ref="B2:I2"/>
    <mergeCell ref="J2:M2"/>
    <mergeCell ref="B3:I3"/>
    <mergeCell ref="J3:M3"/>
    <mergeCell ref="B5:C5"/>
    <mergeCell ref="B6:C6"/>
    <mergeCell ref="D5:F5"/>
    <mergeCell ref="D6:F6"/>
    <mergeCell ref="L5:M5"/>
    <mergeCell ref="L6:M6"/>
    <mergeCell ref="J22:M22"/>
    <mergeCell ref="J23:M23"/>
  </mergeCells>
  <conditionalFormatting sqref="P16">
    <cfRule type="expression" dxfId="15" priority="12">
      <formula>$P$16&gt;0</formula>
    </cfRule>
  </conditionalFormatting>
  <conditionalFormatting sqref="O20:O67">
    <cfRule type="expression" dxfId="14" priority="13">
      <formula>$A20=1</formula>
    </cfRule>
  </conditionalFormatting>
  <conditionalFormatting sqref="J20:M69">
    <cfRule type="expression" dxfId="13" priority="1">
      <formula>AND($A20=1,$J20&lt;&gt;"")</formula>
    </cfRule>
  </conditionalFormatting>
  <conditionalFormatting sqref="B20:B69">
    <cfRule type="expression" dxfId="12" priority="18">
      <formula>$A20=1</formula>
    </cfRule>
  </conditionalFormatting>
  <conditionalFormatting sqref="B20:H69 J20:M69">
    <cfRule type="expression" dxfId="11" priority="19">
      <formula>$A20=2</formula>
    </cfRule>
    <cfRule type="expression" dxfId="10" priority="20">
      <formula>$A20&gt;0</formula>
    </cfRule>
  </conditionalFormatting>
  <conditionalFormatting sqref="Q20:Q69">
    <cfRule type="expression" dxfId="9" priority="23">
      <formula>$A20&gt;0</formula>
    </cfRule>
    <cfRule type="expression" dxfId="8" priority="24">
      <formula>$A20=2</formula>
    </cfRule>
  </conditionalFormatting>
  <conditionalFormatting sqref="I20:I69">
    <cfRule type="expression" dxfId="7" priority="30">
      <formula>$A20&gt;0</formula>
    </cfRule>
    <cfRule type="expression" dxfId="6" priority="31">
      <formula>$A20=2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8" id="{EE41AAE0-305D-4C65-88BC-F0B64FB6A09F}">
            <xm:f>AND($A20=1,$I20&gt;=Calc!$K2)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29" id="{334868D7-FEC2-48EE-A8A9-4A5EA4E077FD}">
            <xm:f>AND($A20=1,$I20&lt;Calc!$K2)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I20:I69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9AEB3-3A60-46B7-80A8-70E35FF42110}">
  <sheetPr codeName="Sheet2"/>
  <dimension ref="A1:O1001"/>
  <sheetViews>
    <sheetView showGridLines="0" workbookViewId="0">
      <pane ySplit="1" topLeftCell="A82" activePane="bottomLeft" state="frozen"/>
      <selection pane="bottomLeft" activeCell="B91" sqref="B91:B102"/>
    </sheetView>
  </sheetViews>
  <sheetFormatPr defaultRowHeight="14.25" outlineLevelCol="1" x14ac:dyDescent="0.25"/>
  <cols>
    <col min="1" max="1" width="6.7109375" style="1" customWidth="1"/>
    <col min="2" max="2" width="62.7109375" style="1" customWidth="1"/>
    <col min="3" max="5" width="8.7109375" style="1" customWidth="1"/>
    <col min="6" max="6" width="12.7109375" style="1" customWidth="1"/>
    <col min="7" max="7" width="24.7109375" style="1" customWidth="1"/>
    <col min="8" max="8" width="40.7109375" style="1" hidden="1" customWidth="1" outlineLevel="1"/>
    <col min="9" max="9" width="9.7109375" style="1" hidden="1" customWidth="1" outlineLevel="1"/>
    <col min="10" max="12" width="8.7109375" style="1" hidden="1" customWidth="1" outlineLevel="1"/>
    <col min="13" max="13" width="6.7109375" style="1" hidden="1" customWidth="1" outlineLevel="1"/>
    <col min="14" max="14" width="9.140625" style="1" collapsed="1"/>
    <col min="15" max="15" width="95.7109375" style="1" customWidth="1"/>
    <col min="16" max="16384" width="9.140625" style="1"/>
  </cols>
  <sheetData>
    <row r="1" spans="1:15" ht="32.1" customHeigh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7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5" ht="16.5" x14ac:dyDescent="0.3">
      <c r="A2" s="9" t="str">
        <f>IF(OR(B2="",M2,G2="— ignored"),"",MAX(A$1:A1)+1)</f>
        <v/>
      </c>
      <c r="B2" s="10"/>
      <c r="C2" s="11" t="str">
        <f>IF(I2="","",ROUND((I2+0.5*MAX(0,CEILING(ROUND((MAX(C$1:C1)-1/48-I2)/0.5,6),1)))*1440,0)/1440)</f>
        <v/>
      </c>
      <c r="D2" s="9" t="str" cm="1">
        <f t="array" ref="D2">IF(H2="","",IFERROR(INDEX(Log!$C$19:$G$19,VALUE(MID(H2,FIND("#",H2)+1,1))),""))</f>
        <v/>
      </c>
      <c r="E2" s="9" t="str" cm="1">
        <f t="array" ref="E2">IF(OR(H2="",M2),"",IFERROR(_xlfn.LET(_xlpm.t,SUBSTITUTE(UPPER(H2),"م","M"),_xlpm.u,SUBSTITUTE(_xlpm.t,"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" s="12"/>
      <c r="G2" s="13" t="str">
        <f>IF(B2="","",IF(M2,"⚠ Duplicate (not counted)",IF(AND(I2="",D2="",E2=""),"— ignored",IF(C2="","⚠ Time",IF(D2="","⚠ Plant",IF(E2="","⚠ Quantity",IF(AND(ISNUMBER(L2),COUNTIF(L$1:L1,L2)&gt;0),"⚠ Same serial "&amp;L2,IF(AND(ISNUMBER(L2),L2&gt;MIN($L$2:$L$1001),COUNTIF($L$2:$L$1001,L2-1)=0,COUNTIF($L$2:$L$1001,L2-2)&lt;2),"⚠ Missing serial "&amp;(L2-1),IF(AND(MAX(K$1:K1)&gt;0,N(K2)-MAX(K$1:K1)&gt;180),"⚠ Gap &gt; 3h",IF(C2-I2&gt;=0.99,"next day",IF(C2-I2&gt;0.4,"12h → 24h","")))))))))))</f>
        <v/>
      </c>
      <c r="H2" s="4" t="str">
        <f t="shared" ref="H2:H65" si="0">IF(B2="","",_xlfn.LET(_xlpm.t,TRIM(B2),IF(LEFT(_xlpm.t,1)="[",IFERROR(TRIM(MID(_xlpm.t,FIND(": ",_xlpm.t,FIND("]",_xlpm.t))+2,500)),_xlpm.t),_xlpm.t)))</f>
        <v/>
      </c>
      <c r="I2" s="5" t="str">
        <f t="shared" ref="I2:I65" si="1">IF(H2="","",IFERROR(TIMEVALUE(TRIM(SUBSTITUTE(SUBSTITUTE(MID(H2,SEARCH(":",H2)-2,5),".",""),"*",""))),""))</f>
        <v/>
      </c>
      <c r="J2" s="6">
        <f t="shared" ref="J2:J65" si="2">IF(OR(B2="",F2="",M2),0,IF(ISNUMBER(F2),F2,N(E2)))</f>
        <v>0</v>
      </c>
      <c r="K2" s="4" t="str">
        <f t="shared" ref="K2:K65" si="3">IF(OR(C2="",M2),"",ROUND(C2*1440,0))</f>
        <v/>
      </c>
      <c r="L2" s="4" t="str">
        <f t="shared" ref="L2:L65" si="4">IF(OR(H2="",AND(I2="",D2="")),"",IFERROR(_xlfn.LET(_xlpm.t,TRIM(SUBSTITUTE(SUBSTITUTE(H2,"*",""),"_","")),VALUE(SUBSTITUTE(LEFT(_xlpm.t,FIND(" ",_xlpm.t&amp;" ")-1),".",""))),""))</f>
        <v/>
      </c>
      <c r="M2" s="4" t="b" cm="1">
        <f t="array" ref="M2">IF(H2="",FALSE,SUMPRODUCT(--(H$1:H1=H2))&gt;0)</f>
        <v>0</v>
      </c>
      <c r="O2" s="15" t="s">
        <v>13</v>
      </c>
    </row>
    <row r="3" spans="1:15" ht="16.5" x14ac:dyDescent="0.3">
      <c r="A3" s="9" t="str">
        <f>IF(OR(B3="",M3,G3="— ignored"),"",MAX(A$1:A2)+1)</f>
        <v/>
      </c>
      <c r="B3" s="10"/>
      <c r="C3" s="11" t="str">
        <f>IF(I3="","",ROUND((I3+0.5*MAX(0,CEILING(ROUND((MAX(C$1:C2)-1/48-I3)/0.5,6),1)))*1440,0)/1440)</f>
        <v/>
      </c>
      <c r="D3" s="9" t="str" cm="1">
        <f t="array" ref="D3">IF(H3="","",IFERROR(INDEX(Log!$C$19:$G$19,VALUE(MID(H3,FIND("#",H3)+1,1))),""))</f>
        <v/>
      </c>
      <c r="E3" s="9" t="str" cm="1">
        <f t="array" ref="E3">IF(OR(H3="",M3),"",IFERROR(_xlfn.LET(_xlpm.t,SUBSTITUTE(UPPER(H3),"م","M"),_xlpm.u,SUBSTITUTE(_xlpm.t,"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" s="12"/>
      <c r="G3" s="13" t="str">
        <f>IF(B3="","",IF(M3,"⚠ Duplicate (not counted)",IF(AND(I3="",D3="",E3=""),"— ignored",IF(C3="","⚠ Time",IF(D3="","⚠ Plant",IF(E3="","⚠ Quantity",IF(AND(ISNUMBER(L3),COUNTIF(L$1:L2,L3)&gt;0),"⚠ Same serial "&amp;L3,IF(AND(ISNUMBER(L3),L3&gt;MIN($L$2:$L$1001),COUNTIF($L$2:$L$1001,L3-1)=0,COUNTIF($L$2:$L$1001,L3-2)&lt;2),"⚠ Missing serial "&amp;(L3-1),IF(AND(MAX(K$1:K2)&gt;0,N(K3)-MAX(K$1:K2)&gt;180),"⚠ Gap &gt; 3h",IF(C3-I3&gt;=0.99,"next day",IF(C3-I3&gt;0.4,"12h → 24h","")))))))))))</f>
        <v/>
      </c>
      <c r="H3" s="4" t="str">
        <f t="shared" si="0"/>
        <v/>
      </c>
      <c r="I3" s="5" t="str">
        <f t="shared" si="1"/>
        <v/>
      </c>
      <c r="J3" s="6">
        <f t="shared" si="2"/>
        <v>0</v>
      </c>
      <c r="K3" s="4" t="str">
        <f t="shared" si="3"/>
        <v/>
      </c>
      <c r="L3" s="4" t="str">
        <f t="shared" si="4"/>
        <v/>
      </c>
      <c r="M3" s="4" t="b" cm="1">
        <f t="array" ref="M3">IF(H3="",FALSE,SUMPRODUCT(--(H$1:H2=H3))&gt;0)</f>
        <v>0</v>
      </c>
      <c r="O3" s="14" t="s">
        <v>14</v>
      </c>
    </row>
    <row r="4" spans="1:15" ht="16.5" x14ac:dyDescent="0.3">
      <c r="A4" s="9" t="str">
        <f>IF(OR(B4="",M4,G4="— ignored"),"",MAX(A$1:A3)+1)</f>
        <v/>
      </c>
      <c r="B4" s="10"/>
      <c r="C4" s="11" t="str">
        <f>IF(I4="","",ROUND((I4+0.5*MAX(0,CEILING(ROUND((MAX(C$1:C3)-1/48-I4)/0.5,6),1)))*1440,0)/1440)</f>
        <v/>
      </c>
      <c r="D4" s="9" t="str" cm="1">
        <f t="array" ref="D4">IF(H4="","",IFERROR(INDEX(Log!$C$19:$G$19,VALUE(MID(H4,FIND("#",H4)+1,1))),""))</f>
        <v/>
      </c>
      <c r="E4" s="9" t="str" cm="1">
        <f t="array" ref="E4">IF(OR(H4="",M4),"",IFERROR(_xlfn.LET(_xlpm.t,SUBSTITUTE(UPPER(H4),"م","M"),_xlpm.u,SUBSTITUTE(_xlpm.t,"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" s="12"/>
      <c r="G4" s="13" t="str">
        <f>IF(B4="","",IF(M4,"⚠ Duplicate (not counted)",IF(AND(I4="",D4="",E4=""),"— ignored",IF(C4="","⚠ Time",IF(D4="","⚠ Plant",IF(E4="","⚠ Quantity",IF(AND(ISNUMBER(L4),COUNTIF(L$1:L3,L4)&gt;0),"⚠ Same serial "&amp;L4,IF(AND(ISNUMBER(L4),L4&gt;MIN($L$2:$L$1001),COUNTIF($L$2:$L$1001,L4-1)=0,COUNTIF($L$2:$L$1001,L4-2)&lt;2),"⚠ Missing serial "&amp;(L4-1),IF(AND(MAX(K$1:K3)&gt;0,N(K4)-MAX(K$1:K3)&gt;180),"⚠ Gap &gt; 3h",IF(C4-I4&gt;=0.99,"next day",IF(C4-I4&gt;0.4,"12h → 24h","")))))))))))</f>
        <v/>
      </c>
      <c r="H4" s="4" t="str">
        <f t="shared" si="0"/>
        <v/>
      </c>
      <c r="I4" s="5" t="str">
        <f t="shared" si="1"/>
        <v/>
      </c>
      <c r="J4" s="6">
        <f t="shared" si="2"/>
        <v>0</v>
      </c>
      <c r="K4" s="4" t="str">
        <f t="shared" si="3"/>
        <v/>
      </c>
      <c r="L4" s="4" t="str">
        <f t="shared" si="4"/>
        <v/>
      </c>
      <c r="M4" s="4" t="b" cm="1">
        <f t="array" ref="M4">IF(H4="",FALSE,SUMPRODUCT(--(H$1:H3=H4))&gt;0)</f>
        <v>0</v>
      </c>
      <c r="O4" s="14" t="s">
        <v>15</v>
      </c>
    </row>
    <row r="5" spans="1:15" ht="16.5" x14ac:dyDescent="0.3">
      <c r="A5" s="9" t="str">
        <f>IF(OR(B5="",M5,G5="— ignored"),"",MAX(A$1:A4)+1)</f>
        <v/>
      </c>
      <c r="B5" s="10"/>
      <c r="C5" s="11" t="str">
        <f>IF(I5="","",ROUND((I5+0.5*MAX(0,CEILING(ROUND((MAX(C$1:C4)-1/48-I5)/0.5,6),1)))*1440,0)/1440)</f>
        <v/>
      </c>
      <c r="D5" s="9" t="str" cm="1">
        <f t="array" ref="D5">IF(H5="","",IFERROR(INDEX(Log!$C$19:$G$19,VALUE(MID(H5,FIND("#",H5)+1,1))),""))</f>
        <v/>
      </c>
      <c r="E5" s="9" t="str" cm="1">
        <f t="array" ref="E5">IF(OR(H5="",M5),"",IFERROR(_xlfn.LET(_xlpm.t,SUBSTITUTE(UPPER(H5),"م","M"),_xlpm.u,SUBSTITUTE(_xlpm.t,"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" s="12"/>
      <c r="G5" s="13" t="str">
        <f>IF(B5="","",IF(M5,"⚠ Duplicate (not counted)",IF(AND(I5="",D5="",E5=""),"— ignored",IF(C5="","⚠ Time",IF(D5="","⚠ Plant",IF(E5="","⚠ Quantity",IF(AND(ISNUMBER(L5),COUNTIF(L$1:L4,L5)&gt;0),"⚠ Same serial "&amp;L5,IF(AND(ISNUMBER(L5),L5&gt;MIN($L$2:$L$1001),COUNTIF($L$2:$L$1001,L5-1)=0,COUNTIF($L$2:$L$1001,L5-2)&lt;2),"⚠ Missing serial "&amp;(L5-1),IF(AND(MAX(K$1:K4)&gt;0,N(K5)-MAX(K$1:K4)&gt;180),"⚠ Gap &gt; 3h",IF(C5-I5&gt;=0.99,"next day",IF(C5-I5&gt;0.4,"12h → 24h","")))))))))))</f>
        <v/>
      </c>
      <c r="H5" s="4" t="str">
        <f t="shared" si="0"/>
        <v/>
      </c>
      <c r="I5" s="5" t="str">
        <f t="shared" si="1"/>
        <v/>
      </c>
      <c r="J5" s="6">
        <f t="shared" si="2"/>
        <v>0</v>
      </c>
      <c r="K5" s="4" t="str">
        <f t="shared" si="3"/>
        <v/>
      </c>
      <c r="L5" s="4" t="str">
        <f t="shared" si="4"/>
        <v/>
      </c>
      <c r="M5" s="4" t="b" cm="1">
        <f t="array" ref="M5">IF(H5="",FALSE,SUMPRODUCT(--(H$1:H4=H5))&gt;0)</f>
        <v>0</v>
      </c>
      <c r="O5" s="14" t="s">
        <v>16</v>
      </c>
    </row>
    <row r="6" spans="1:15" ht="16.5" x14ac:dyDescent="0.3">
      <c r="A6" s="9" t="str">
        <f>IF(OR(B6="",M6,G6="— ignored"),"",MAX(A$1:A5)+1)</f>
        <v/>
      </c>
      <c r="B6" s="10"/>
      <c r="C6" s="11" t="str">
        <f>IF(I6="","",ROUND((I6+0.5*MAX(0,CEILING(ROUND((MAX(C$1:C5)-1/48-I6)/0.5,6),1)))*1440,0)/1440)</f>
        <v/>
      </c>
      <c r="D6" s="9" t="str" cm="1">
        <f t="array" ref="D6">IF(H6="","",IFERROR(INDEX(Log!$C$19:$G$19,VALUE(MID(H6,FIND("#",H6)+1,1))),""))</f>
        <v/>
      </c>
      <c r="E6" s="9" t="str" cm="1">
        <f t="array" ref="E6">IF(OR(H6="",M6),"",IFERROR(_xlfn.LET(_xlpm.t,SUBSTITUTE(UPPER(H6),"م","M"),_xlpm.u,SUBSTITUTE(_xlpm.t,"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" s="12"/>
      <c r="G6" s="13" t="str">
        <f>IF(B6="","",IF(M6,"⚠ Duplicate (not counted)",IF(AND(I6="",D6="",E6=""),"— ignored",IF(C6="","⚠ Time",IF(D6="","⚠ Plant",IF(E6="","⚠ Quantity",IF(AND(ISNUMBER(L6),COUNTIF(L$1:L5,L6)&gt;0),"⚠ Same serial "&amp;L6,IF(AND(ISNUMBER(L6),L6&gt;MIN($L$2:$L$1001),COUNTIF($L$2:$L$1001,L6-1)=0,COUNTIF($L$2:$L$1001,L6-2)&lt;2),"⚠ Missing serial "&amp;(L6-1),IF(AND(MAX(K$1:K5)&gt;0,N(K6)-MAX(K$1:K5)&gt;180),"⚠ Gap &gt; 3h",IF(C6-I6&gt;=0.99,"next day",IF(C6-I6&gt;0.4,"12h → 24h","")))))))))))</f>
        <v/>
      </c>
      <c r="H6" s="4" t="str">
        <f t="shared" si="0"/>
        <v/>
      </c>
      <c r="I6" s="5" t="str">
        <f t="shared" si="1"/>
        <v/>
      </c>
      <c r="J6" s="6">
        <f t="shared" si="2"/>
        <v>0</v>
      </c>
      <c r="K6" s="4" t="str">
        <f t="shared" si="3"/>
        <v/>
      </c>
      <c r="L6" s="4" t="str">
        <f t="shared" si="4"/>
        <v/>
      </c>
      <c r="M6" s="4" t="b" cm="1">
        <f t="array" ref="M6">IF(H6="",FALSE,SUMPRODUCT(--(H$1:H5=H6))&gt;0)</f>
        <v>0</v>
      </c>
      <c r="O6" s="14" t="s">
        <v>17</v>
      </c>
    </row>
    <row r="7" spans="1:15" x14ac:dyDescent="0.25">
      <c r="A7" s="9" t="str">
        <f>IF(OR(B7="",M7,G7="— ignored"),"",MAX(A$1:A6)+1)</f>
        <v/>
      </c>
      <c r="B7" s="10"/>
      <c r="C7" s="11" t="str">
        <f>IF(I7="","",ROUND((I7+0.5*MAX(0,CEILING(ROUND((MAX(C$1:C6)-1/48-I7)/0.5,6),1)))*1440,0)/1440)</f>
        <v/>
      </c>
      <c r="D7" s="9" t="str" cm="1">
        <f t="array" ref="D7">IF(H7="","",IFERROR(INDEX(Log!$C$19:$G$19,VALUE(MID(H7,FIND("#",H7)+1,1))),""))</f>
        <v/>
      </c>
      <c r="E7" s="9" t="str" cm="1">
        <f t="array" ref="E7">IF(OR(H7="",M7),"",IFERROR(_xlfn.LET(_xlpm.t,SUBSTITUTE(UPPER(H7),"م","M"),_xlpm.u,SUBSTITUTE(_xlpm.t,"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" s="12"/>
      <c r="G7" s="13" t="str">
        <f>IF(B7="","",IF(M7,"⚠ Duplicate (not counted)",IF(AND(I7="",D7="",E7=""),"— ignored",IF(C7="","⚠ Time",IF(D7="","⚠ Plant",IF(E7="","⚠ Quantity",IF(AND(ISNUMBER(L7),COUNTIF(L$1:L6,L7)&gt;0),"⚠ Same serial "&amp;L7,IF(AND(ISNUMBER(L7),L7&gt;MIN($L$2:$L$1001),COUNTIF($L$2:$L$1001,L7-1)=0,COUNTIF($L$2:$L$1001,L7-2)&lt;2),"⚠ Missing serial "&amp;(L7-1),IF(AND(MAX(K$1:K6)&gt;0,N(K7)-MAX(K$1:K6)&gt;180),"⚠ Gap &gt; 3h",IF(C7-I7&gt;=0.99,"next day",IF(C7-I7&gt;0.4,"12h → 24h","")))))))))))</f>
        <v/>
      </c>
      <c r="H7" s="4" t="str">
        <f t="shared" si="0"/>
        <v/>
      </c>
      <c r="I7" s="5" t="str">
        <f t="shared" si="1"/>
        <v/>
      </c>
      <c r="J7" s="6">
        <f t="shared" si="2"/>
        <v>0</v>
      </c>
      <c r="K7" s="4" t="str">
        <f t="shared" si="3"/>
        <v/>
      </c>
      <c r="L7" s="4" t="str">
        <f t="shared" si="4"/>
        <v/>
      </c>
      <c r="M7" s="4" t="b" cm="1">
        <f t="array" ref="M7">IF(H7="",FALSE,SUMPRODUCT(--(H$1:H6=H7))&gt;0)</f>
        <v>0</v>
      </c>
    </row>
    <row r="8" spans="1:15" x14ac:dyDescent="0.25">
      <c r="A8" s="9" t="str">
        <f>IF(OR(B8="",M8,G8="— ignored"),"",MAX(A$1:A7)+1)</f>
        <v/>
      </c>
      <c r="B8" s="10"/>
      <c r="C8" s="11" t="str">
        <f>IF(I8="","",ROUND((I8+0.5*MAX(0,CEILING(ROUND((MAX(C$1:C7)-1/48-I8)/0.5,6),1)))*1440,0)/1440)</f>
        <v/>
      </c>
      <c r="D8" s="9" t="str" cm="1">
        <f t="array" ref="D8">IF(H8="","",IFERROR(INDEX(Log!$C$19:$G$19,VALUE(MID(H8,FIND("#",H8)+1,1))),""))</f>
        <v/>
      </c>
      <c r="E8" s="9" t="str" cm="1">
        <f t="array" ref="E8">IF(OR(H8="",M8),"",IFERROR(_xlfn.LET(_xlpm.t,SUBSTITUTE(UPPER(H8),"م","M"),_xlpm.u,SUBSTITUTE(_xlpm.t,"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" s="12"/>
      <c r="G8" s="13" t="str">
        <f>IF(B8="","",IF(M8,"⚠ Duplicate (not counted)",IF(AND(I8="",D8="",E8=""),"— ignored",IF(C8="","⚠ Time",IF(D8="","⚠ Plant",IF(E8="","⚠ Quantity",IF(AND(ISNUMBER(L8),COUNTIF(L$1:L7,L8)&gt;0),"⚠ Same serial "&amp;L8,IF(AND(ISNUMBER(L8),L8&gt;MIN($L$2:$L$1001),COUNTIF($L$2:$L$1001,L8-1)=0,COUNTIF($L$2:$L$1001,L8-2)&lt;2),"⚠ Missing serial "&amp;(L8-1),IF(AND(MAX(K$1:K7)&gt;0,N(K8)-MAX(K$1:K7)&gt;180),"⚠ Gap &gt; 3h",IF(C8-I8&gt;=0.99,"next day",IF(C8-I8&gt;0.4,"12h → 24h","")))))))))))</f>
        <v/>
      </c>
      <c r="H8" s="4" t="str">
        <f t="shared" si="0"/>
        <v/>
      </c>
      <c r="I8" s="5" t="str">
        <f t="shared" si="1"/>
        <v/>
      </c>
      <c r="J8" s="6">
        <f t="shared" si="2"/>
        <v>0</v>
      </c>
      <c r="K8" s="4" t="str">
        <f t="shared" si="3"/>
        <v/>
      </c>
      <c r="L8" s="4" t="str">
        <f t="shared" si="4"/>
        <v/>
      </c>
      <c r="M8" s="4" t="b" cm="1">
        <f t="array" ref="M8">IF(H8="",FALSE,SUMPRODUCT(--(H$1:H7=H8))&gt;0)</f>
        <v>0</v>
      </c>
    </row>
    <row r="9" spans="1:15" x14ac:dyDescent="0.25">
      <c r="A9" s="9" t="str">
        <f>IF(OR(B9="",M9,G9="— ignored"),"",MAX(A$1:A8)+1)</f>
        <v/>
      </c>
      <c r="B9" s="10"/>
      <c r="C9" s="11" t="str">
        <f>IF(I9="","",ROUND((I9+0.5*MAX(0,CEILING(ROUND((MAX(C$1:C8)-1/48-I9)/0.5,6),1)))*1440,0)/1440)</f>
        <v/>
      </c>
      <c r="D9" s="9" t="str" cm="1">
        <f t="array" ref="D9">IF(H9="","",IFERROR(INDEX(Log!$C$19:$G$19,VALUE(MID(H9,FIND("#",H9)+1,1))),""))</f>
        <v/>
      </c>
      <c r="E9" s="9" t="str" cm="1">
        <f t="array" ref="E9">IF(OR(H9="",M9),"",IFERROR(_xlfn.LET(_xlpm.t,SUBSTITUTE(UPPER(H9),"م","M"),_xlpm.u,SUBSTITUTE(_xlpm.t,"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9" s="12"/>
      <c r="G9" s="13" t="str">
        <f>IF(B9="","",IF(M9,"⚠ Duplicate (not counted)",IF(AND(I9="",D9="",E9=""),"— ignored",IF(C9="","⚠ Time",IF(D9="","⚠ Plant",IF(E9="","⚠ Quantity",IF(AND(ISNUMBER(L9),COUNTIF(L$1:L8,L9)&gt;0),"⚠ Same serial "&amp;L9,IF(AND(ISNUMBER(L9),L9&gt;MIN($L$2:$L$1001),COUNTIF($L$2:$L$1001,L9-1)=0,COUNTIF($L$2:$L$1001,L9-2)&lt;2),"⚠ Missing serial "&amp;(L9-1),IF(AND(MAX(K$1:K8)&gt;0,N(K9)-MAX(K$1:K8)&gt;180),"⚠ Gap &gt; 3h",IF(C9-I9&gt;=0.99,"next day",IF(C9-I9&gt;0.4,"12h → 24h","")))))))))))</f>
        <v/>
      </c>
      <c r="H9" s="4" t="str">
        <f t="shared" si="0"/>
        <v/>
      </c>
      <c r="I9" s="5" t="str">
        <f t="shared" si="1"/>
        <v/>
      </c>
      <c r="J9" s="6">
        <f t="shared" si="2"/>
        <v>0</v>
      </c>
      <c r="K9" s="4" t="str">
        <f t="shared" si="3"/>
        <v/>
      </c>
      <c r="L9" s="4" t="str">
        <f t="shared" si="4"/>
        <v/>
      </c>
      <c r="M9" s="4" t="b" cm="1">
        <f t="array" ref="M9">IF(H9="",FALSE,SUMPRODUCT(--(H$1:H8=H9))&gt;0)</f>
        <v>0</v>
      </c>
    </row>
    <row r="10" spans="1:15" x14ac:dyDescent="0.25">
      <c r="A10" s="9" t="str">
        <f>IF(OR(B10="",M10,G10="— ignored"),"",MAX(A$1:A9)+1)</f>
        <v/>
      </c>
      <c r="B10" s="10"/>
      <c r="C10" s="11" t="str">
        <f>IF(I10="","",ROUND((I10+0.5*MAX(0,CEILING(ROUND((MAX(C$1:C9)-1/48-I10)/0.5,6),1)))*1440,0)/1440)</f>
        <v/>
      </c>
      <c r="D10" s="9" t="str" cm="1">
        <f t="array" ref="D10">IF(H10="","",IFERROR(INDEX(Log!$C$19:$G$19,VALUE(MID(H10,FIND("#",H10)+1,1))),""))</f>
        <v/>
      </c>
      <c r="E10" s="9" t="str" cm="1">
        <f t="array" ref="E10">IF(OR(H10="",M10),"",IFERROR(_xlfn.LET(_xlpm.t,SUBSTITUTE(UPPER(H10),"م","M"),_xlpm.u,SUBSTITUTE(_xlpm.t,"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0" s="12"/>
      <c r="G10" s="13" t="str">
        <f>IF(B10="","",IF(M10,"⚠ Duplicate (not counted)",IF(AND(I10="",D10="",E10=""),"— ignored",IF(C10="","⚠ Time",IF(D10="","⚠ Plant",IF(E10="","⚠ Quantity",IF(AND(ISNUMBER(L10),COUNTIF(L$1:L9,L10)&gt;0),"⚠ Same serial "&amp;L10,IF(AND(ISNUMBER(L10),L10&gt;MIN($L$2:$L$1001),COUNTIF($L$2:$L$1001,L10-1)=0,COUNTIF($L$2:$L$1001,L10-2)&lt;2),"⚠ Missing serial "&amp;(L10-1),IF(AND(MAX(K$1:K9)&gt;0,N(K10)-MAX(K$1:K9)&gt;180),"⚠ Gap &gt; 3h",IF(C10-I10&gt;=0.99,"next day",IF(C10-I10&gt;0.4,"12h → 24h","")))))))))))</f>
        <v/>
      </c>
      <c r="H10" s="4" t="str">
        <f t="shared" si="0"/>
        <v/>
      </c>
      <c r="I10" s="5" t="str">
        <f t="shared" si="1"/>
        <v/>
      </c>
      <c r="J10" s="6">
        <f t="shared" si="2"/>
        <v>0</v>
      </c>
      <c r="K10" s="4" t="str">
        <f t="shared" si="3"/>
        <v/>
      </c>
      <c r="L10" s="4" t="str">
        <f t="shared" si="4"/>
        <v/>
      </c>
      <c r="M10" s="4" t="b" cm="1">
        <f t="array" ref="M10">IF(H10="",FALSE,SUMPRODUCT(--(H$1:H9=H10))&gt;0)</f>
        <v>0</v>
      </c>
    </row>
    <row r="11" spans="1:15" x14ac:dyDescent="0.25">
      <c r="A11" s="9" t="str">
        <f>IF(OR(B11="",M11,G11="— ignored"),"",MAX(A$1:A10)+1)</f>
        <v/>
      </c>
      <c r="B11" s="10"/>
      <c r="C11" s="11" t="str">
        <f>IF(I11="","",ROUND((I11+0.5*MAX(0,CEILING(ROUND((MAX(C$1:C10)-1/48-I11)/0.5,6),1)))*1440,0)/1440)</f>
        <v/>
      </c>
      <c r="D11" s="9" t="str" cm="1">
        <f t="array" ref="D11">IF(H11="","",IFERROR(INDEX(Log!$C$19:$G$19,VALUE(MID(H11,FIND("#",H11)+1,1))),""))</f>
        <v/>
      </c>
      <c r="E11" s="9" t="str" cm="1">
        <f t="array" ref="E11">IF(OR(H11="",M11),"",IFERROR(_xlfn.LET(_xlpm.t,SUBSTITUTE(UPPER(H11),"م","M"),_xlpm.u,SUBSTITUTE(_xlpm.t,"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1" s="12"/>
      <c r="G11" s="13" t="str">
        <f>IF(B11="","",IF(M11,"⚠ Duplicate (not counted)",IF(AND(I11="",D11="",E11=""),"— ignored",IF(C11="","⚠ Time",IF(D11="","⚠ Plant",IF(E11="","⚠ Quantity",IF(AND(ISNUMBER(L11),COUNTIF(L$1:L10,L11)&gt;0),"⚠ Same serial "&amp;L11,IF(AND(ISNUMBER(L11),L11&gt;MIN($L$2:$L$1001),COUNTIF($L$2:$L$1001,L11-1)=0,COUNTIF($L$2:$L$1001,L11-2)&lt;2),"⚠ Missing serial "&amp;(L11-1),IF(AND(MAX(K$1:K10)&gt;0,N(K11)-MAX(K$1:K10)&gt;180),"⚠ Gap &gt; 3h",IF(C11-I11&gt;=0.99,"next day",IF(C11-I11&gt;0.4,"12h → 24h","")))))))))))</f>
        <v/>
      </c>
      <c r="H11" s="4" t="str">
        <f t="shared" si="0"/>
        <v/>
      </c>
      <c r="I11" s="5" t="str">
        <f t="shared" si="1"/>
        <v/>
      </c>
      <c r="J11" s="6">
        <f t="shared" si="2"/>
        <v>0</v>
      </c>
      <c r="K11" s="4" t="str">
        <f t="shared" si="3"/>
        <v/>
      </c>
      <c r="L11" s="4" t="str">
        <f t="shared" si="4"/>
        <v/>
      </c>
      <c r="M11" s="4" t="b" cm="1">
        <f t="array" ref="M11">IF(H11="",FALSE,SUMPRODUCT(--(H$1:H10=H11))&gt;0)</f>
        <v>0</v>
      </c>
    </row>
    <row r="12" spans="1:15" x14ac:dyDescent="0.25">
      <c r="A12" s="9" t="str">
        <f>IF(OR(B12="",M12,G12="— ignored"),"",MAX(A$1:A11)+1)</f>
        <v/>
      </c>
      <c r="B12" s="10"/>
      <c r="C12" s="11" t="str">
        <f>IF(I12="","",ROUND((I12+0.5*MAX(0,CEILING(ROUND((MAX(C$1:C11)-1/48-I12)/0.5,6),1)))*1440,0)/1440)</f>
        <v/>
      </c>
      <c r="D12" s="9" t="str" cm="1">
        <f t="array" ref="D12">IF(H12="","",IFERROR(INDEX(Log!$C$19:$G$19,VALUE(MID(H12,FIND("#",H12)+1,1))),""))</f>
        <v/>
      </c>
      <c r="E12" s="9" t="str" cm="1">
        <f t="array" ref="E12">IF(OR(H12="",M12),"",IFERROR(_xlfn.LET(_xlpm.t,SUBSTITUTE(UPPER(H12),"م","M"),_xlpm.u,SUBSTITUTE(_xlpm.t,"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2" s="12"/>
      <c r="G12" s="13" t="str">
        <f>IF(B12="","",IF(M12,"⚠ Duplicate (not counted)",IF(AND(I12="",D12="",E12=""),"— ignored",IF(C12="","⚠ Time",IF(D12="","⚠ Plant",IF(E12="","⚠ Quantity",IF(AND(ISNUMBER(L12),COUNTIF(L$1:L11,L12)&gt;0),"⚠ Same serial "&amp;L12,IF(AND(ISNUMBER(L12),L12&gt;MIN($L$2:$L$1001),COUNTIF($L$2:$L$1001,L12-1)=0,COUNTIF($L$2:$L$1001,L12-2)&lt;2),"⚠ Missing serial "&amp;(L12-1),IF(AND(MAX(K$1:K11)&gt;0,N(K12)-MAX(K$1:K11)&gt;180),"⚠ Gap &gt; 3h",IF(C12-I12&gt;=0.99,"next day",IF(C12-I12&gt;0.4,"12h → 24h","")))))))))))</f>
        <v/>
      </c>
      <c r="H12" s="4" t="str">
        <f t="shared" si="0"/>
        <v/>
      </c>
      <c r="I12" s="5" t="str">
        <f t="shared" si="1"/>
        <v/>
      </c>
      <c r="J12" s="6">
        <f t="shared" si="2"/>
        <v>0</v>
      </c>
      <c r="K12" s="4" t="str">
        <f t="shared" si="3"/>
        <v/>
      </c>
      <c r="L12" s="4" t="str">
        <f t="shared" si="4"/>
        <v/>
      </c>
      <c r="M12" s="4" t="b" cm="1">
        <f t="array" ref="M12">IF(H12="",FALSE,SUMPRODUCT(--(H$1:H11=H12))&gt;0)</f>
        <v>0</v>
      </c>
    </row>
    <row r="13" spans="1:15" x14ac:dyDescent="0.25">
      <c r="A13" s="9" t="str">
        <f>IF(OR(B13="",M13,G13="— ignored"),"",MAX(A$1:A12)+1)</f>
        <v/>
      </c>
      <c r="B13" s="10"/>
      <c r="C13" s="11" t="str">
        <f>IF(I13="","",ROUND((I13+0.5*MAX(0,CEILING(ROUND((MAX(C$1:C12)-1/48-I13)/0.5,6),1)))*1440,0)/1440)</f>
        <v/>
      </c>
      <c r="D13" s="9" t="str" cm="1">
        <f t="array" ref="D13">IF(H13="","",IFERROR(INDEX(Log!$C$19:$G$19,VALUE(MID(H13,FIND("#",H13)+1,1))),""))</f>
        <v/>
      </c>
      <c r="E13" s="9" t="str" cm="1">
        <f t="array" ref="E13">IF(OR(H13="",M13),"",IFERROR(_xlfn.LET(_xlpm.t,SUBSTITUTE(UPPER(H13),"م","M"),_xlpm.u,SUBSTITUTE(_xlpm.t,"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3" s="12"/>
      <c r="G13" s="13" t="str">
        <f>IF(B13="","",IF(M13,"⚠ Duplicate (not counted)",IF(AND(I13="",D13="",E13=""),"— ignored",IF(C13="","⚠ Time",IF(D13="","⚠ Plant",IF(E13="","⚠ Quantity",IF(AND(ISNUMBER(L13),COUNTIF(L$1:L12,L13)&gt;0),"⚠ Same serial "&amp;L13,IF(AND(ISNUMBER(L13),L13&gt;MIN($L$2:$L$1001),COUNTIF($L$2:$L$1001,L13-1)=0,COUNTIF($L$2:$L$1001,L13-2)&lt;2),"⚠ Missing serial "&amp;(L13-1),IF(AND(MAX(K$1:K12)&gt;0,N(K13)-MAX(K$1:K12)&gt;180),"⚠ Gap &gt; 3h",IF(C13-I13&gt;=0.99,"next day",IF(C13-I13&gt;0.4,"12h → 24h","")))))))))))</f>
        <v/>
      </c>
      <c r="H13" s="4" t="str">
        <f t="shared" si="0"/>
        <v/>
      </c>
      <c r="I13" s="5" t="str">
        <f t="shared" si="1"/>
        <v/>
      </c>
      <c r="J13" s="6">
        <f t="shared" si="2"/>
        <v>0</v>
      </c>
      <c r="K13" s="4" t="str">
        <f t="shared" si="3"/>
        <v/>
      </c>
      <c r="L13" s="4" t="str">
        <f t="shared" si="4"/>
        <v/>
      </c>
      <c r="M13" s="4" t="b" cm="1">
        <f t="array" ref="M13">IF(H13="",FALSE,SUMPRODUCT(--(H$1:H12=H13))&gt;0)</f>
        <v>0</v>
      </c>
    </row>
    <row r="14" spans="1:15" x14ac:dyDescent="0.25">
      <c r="A14" s="9" t="str">
        <f>IF(OR(B14="",M14,G14="— ignored"),"",MAX(A$1:A13)+1)</f>
        <v/>
      </c>
      <c r="B14" s="10"/>
      <c r="C14" s="11" t="str">
        <f>IF(I14="","",ROUND((I14+0.5*MAX(0,CEILING(ROUND((MAX(C$1:C13)-1/48-I14)/0.5,6),1)))*1440,0)/1440)</f>
        <v/>
      </c>
      <c r="D14" s="9" t="str" cm="1">
        <f t="array" ref="D14">IF(H14="","",IFERROR(INDEX(Log!$C$19:$G$19,VALUE(MID(H14,FIND("#",H14)+1,1))),""))</f>
        <v/>
      </c>
      <c r="E14" s="9" t="str" cm="1">
        <f t="array" ref="E14">IF(OR(H14="",M14),"",IFERROR(_xlfn.LET(_xlpm.t,SUBSTITUTE(UPPER(H14),"م","M"),_xlpm.u,SUBSTITUTE(_xlpm.t,"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4" s="12"/>
      <c r="G14" s="13" t="str">
        <f>IF(B14="","",IF(M14,"⚠ Duplicate (not counted)",IF(AND(I14="",D14="",E14=""),"— ignored",IF(C14="","⚠ Time",IF(D14="","⚠ Plant",IF(E14="","⚠ Quantity",IF(AND(ISNUMBER(L14),COUNTIF(L$1:L13,L14)&gt;0),"⚠ Same serial "&amp;L14,IF(AND(ISNUMBER(L14),L14&gt;MIN($L$2:$L$1001),COUNTIF($L$2:$L$1001,L14-1)=0,COUNTIF($L$2:$L$1001,L14-2)&lt;2),"⚠ Missing serial "&amp;(L14-1),IF(AND(MAX(K$1:K13)&gt;0,N(K14)-MAX(K$1:K13)&gt;180),"⚠ Gap &gt; 3h",IF(C14-I14&gt;=0.99,"next day",IF(C14-I14&gt;0.4,"12h → 24h","")))))))))))</f>
        <v/>
      </c>
      <c r="H14" s="4" t="str">
        <f t="shared" si="0"/>
        <v/>
      </c>
      <c r="I14" s="5" t="str">
        <f t="shared" si="1"/>
        <v/>
      </c>
      <c r="J14" s="6">
        <f t="shared" si="2"/>
        <v>0</v>
      </c>
      <c r="K14" s="4" t="str">
        <f t="shared" si="3"/>
        <v/>
      </c>
      <c r="L14" s="4" t="str">
        <f t="shared" si="4"/>
        <v/>
      </c>
      <c r="M14" s="4" t="b" cm="1">
        <f t="array" ref="M14">IF(H14="",FALSE,SUMPRODUCT(--(H$1:H13=H14))&gt;0)</f>
        <v>0</v>
      </c>
    </row>
    <row r="15" spans="1:15" x14ac:dyDescent="0.25">
      <c r="A15" s="9" t="str">
        <f>IF(OR(B15="",M15,G15="— ignored"),"",MAX(A$1:A14)+1)</f>
        <v/>
      </c>
      <c r="B15" s="10"/>
      <c r="C15" s="11" t="str">
        <f>IF(I15="","",ROUND((I15+0.5*MAX(0,CEILING(ROUND((MAX(C$1:C14)-1/48-I15)/0.5,6),1)))*1440,0)/1440)</f>
        <v/>
      </c>
      <c r="D15" s="9" t="str" cm="1">
        <f t="array" ref="D15">IF(H15="","",IFERROR(INDEX(Log!$C$19:$G$19,VALUE(MID(H15,FIND("#",H15)+1,1))),""))</f>
        <v/>
      </c>
      <c r="E15" s="9" t="str" cm="1">
        <f t="array" ref="E15">IF(OR(H15="",M15),"",IFERROR(_xlfn.LET(_xlpm.t,SUBSTITUTE(UPPER(H15),"م","M"),_xlpm.u,SUBSTITUTE(_xlpm.t,"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5" s="12"/>
      <c r="G15" s="13" t="str">
        <f>IF(B15="","",IF(M15,"⚠ Duplicate (not counted)",IF(AND(I15="",D15="",E15=""),"— ignored",IF(C15="","⚠ Time",IF(D15="","⚠ Plant",IF(E15="","⚠ Quantity",IF(AND(ISNUMBER(L15),COUNTIF(L$1:L14,L15)&gt;0),"⚠ Same serial "&amp;L15,IF(AND(ISNUMBER(L15),L15&gt;MIN($L$2:$L$1001),COUNTIF($L$2:$L$1001,L15-1)=0,COUNTIF($L$2:$L$1001,L15-2)&lt;2),"⚠ Missing serial "&amp;(L15-1),IF(AND(MAX(K$1:K14)&gt;0,N(K15)-MAX(K$1:K14)&gt;180),"⚠ Gap &gt; 3h",IF(C15-I15&gt;=0.99,"next day",IF(C15-I15&gt;0.4,"12h → 24h","")))))))))))</f>
        <v/>
      </c>
      <c r="H15" s="4" t="str">
        <f t="shared" si="0"/>
        <v/>
      </c>
      <c r="I15" s="5" t="str">
        <f t="shared" si="1"/>
        <v/>
      </c>
      <c r="J15" s="6">
        <f t="shared" si="2"/>
        <v>0</v>
      </c>
      <c r="K15" s="4" t="str">
        <f t="shared" si="3"/>
        <v/>
      </c>
      <c r="L15" s="4" t="str">
        <f t="shared" si="4"/>
        <v/>
      </c>
      <c r="M15" s="4" t="b" cm="1">
        <f t="array" ref="M15">IF(H15="",FALSE,SUMPRODUCT(--(H$1:H14=H15))&gt;0)</f>
        <v>0</v>
      </c>
    </row>
    <row r="16" spans="1:15" x14ac:dyDescent="0.25">
      <c r="A16" s="9" t="str">
        <f>IF(OR(B16="",M16,G16="— ignored"),"",MAX(A$1:A15)+1)</f>
        <v/>
      </c>
      <c r="B16" s="10"/>
      <c r="C16" s="11" t="str">
        <f>IF(I16="","",ROUND((I16+0.5*MAX(0,CEILING(ROUND((MAX(C$1:C15)-1/48-I16)/0.5,6),1)))*1440,0)/1440)</f>
        <v/>
      </c>
      <c r="D16" s="9" t="str" cm="1">
        <f t="array" ref="D16">IF(H16="","",IFERROR(INDEX(Log!$C$19:$G$19,VALUE(MID(H16,FIND("#",H16)+1,1))),""))</f>
        <v/>
      </c>
      <c r="E16" s="9" t="str" cm="1">
        <f t="array" ref="E16">IF(OR(H16="",M16),"",IFERROR(_xlfn.LET(_xlpm.t,SUBSTITUTE(UPPER(H16),"م","M"),_xlpm.u,SUBSTITUTE(_xlpm.t,"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6" s="12"/>
      <c r="G16" s="13" t="str">
        <f>IF(B16="","",IF(M16,"⚠ Duplicate (not counted)",IF(AND(I16="",D16="",E16=""),"— ignored",IF(C16="","⚠ Time",IF(D16="","⚠ Plant",IF(E16="","⚠ Quantity",IF(AND(ISNUMBER(L16),COUNTIF(L$1:L15,L16)&gt;0),"⚠ Same serial "&amp;L16,IF(AND(ISNUMBER(L16),L16&gt;MIN($L$2:$L$1001),COUNTIF($L$2:$L$1001,L16-1)=0,COUNTIF($L$2:$L$1001,L16-2)&lt;2),"⚠ Missing serial "&amp;(L16-1),IF(AND(MAX(K$1:K15)&gt;0,N(K16)-MAX(K$1:K15)&gt;180),"⚠ Gap &gt; 3h",IF(C16-I16&gt;=0.99,"next day",IF(C16-I16&gt;0.4,"12h → 24h","")))))))))))</f>
        <v/>
      </c>
      <c r="H16" s="4" t="str">
        <f t="shared" si="0"/>
        <v/>
      </c>
      <c r="I16" s="5" t="str">
        <f t="shared" si="1"/>
        <v/>
      </c>
      <c r="J16" s="6">
        <f t="shared" si="2"/>
        <v>0</v>
      </c>
      <c r="K16" s="4" t="str">
        <f t="shared" si="3"/>
        <v/>
      </c>
      <c r="L16" s="4" t="str">
        <f t="shared" si="4"/>
        <v/>
      </c>
      <c r="M16" s="4" t="b" cm="1">
        <f t="array" ref="M16">IF(H16="",FALSE,SUMPRODUCT(--(H$1:H15=H16))&gt;0)</f>
        <v>0</v>
      </c>
    </row>
    <row r="17" spans="1:13" x14ac:dyDescent="0.25">
      <c r="A17" s="9" t="str">
        <f>IF(OR(B17="",M17,G17="— ignored"),"",MAX(A$1:A16)+1)</f>
        <v/>
      </c>
      <c r="B17" s="10"/>
      <c r="C17" s="11" t="str">
        <f>IF(I17="","",ROUND((I17+0.5*MAX(0,CEILING(ROUND((MAX(C$1:C16)-1/48-I17)/0.5,6),1)))*1440,0)/1440)</f>
        <v/>
      </c>
      <c r="D17" s="9" t="str" cm="1">
        <f t="array" ref="D17">IF(H17="","",IFERROR(INDEX(Log!$C$19:$G$19,VALUE(MID(H17,FIND("#",H17)+1,1))),""))</f>
        <v/>
      </c>
      <c r="E17" s="9" t="str" cm="1">
        <f t="array" ref="E17">IF(OR(H17="",M17),"",IFERROR(_xlfn.LET(_xlpm.t,SUBSTITUTE(UPPER(H17),"م","M"),_xlpm.u,SUBSTITUTE(_xlpm.t,"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7" s="12"/>
      <c r="G17" s="13" t="str">
        <f>IF(B17="","",IF(M17,"⚠ Duplicate (not counted)",IF(AND(I17="",D17="",E17=""),"— ignored",IF(C17="","⚠ Time",IF(D17="","⚠ Plant",IF(E17="","⚠ Quantity",IF(AND(ISNUMBER(L17),COUNTIF(L$1:L16,L17)&gt;0),"⚠ Same serial "&amp;L17,IF(AND(ISNUMBER(L17),L17&gt;MIN($L$2:$L$1001),COUNTIF($L$2:$L$1001,L17-1)=0,COUNTIF($L$2:$L$1001,L17-2)&lt;2),"⚠ Missing serial "&amp;(L17-1),IF(AND(MAX(K$1:K16)&gt;0,N(K17)-MAX(K$1:K16)&gt;180),"⚠ Gap &gt; 3h",IF(C17-I17&gt;=0.99,"next day",IF(C17-I17&gt;0.4,"12h → 24h","")))))))))))</f>
        <v/>
      </c>
      <c r="H17" s="4" t="str">
        <f t="shared" si="0"/>
        <v/>
      </c>
      <c r="I17" s="5" t="str">
        <f t="shared" si="1"/>
        <v/>
      </c>
      <c r="J17" s="6">
        <f t="shared" si="2"/>
        <v>0</v>
      </c>
      <c r="K17" s="4" t="str">
        <f t="shared" si="3"/>
        <v/>
      </c>
      <c r="L17" s="4" t="str">
        <f t="shared" si="4"/>
        <v/>
      </c>
      <c r="M17" s="4" t="b" cm="1">
        <f t="array" ref="M17">IF(H17="",FALSE,SUMPRODUCT(--(H$1:H16=H17))&gt;0)</f>
        <v>0</v>
      </c>
    </row>
    <row r="18" spans="1:13" x14ac:dyDescent="0.25">
      <c r="A18" s="9" t="str">
        <f>IF(OR(B18="",M18,G18="— ignored"),"",MAX(A$1:A17)+1)</f>
        <v/>
      </c>
      <c r="B18" s="10"/>
      <c r="C18" s="11" t="str">
        <f>IF(I18="","",ROUND((I18+0.5*MAX(0,CEILING(ROUND((MAX(C$1:C17)-1/48-I18)/0.5,6),1)))*1440,0)/1440)</f>
        <v/>
      </c>
      <c r="D18" s="9" t="str" cm="1">
        <f t="array" ref="D18">IF(H18="","",IFERROR(INDEX(Log!$C$19:$G$19,VALUE(MID(H18,FIND("#",H18)+1,1))),""))</f>
        <v/>
      </c>
      <c r="E18" s="9" t="str" cm="1">
        <f t="array" ref="E18">IF(OR(H18="",M18),"",IFERROR(_xlfn.LET(_xlpm.t,SUBSTITUTE(UPPER(H18),"م","M"),_xlpm.u,SUBSTITUTE(_xlpm.t,"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8" s="12"/>
      <c r="G18" s="13" t="str">
        <f>IF(B18="","",IF(M18,"⚠ Duplicate (not counted)",IF(AND(I18="",D18="",E18=""),"— ignored",IF(C18="","⚠ Time",IF(D18="","⚠ Plant",IF(E18="","⚠ Quantity",IF(AND(ISNUMBER(L18),COUNTIF(L$1:L17,L18)&gt;0),"⚠ Same serial "&amp;L18,IF(AND(ISNUMBER(L18),L18&gt;MIN($L$2:$L$1001),COUNTIF($L$2:$L$1001,L18-1)=0,COUNTIF($L$2:$L$1001,L18-2)&lt;2),"⚠ Missing serial "&amp;(L18-1),IF(AND(MAX(K$1:K17)&gt;0,N(K18)-MAX(K$1:K17)&gt;180),"⚠ Gap &gt; 3h",IF(C18-I18&gt;=0.99,"next day",IF(C18-I18&gt;0.4,"12h → 24h","")))))))))))</f>
        <v/>
      </c>
      <c r="H18" s="4" t="str">
        <f t="shared" si="0"/>
        <v/>
      </c>
      <c r="I18" s="5" t="str">
        <f t="shared" si="1"/>
        <v/>
      </c>
      <c r="J18" s="6">
        <f t="shared" si="2"/>
        <v>0</v>
      </c>
      <c r="K18" s="4" t="str">
        <f t="shared" si="3"/>
        <v/>
      </c>
      <c r="L18" s="4" t="str">
        <f t="shared" si="4"/>
        <v/>
      </c>
      <c r="M18" s="4" t="b" cm="1">
        <f t="array" ref="M18">IF(H18="",FALSE,SUMPRODUCT(--(H$1:H17=H18))&gt;0)</f>
        <v>0</v>
      </c>
    </row>
    <row r="19" spans="1:13" x14ac:dyDescent="0.25">
      <c r="A19" s="9" t="str">
        <f>IF(OR(B19="",M19,G19="— ignored"),"",MAX(A$1:A18)+1)</f>
        <v/>
      </c>
      <c r="B19" s="10"/>
      <c r="C19" s="11" t="str">
        <f>IF(I19="","",ROUND((I19+0.5*MAX(0,CEILING(ROUND((MAX(C$1:C18)-1/48-I19)/0.5,6),1)))*1440,0)/1440)</f>
        <v/>
      </c>
      <c r="D19" s="9" t="str" cm="1">
        <f t="array" ref="D19">IF(H19="","",IFERROR(INDEX(Log!$C$19:$G$19,VALUE(MID(H19,FIND("#",H19)+1,1))),""))</f>
        <v/>
      </c>
      <c r="E19" s="9" t="str" cm="1">
        <f t="array" ref="E19">IF(OR(H19="",M19),"",IFERROR(_xlfn.LET(_xlpm.t,SUBSTITUTE(UPPER(H19),"م","M"),_xlpm.u,SUBSTITUTE(_xlpm.t,"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9" s="12"/>
      <c r="G19" s="13" t="str">
        <f>IF(B19="","",IF(M19,"⚠ Duplicate (not counted)",IF(AND(I19="",D19="",E19=""),"— ignored",IF(C19="","⚠ Time",IF(D19="","⚠ Plant",IF(E19="","⚠ Quantity",IF(AND(ISNUMBER(L19),COUNTIF(L$1:L18,L19)&gt;0),"⚠ Same serial "&amp;L19,IF(AND(ISNUMBER(L19),L19&gt;MIN($L$2:$L$1001),COUNTIF($L$2:$L$1001,L19-1)=0,COUNTIF($L$2:$L$1001,L19-2)&lt;2),"⚠ Missing serial "&amp;(L19-1),IF(AND(MAX(K$1:K18)&gt;0,N(K19)-MAX(K$1:K18)&gt;180),"⚠ Gap &gt; 3h",IF(C19-I19&gt;=0.99,"next day",IF(C19-I19&gt;0.4,"12h → 24h","")))))))))))</f>
        <v/>
      </c>
      <c r="H19" s="4" t="str">
        <f t="shared" si="0"/>
        <v/>
      </c>
      <c r="I19" s="5" t="str">
        <f t="shared" si="1"/>
        <v/>
      </c>
      <c r="J19" s="6">
        <f t="shared" si="2"/>
        <v>0</v>
      </c>
      <c r="K19" s="4" t="str">
        <f t="shared" si="3"/>
        <v/>
      </c>
      <c r="L19" s="4" t="str">
        <f t="shared" si="4"/>
        <v/>
      </c>
      <c r="M19" s="4" t="b" cm="1">
        <f t="array" ref="M19">IF(H19="",FALSE,SUMPRODUCT(--(H$1:H18=H19))&gt;0)</f>
        <v>0</v>
      </c>
    </row>
    <row r="20" spans="1:13" x14ac:dyDescent="0.25">
      <c r="A20" s="9" t="str">
        <f>IF(OR(B20="",M20,G20="— ignored"),"",MAX(A$1:A19)+1)</f>
        <v/>
      </c>
      <c r="B20" s="10"/>
      <c r="C20" s="11" t="str">
        <f>IF(I20="","",ROUND((I20+0.5*MAX(0,CEILING(ROUND((MAX(C$1:C19)-1/48-I20)/0.5,6),1)))*1440,0)/1440)</f>
        <v/>
      </c>
      <c r="D20" s="9" t="str" cm="1">
        <f t="array" ref="D20">IF(H20="","",IFERROR(INDEX(Log!$C$19:$G$19,VALUE(MID(H20,FIND("#",H20)+1,1))),""))</f>
        <v/>
      </c>
      <c r="E20" s="9" t="str" cm="1">
        <f t="array" ref="E20">IF(OR(H20="",M20),"",IFERROR(_xlfn.LET(_xlpm.t,SUBSTITUTE(UPPER(H20),"م","M"),_xlpm.u,SUBSTITUTE(_xlpm.t,"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0" s="12"/>
      <c r="G20" s="13" t="str">
        <f>IF(B20="","",IF(M20,"⚠ Duplicate (not counted)",IF(AND(I20="",D20="",E20=""),"— ignored",IF(C20="","⚠ Time",IF(D20="","⚠ Plant",IF(E20="","⚠ Quantity",IF(AND(ISNUMBER(L20),COUNTIF(L$1:L19,L20)&gt;0),"⚠ Same serial "&amp;L20,IF(AND(ISNUMBER(L20),L20&gt;MIN($L$2:$L$1001),COUNTIF($L$2:$L$1001,L20-1)=0,COUNTIF($L$2:$L$1001,L20-2)&lt;2),"⚠ Missing serial "&amp;(L20-1),IF(AND(MAX(K$1:K19)&gt;0,N(K20)-MAX(K$1:K19)&gt;180),"⚠ Gap &gt; 3h",IF(C20-I20&gt;=0.99,"next day",IF(C20-I20&gt;0.4,"12h → 24h","")))))))))))</f>
        <v/>
      </c>
      <c r="H20" s="4" t="str">
        <f t="shared" si="0"/>
        <v/>
      </c>
      <c r="I20" s="5" t="str">
        <f t="shared" si="1"/>
        <v/>
      </c>
      <c r="J20" s="6">
        <f t="shared" si="2"/>
        <v>0</v>
      </c>
      <c r="K20" s="4" t="str">
        <f t="shared" si="3"/>
        <v/>
      </c>
      <c r="L20" s="4" t="str">
        <f t="shared" si="4"/>
        <v/>
      </c>
      <c r="M20" s="4" t="b" cm="1">
        <f t="array" ref="M20">IF(H20="",FALSE,SUMPRODUCT(--(H$1:H19=H20))&gt;0)</f>
        <v>0</v>
      </c>
    </row>
    <row r="21" spans="1:13" x14ac:dyDescent="0.25">
      <c r="A21" s="9" t="str">
        <f>IF(OR(B21="",M21,G21="— ignored"),"",MAX(A$1:A20)+1)</f>
        <v/>
      </c>
      <c r="B21" s="10"/>
      <c r="C21" s="11" t="str">
        <f>IF(I21="","",ROUND((I21+0.5*MAX(0,CEILING(ROUND((MAX(C$1:C20)-1/48-I21)/0.5,6),1)))*1440,0)/1440)</f>
        <v/>
      </c>
      <c r="D21" s="9" t="str" cm="1">
        <f t="array" ref="D21">IF(H21="","",IFERROR(INDEX(Log!$C$19:$G$19,VALUE(MID(H21,FIND("#",H21)+1,1))),""))</f>
        <v/>
      </c>
      <c r="E21" s="9" t="str" cm="1">
        <f t="array" ref="E21">IF(OR(H21="",M21),"",IFERROR(_xlfn.LET(_xlpm.t,SUBSTITUTE(UPPER(H21),"م","M"),_xlpm.u,SUBSTITUTE(_xlpm.t,"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1" s="12"/>
      <c r="G21" s="13" t="str">
        <f>IF(B21="","",IF(M21,"⚠ Duplicate (not counted)",IF(AND(I21="",D21="",E21=""),"— ignored",IF(C21="","⚠ Time",IF(D21="","⚠ Plant",IF(E21="","⚠ Quantity",IF(AND(ISNUMBER(L21),COUNTIF(L$1:L20,L21)&gt;0),"⚠ Same serial "&amp;L21,IF(AND(ISNUMBER(L21),L21&gt;MIN($L$2:$L$1001),COUNTIF($L$2:$L$1001,L21-1)=0,COUNTIF($L$2:$L$1001,L21-2)&lt;2),"⚠ Missing serial "&amp;(L21-1),IF(AND(MAX(K$1:K20)&gt;0,N(K21)-MAX(K$1:K20)&gt;180),"⚠ Gap &gt; 3h",IF(C21-I21&gt;=0.99,"next day",IF(C21-I21&gt;0.4,"12h → 24h","")))))))))))</f>
        <v/>
      </c>
      <c r="H21" s="4" t="str">
        <f t="shared" si="0"/>
        <v/>
      </c>
      <c r="I21" s="5" t="str">
        <f t="shared" si="1"/>
        <v/>
      </c>
      <c r="J21" s="6">
        <f t="shared" si="2"/>
        <v>0</v>
      </c>
      <c r="K21" s="4" t="str">
        <f t="shared" si="3"/>
        <v/>
      </c>
      <c r="L21" s="4" t="str">
        <f t="shared" si="4"/>
        <v/>
      </c>
      <c r="M21" s="4" t="b" cm="1">
        <f t="array" ref="M21">IF(H21="",FALSE,SUMPRODUCT(--(H$1:H20=H21))&gt;0)</f>
        <v>0</v>
      </c>
    </row>
    <row r="22" spans="1:13" x14ac:dyDescent="0.25">
      <c r="A22" s="9" t="str">
        <f>IF(OR(B22="",M22,G22="— ignored"),"",MAX(A$1:A21)+1)</f>
        <v/>
      </c>
      <c r="B22" s="10"/>
      <c r="C22" s="11" t="str">
        <f>IF(I22="","",ROUND((I22+0.5*MAX(0,CEILING(ROUND((MAX(C$1:C21)-1/48-I22)/0.5,6),1)))*1440,0)/1440)</f>
        <v/>
      </c>
      <c r="D22" s="9" t="str" cm="1">
        <f t="array" ref="D22">IF(H22="","",IFERROR(INDEX(Log!$C$19:$G$19,VALUE(MID(H22,FIND("#",H22)+1,1))),""))</f>
        <v/>
      </c>
      <c r="E22" s="9" t="str" cm="1">
        <f t="array" ref="E22">IF(OR(H22="",M22),"",IFERROR(_xlfn.LET(_xlpm.t,SUBSTITUTE(UPPER(H22),"م","M"),_xlpm.u,SUBSTITUTE(_xlpm.t,"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2" s="12"/>
      <c r="G22" s="13" t="str">
        <f>IF(B22="","",IF(M22,"⚠ Duplicate (not counted)",IF(AND(I22="",D22="",E22=""),"— ignored",IF(C22="","⚠ Time",IF(D22="","⚠ Plant",IF(E22="","⚠ Quantity",IF(AND(ISNUMBER(L22),COUNTIF(L$1:L21,L22)&gt;0),"⚠ Same serial "&amp;L22,IF(AND(ISNUMBER(L22),L22&gt;MIN($L$2:$L$1001),COUNTIF($L$2:$L$1001,L22-1)=0,COUNTIF($L$2:$L$1001,L22-2)&lt;2),"⚠ Missing serial "&amp;(L22-1),IF(AND(MAX(K$1:K21)&gt;0,N(K22)-MAX(K$1:K21)&gt;180),"⚠ Gap &gt; 3h",IF(C22-I22&gt;=0.99,"next day",IF(C22-I22&gt;0.4,"12h → 24h","")))))))))))</f>
        <v/>
      </c>
      <c r="H22" s="4" t="str">
        <f t="shared" si="0"/>
        <v/>
      </c>
      <c r="I22" s="5" t="str">
        <f t="shared" si="1"/>
        <v/>
      </c>
      <c r="J22" s="6">
        <f t="shared" si="2"/>
        <v>0</v>
      </c>
      <c r="K22" s="4" t="str">
        <f t="shared" si="3"/>
        <v/>
      </c>
      <c r="L22" s="4" t="str">
        <f t="shared" si="4"/>
        <v/>
      </c>
      <c r="M22" s="4" t="b" cm="1">
        <f t="array" ref="M22">IF(H22="",FALSE,SUMPRODUCT(--(H$1:H21=H22))&gt;0)</f>
        <v>0</v>
      </c>
    </row>
    <row r="23" spans="1:13" x14ac:dyDescent="0.25">
      <c r="A23" s="9" t="str">
        <f>IF(OR(B23="",M23,G23="— ignored"),"",MAX(A$1:A22)+1)</f>
        <v/>
      </c>
      <c r="B23" s="10"/>
      <c r="C23" s="11" t="str">
        <f>IF(I23="","",ROUND((I23+0.5*MAX(0,CEILING(ROUND((MAX(C$1:C22)-1/48-I23)/0.5,6),1)))*1440,0)/1440)</f>
        <v/>
      </c>
      <c r="D23" s="9" t="str" cm="1">
        <f t="array" ref="D23">IF(H23="","",IFERROR(INDEX(Log!$C$19:$G$19,VALUE(MID(H23,FIND("#",H23)+1,1))),""))</f>
        <v/>
      </c>
      <c r="E23" s="9" t="str" cm="1">
        <f t="array" ref="E23">IF(OR(H23="",M23),"",IFERROR(_xlfn.LET(_xlpm.t,SUBSTITUTE(UPPER(H23),"م","M"),_xlpm.u,SUBSTITUTE(_xlpm.t,"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3" s="12"/>
      <c r="G23" s="13" t="str">
        <f>IF(B23="","",IF(M23,"⚠ Duplicate (not counted)",IF(AND(I23="",D23="",E23=""),"— ignored",IF(C23="","⚠ Time",IF(D23="","⚠ Plant",IF(E23="","⚠ Quantity",IF(AND(ISNUMBER(L23),COUNTIF(L$1:L22,L23)&gt;0),"⚠ Same serial "&amp;L23,IF(AND(ISNUMBER(L23),L23&gt;MIN($L$2:$L$1001),COUNTIF($L$2:$L$1001,L23-1)=0,COUNTIF($L$2:$L$1001,L23-2)&lt;2),"⚠ Missing serial "&amp;(L23-1),IF(AND(MAX(K$1:K22)&gt;0,N(K23)-MAX(K$1:K22)&gt;180),"⚠ Gap &gt; 3h",IF(C23-I23&gt;=0.99,"next day",IF(C23-I23&gt;0.4,"12h → 24h","")))))))))))</f>
        <v/>
      </c>
      <c r="H23" s="4" t="str">
        <f t="shared" si="0"/>
        <v/>
      </c>
      <c r="I23" s="5" t="str">
        <f t="shared" si="1"/>
        <v/>
      </c>
      <c r="J23" s="6">
        <f t="shared" si="2"/>
        <v>0</v>
      </c>
      <c r="K23" s="4" t="str">
        <f t="shared" si="3"/>
        <v/>
      </c>
      <c r="L23" s="4" t="str">
        <f t="shared" si="4"/>
        <v/>
      </c>
      <c r="M23" s="4" t="b" cm="1">
        <f t="array" ref="M23">IF(H23="",FALSE,SUMPRODUCT(--(H$1:H22=H23))&gt;0)</f>
        <v>0</v>
      </c>
    </row>
    <row r="24" spans="1:13" x14ac:dyDescent="0.25">
      <c r="A24" s="9" t="str">
        <f>IF(OR(B24="",M24,G24="— ignored"),"",MAX(A$1:A23)+1)</f>
        <v/>
      </c>
      <c r="B24" s="10"/>
      <c r="C24" s="11" t="str">
        <f>IF(I24="","",ROUND((I24+0.5*MAX(0,CEILING(ROUND((MAX(C$1:C23)-1/48-I24)/0.5,6),1)))*1440,0)/1440)</f>
        <v/>
      </c>
      <c r="D24" s="9" t="str" cm="1">
        <f t="array" ref="D24">IF(H24="","",IFERROR(INDEX(Log!$C$19:$G$19,VALUE(MID(H24,FIND("#",H24)+1,1))),""))</f>
        <v/>
      </c>
      <c r="E24" s="9" t="str" cm="1">
        <f t="array" ref="E24">IF(OR(H24="",M24),"",IFERROR(_xlfn.LET(_xlpm.t,SUBSTITUTE(UPPER(H24),"م","M"),_xlpm.u,SUBSTITUTE(_xlpm.t,"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4" s="12"/>
      <c r="G24" s="13" t="str">
        <f>IF(B24="","",IF(M24,"⚠ Duplicate (not counted)",IF(AND(I24="",D24="",E24=""),"— ignored",IF(C24="","⚠ Time",IF(D24="","⚠ Plant",IF(E24="","⚠ Quantity",IF(AND(ISNUMBER(L24),COUNTIF(L$1:L23,L24)&gt;0),"⚠ Same serial "&amp;L24,IF(AND(ISNUMBER(L24),L24&gt;MIN($L$2:$L$1001),COUNTIF($L$2:$L$1001,L24-1)=0,COUNTIF($L$2:$L$1001,L24-2)&lt;2),"⚠ Missing serial "&amp;(L24-1),IF(AND(MAX(K$1:K23)&gt;0,N(K24)-MAX(K$1:K23)&gt;180),"⚠ Gap &gt; 3h",IF(C24-I24&gt;=0.99,"next day",IF(C24-I24&gt;0.4,"12h → 24h","")))))))))))</f>
        <v/>
      </c>
      <c r="H24" s="4" t="str">
        <f t="shared" si="0"/>
        <v/>
      </c>
      <c r="I24" s="5" t="str">
        <f t="shared" si="1"/>
        <v/>
      </c>
      <c r="J24" s="6">
        <f t="shared" si="2"/>
        <v>0</v>
      </c>
      <c r="K24" s="4" t="str">
        <f t="shared" si="3"/>
        <v/>
      </c>
      <c r="L24" s="4" t="str">
        <f t="shared" si="4"/>
        <v/>
      </c>
      <c r="M24" s="4" t="b" cm="1">
        <f t="array" ref="M24">IF(H24="",FALSE,SUMPRODUCT(--(H$1:H23=H24))&gt;0)</f>
        <v>0</v>
      </c>
    </row>
    <row r="25" spans="1:13" x14ac:dyDescent="0.25">
      <c r="A25" s="9" t="str">
        <f>IF(OR(B25="",M25,G25="— ignored"),"",MAX(A$1:A24)+1)</f>
        <v/>
      </c>
      <c r="B25" s="10"/>
      <c r="C25" s="11" t="str">
        <f>IF(I25="","",ROUND((I25+0.5*MAX(0,CEILING(ROUND((MAX(C$1:C24)-1/48-I25)/0.5,6),1)))*1440,0)/1440)</f>
        <v/>
      </c>
      <c r="D25" s="9" t="str" cm="1">
        <f t="array" ref="D25">IF(H25="","",IFERROR(INDEX(Log!$C$19:$G$19,VALUE(MID(H25,FIND("#",H25)+1,1))),""))</f>
        <v/>
      </c>
      <c r="E25" s="9" t="str" cm="1">
        <f t="array" ref="E25">IF(OR(H25="",M25),"",IFERROR(_xlfn.LET(_xlpm.t,SUBSTITUTE(UPPER(H25),"م","M"),_xlpm.u,SUBSTITUTE(_xlpm.t,"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5" s="12"/>
      <c r="G25" s="13" t="str">
        <f>IF(B25="","",IF(M25,"⚠ Duplicate (not counted)",IF(AND(I25="",D25="",E25=""),"— ignored",IF(C25="","⚠ Time",IF(D25="","⚠ Plant",IF(E25="","⚠ Quantity",IF(AND(ISNUMBER(L25),COUNTIF(L$1:L24,L25)&gt;0),"⚠ Same serial "&amp;L25,IF(AND(ISNUMBER(L25),L25&gt;MIN($L$2:$L$1001),COUNTIF($L$2:$L$1001,L25-1)=0,COUNTIF($L$2:$L$1001,L25-2)&lt;2),"⚠ Missing serial "&amp;(L25-1),IF(AND(MAX(K$1:K24)&gt;0,N(K25)-MAX(K$1:K24)&gt;180),"⚠ Gap &gt; 3h",IF(C25-I25&gt;=0.99,"next day",IF(C25-I25&gt;0.4,"12h → 24h","")))))))))))</f>
        <v/>
      </c>
      <c r="H25" s="4" t="str">
        <f t="shared" si="0"/>
        <v/>
      </c>
      <c r="I25" s="5" t="str">
        <f t="shared" si="1"/>
        <v/>
      </c>
      <c r="J25" s="6">
        <f t="shared" si="2"/>
        <v>0</v>
      </c>
      <c r="K25" s="4" t="str">
        <f t="shared" si="3"/>
        <v/>
      </c>
      <c r="L25" s="4" t="str">
        <f t="shared" si="4"/>
        <v/>
      </c>
      <c r="M25" s="4" t="b" cm="1">
        <f t="array" ref="M25">IF(H25="",FALSE,SUMPRODUCT(--(H$1:H24=H25))&gt;0)</f>
        <v>0</v>
      </c>
    </row>
    <row r="26" spans="1:13" x14ac:dyDescent="0.25">
      <c r="A26" s="9" t="str">
        <f>IF(OR(B26="",M26,G26="— ignored"),"",MAX(A$1:A25)+1)</f>
        <v/>
      </c>
      <c r="B26" s="10"/>
      <c r="C26" s="11" t="str">
        <f>IF(I26="","",ROUND((I26+0.5*MAX(0,CEILING(ROUND((MAX(C$1:C25)-1/48-I26)/0.5,6),1)))*1440,0)/1440)</f>
        <v/>
      </c>
      <c r="D26" s="9" t="str" cm="1">
        <f t="array" ref="D26">IF(H26="","",IFERROR(INDEX(Log!$C$19:$G$19,VALUE(MID(H26,FIND("#",H26)+1,1))),""))</f>
        <v/>
      </c>
      <c r="E26" s="9" t="str" cm="1">
        <f t="array" ref="E26">IF(OR(H26="",M26),"",IFERROR(_xlfn.LET(_xlpm.t,SUBSTITUTE(UPPER(H26),"م","M"),_xlpm.u,SUBSTITUTE(_xlpm.t,"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6" s="12"/>
      <c r="G26" s="13" t="str">
        <f>IF(B26="","",IF(M26,"⚠ Duplicate (not counted)",IF(AND(I26="",D26="",E26=""),"— ignored",IF(C26="","⚠ Time",IF(D26="","⚠ Plant",IF(E26="","⚠ Quantity",IF(AND(ISNUMBER(L26),COUNTIF(L$1:L25,L26)&gt;0),"⚠ Same serial "&amp;L26,IF(AND(ISNUMBER(L26),L26&gt;MIN($L$2:$L$1001),COUNTIF($L$2:$L$1001,L26-1)=0,COUNTIF($L$2:$L$1001,L26-2)&lt;2),"⚠ Missing serial "&amp;(L26-1),IF(AND(MAX(K$1:K25)&gt;0,N(K26)-MAX(K$1:K25)&gt;180),"⚠ Gap &gt; 3h",IF(C26-I26&gt;=0.99,"next day",IF(C26-I26&gt;0.4,"12h → 24h","")))))))))))</f>
        <v/>
      </c>
      <c r="H26" s="4" t="str">
        <f t="shared" si="0"/>
        <v/>
      </c>
      <c r="I26" s="5" t="str">
        <f t="shared" si="1"/>
        <v/>
      </c>
      <c r="J26" s="6">
        <f t="shared" si="2"/>
        <v>0</v>
      </c>
      <c r="K26" s="4" t="str">
        <f t="shared" si="3"/>
        <v/>
      </c>
      <c r="L26" s="4" t="str">
        <f t="shared" si="4"/>
        <v/>
      </c>
      <c r="M26" s="4" t="b" cm="1">
        <f t="array" ref="M26">IF(H26="",FALSE,SUMPRODUCT(--(H$1:H25=H26))&gt;0)</f>
        <v>0</v>
      </c>
    </row>
    <row r="27" spans="1:13" x14ac:dyDescent="0.25">
      <c r="A27" s="9" t="str">
        <f>IF(OR(B27="",M27,G27="— ignored"),"",MAX(A$1:A26)+1)</f>
        <v/>
      </c>
      <c r="B27" s="10"/>
      <c r="C27" s="11" t="str">
        <f>IF(I27="","",ROUND((I27+0.5*MAX(0,CEILING(ROUND((MAX(C$1:C26)-1/48-I27)/0.5,6),1)))*1440,0)/1440)</f>
        <v/>
      </c>
      <c r="D27" s="9" t="str" cm="1">
        <f t="array" ref="D27">IF(H27="","",IFERROR(INDEX(Log!$C$19:$G$19,VALUE(MID(H27,FIND("#",H27)+1,1))),""))</f>
        <v/>
      </c>
      <c r="E27" s="9" t="str" cm="1">
        <f t="array" ref="E27">IF(OR(H27="",M27),"",IFERROR(_xlfn.LET(_xlpm.t,SUBSTITUTE(UPPER(H27),"م","M"),_xlpm.u,SUBSTITUTE(_xlpm.t,"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7" s="12"/>
      <c r="G27" s="13" t="str">
        <f>IF(B27="","",IF(M27,"⚠ Duplicate (not counted)",IF(AND(I27="",D27="",E27=""),"— ignored",IF(C27="","⚠ Time",IF(D27="","⚠ Plant",IF(E27="","⚠ Quantity",IF(AND(ISNUMBER(L27),COUNTIF(L$1:L26,L27)&gt;0),"⚠ Same serial "&amp;L27,IF(AND(ISNUMBER(L27),L27&gt;MIN($L$2:$L$1001),COUNTIF($L$2:$L$1001,L27-1)=0,COUNTIF($L$2:$L$1001,L27-2)&lt;2),"⚠ Missing serial "&amp;(L27-1),IF(AND(MAX(K$1:K26)&gt;0,N(K27)-MAX(K$1:K26)&gt;180),"⚠ Gap &gt; 3h",IF(C27-I27&gt;=0.99,"next day",IF(C27-I27&gt;0.4,"12h → 24h","")))))))))))</f>
        <v/>
      </c>
      <c r="H27" s="4" t="str">
        <f t="shared" si="0"/>
        <v/>
      </c>
      <c r="I27" s="5" t="str">
        <f t="shared" si="1"/>
        <v/>
      </c>
      <c r="J27" s="6">
        <f t="shared" si="2"/>
        <v>0</v>
      </c>
      <c r="K27" s="4" t="str">
        <f t="shared" si="3"/>
        <v/>
      </c>
      <c r="L27" s="4" t="str">
        <f t="shared" si="4"/>
        <v/>
      </c>
      <c r="M27" s="4" t="b" cm="1">
        <f t="array" ref="M27">IF(H27="",FALSE,SUMPRODUCT(--(H$1:H26=H27))&gt;0)</f>
        <v>0</v>
      </c>
    </row>
    <row r="28" spans="1:13" x14ac:dyDescent="0.25">
      <c r="A28" s="9" t="str">
        <f>IF(OR(B28="",M28,G28="— ignored"),"",MAX(A$1:A27)+1)</f>
        <v/>
      </c>
      <c r="B28" s="10"/>
      <c r="C28" s="11" t="str">
        <f>IF(I28="","",ROUND((I28+0.5*MAX(0,CEILING(ROUND((MAX(C$1:C27)-1/48-I28)/0.5,6),1)))*1440,0)/1440)</f>
        <v/>
      </c>
      <c r="D28" s="9" t="str" cm="1">
        <f t="array" ref="D28">IF(H28="","",IFERROR(INDEX(Log!$C$19:$G$19,VALUE(MID(H28,FIND("#",H28)+1,1))),""))</f>
        <v/>
      </c>
      <c r="E28" s="9" t="str" cm="1">
        <f t="array" ref="E28">IF(OR(H28="",M28),"",IFERROR(_xlfn.LET(_xlpm.t,SUBSTITUTE(UPPER(H28),"م","M"),_xlpm.u,SUBSTITUTE(_xlpm.t,"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8" s="12"/>
      <c r="G28" s="13" t="str">
        <f>IF(B28="","",IF(M28,"⚠ Duplicate (not counted)",IF(AND(I28="",D28="",E28=""),"— ignored",IF(C28="","⚠ Time",IF(D28="","⚠ Plant",IF(E28="","⚠ Quantity",IF(AND(ISNUMBER(L28),COUNTIF(L$1:L27,L28)&gt;0),"⚠ Same serial "&amp;L28,IF(AND(ISNUMBER(L28),L28&gt;MIN($L$2:$L$1001),COUNTIF($L$2:$L$1001,L28-1)=0,COUNTIF($L$2:$L$1001,L28-2)&lt;2),"⚠ Missing serial "&amp;(L28-1),IF(AND(MAX(K$1:K27)&gt;0,N(K28)-MAX(K$1:K27)&gt;180),"⚠ Gap &gt; 3h",IF(C28-I28&gt;=0.99,"next day",IF(C28-I28&gt;0.4,"12h → 24h","")))))))))))</f>
        <v/>
      </c>
      <c r="H28" s="4" t="str">
        <f t="shared" si="0"/>
        <v/>
      </c>
      <c r="I28" s="5" t="str">
        <f t="shared" si="1"/>
        <v/>
      </c>
      <c r="J28" s="6">
        <f t="shared" si="2"/>
        <v>0</v>
      </c>
      <c r="K28" s="4" t="str">
        <f t="shared" si="3"/>
        <v/>
      </c>
      <c r="L28" s="4" t="str">
        <f t="shared" si="4"/>
        <v/>
      </c>
      <c r="M28" s="4" t="b" cm="1">
        <f t="array" ref="M28">IF(H28="",FALSE,SUMPRODUCT(--(H$1:H27=H28))&gt;0)</f>
        <v>0</v>
      </c>
    </row>
    <row r="29" spans="1:13" x14ac:dyDescent="0.25">
      <c r="A29" s="9" t="str">
        <f>IF(OR(B29="",M29,G29="— ignored"),"",MAX(A$1:A28)+1)</f>
        <v/>
      </c>
      <c r="B29" s="10"/>
      <c r="C29" s="11" t="str">
        <f>IF(I29="","",ROUND((I29+0.5*MAX(0,CEILING(ROUND((MAX(C$1:C28)-1/48-I29)/0.5,6),1)))*1440,0)/1440)</f>
        <v/>
      </c>
      <c r="D29" s="9" t="str" cm="1">
        <f t="array" ref="D29">IF(H29="","",IFERROR(INDEX(Log!$C$19:$G$19,VALUE(MID(H29,FIND("#",H29)+1,1))),""))</f>
        <v/>
      </c>
      <c r="E29" s="9" t="str" cm="1">
        <f t="array" ref="E29">IF(OR(H29="",M29),"",IFERROR(_xlfn.LET(_xlpm.t,SUBSTITUTE(UPPER(H29),"م","M"),_xlpm.u,SUBSTITUTE(_xlpm.t,"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9" s="12"/>
      <c r="G29" s="13" t="str">
        <f>IF(B29="","",IF(M29,"⚠ Duplicate (not counted)",IF(AND(I29="",D29="",E29=""),"— ignored",IF(C29="","⚠ Time",IF(D29="","⚠ Plant",IF(E29="","⚠ Quantity",IF(AND(ISNUMBER(L29),COUNTIF(L$1:L28,L29)&gt;0),"⚠ Same serial "&amp;L29,IF(AND(ISNUMBER(L29),L29&gt;MIN($L$2:$L$1001),COUNTIF($L$2:$L$1001,L29-1)=0,COUNTIF($L$2:$L$1001,L29-2)&lt;2),"⚠ Missing serial "&amp;(L29-1),IF(AND(MAX(K$1:K28)&gt;0,N(K29)-MAX(K$1:K28)&gt;180),"⚠ Gap &gt; 3h",IF(C29-I29&gt;=0.99,"next day",IF(C29-I29&gt;0.4,"12h → 24h","")))))))))))</f>
        <v/>
      </c>
      <c r="H29" s="4" t="str">
        <f t="shared" si="0"/>
        <v/>
      </c>
      <c r="I29" s="5" t="str">
        <f t="shared" si="1"/>
        <v/>
      </c>
      <c r="J29" s="6">
        <f t="shared" si="2"/>
        <v>0</v>
      </c>
      <c r="K29" s="4" t="str">
        <f t="shared" si="3"/>
        <v/>
      </c>
      <c r="L29" s="4" t="str">
        <f t="shared" si="4"/>
        <v/>
      </c>
      <c r="M29" s="4" t="b" cm="1">
        <f t="array" ref="M29">IF(H29="",FALSE,SUMPRODUCT(--(H$1:H28=H29))&gt;0)</f>
        <v>0</v>
      </c>
    </row>
    <row r="30" spans="1:13" x14ac:dyDescent="0.25">
      <c r="A30" s="9" t="str">
        <f>IF(OR(B30="",M30,G30="— ignored"),"",MAX(A$1:A29)+1)</f>
        <v/>
      </c>
      <c r="B30" s="10"/>
      <c r="C30" s="11" t="str">
        <f>IF(I30="","",ROUND((I30+0.5*MAX(0,CEILING(ROUND((MAX(C$1:C29)-1/48-I30)/0.5,6),1)))*1440,0)/1440)</f>
        <v/>
      </c>
      <c r="D30" s="9" t="str" cm="1">
        <f t="array" ref="D30">IF(H30="","",IFERROR(INDEX(Log!$C$19:$G$19,VALUE(MID(H30,FIND("#",H30)+1,1))),""))</f>
        <v/>
      </c>
      <c r="E30" s="9" t="str" cm="1">
        <f t="array" ref="E30">IF(OR(H30="",M30),"",IFERROR(_xlfn.LET(_xlpm.t,SUBSTITUTE(UPPER(H30),"م","M"),_xlpm.u,SUBSTITUTE(_xlpm.t,"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0" s="12"/>
      <c r="G30" s="13" t="str">
        <f>IF(B30="","",IF(M30,"⚠ Duplicate (not counted)",IF(AND(I30="",D30="",E30=""),"— ignored",IF(C30="","⚠ Time",IF(D30="","⚠ Plant",IF(E30="","⚠ Quantity",IF(AND(ISNUMBER(L30),COUNTIF(L$1:L29,L30)&gt;0),"⚠ Same serial "&amp;L30,IF(AND(ISNUMBER(L30),L30&gt;MIN($L$2:$L$1001),COUNTIF($L$2:$L$1001,L30-1)=0,COUNTIF($L$2:$L$1001,L30-2)&lt;2),"⚠ Missing serial "&amp;(L30-1),IF(AND(MAX(K$1:K29)&gt;0,N(K30)-MAX(K$1:K29)&gt;180),"⚠ Gap &gt; 3h",IF(C30-I30&gt;=0.99,"next day",IF(C30-I30&gt;0.4,"12h → 24h","")))))))))))</f>
        <v/>
      </c>
      <c r="H30" s="4" t="str">
        <f t="shared" si="0"/>
        <v/>
      </c>
      <c r="I30" s="5" t="str">
        <f t="shared" si="1"/>
        <v/>
      </c>
      <c r="J30" s="6">
        <f t="shared" si="2"/>
        <v>0</v>
      </c>
      <c r="K30" s="4" t="str">
        <f t="shared" si="3"/>
        <v/>
      </c>
      <c r="L30" s="4" t="str">
        <f t="shared" si="4"/>
        <v/>
      </c>
      <c r="M30" s="4" t="b" cm="1">
        <f t="array" ref="M30">IF(H30="",FALSE,SUMPRODUCT(--(H$1:H29=H30))&gt;0)</f>
        <v>0</v>
      </c>
    </row>
    <row r="31" spans="1:13" x14ac:dyDescent="0.25">
      <c r="A31" s="9" t="str">
        <f>IF(OR(B31="",M31,G31="— ignored"),"",MAX(A$1:A30)+1)</f>
        <v/>
      </c>
      <c r="B31" s="10"/>
      <c r="C31" s="11" t="str">
        <f>IF(I31="","",ROUND((I31+0.5*MAX(0,CEILING(ROUND((MAX(C$1:C30)-1/48-I31)/0.5,6),1)))*1440,0)/1440)</f>
        <v/>
      </c>
      <c r="D31" s="9" t="str" cm="1">
        <f t="array" ref="D31">IF(H31="","",IFERROR(INDEX(Log!$C$19:$G$19,VALUE(MID(H31,FIND("#",H31)+1,1))),""))</f>
        <v/>
      </c>
      <c r="E31" s="9" t="str" cm="1">
        <f t="array" ref="E31">IF(OR(H31="",M31),"",IFERROR(_xlfn.LET(_xlpm.t,SUBSTITUTE(UPPER(H31),"م","M"),_xlpm.u,SUBSTITUTE(_xlpm.t,"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1" s="12"/>
      <c r="G31" s="13" t="str">
        <f>IF(B31="","",IF(M31,"⚠ Duplicate (not counted)",IF(AND(I31="",D31="",E31=""),"— ignored",IF(C31="","⚠ Time",IF(D31="","⚠ Plant",IF(E31="","⚠ Quantity",IF(AND(ISNUMBER(L31),COUNTIF(L$1:L30,L31)&gt;0),"⚠ Same serial "&amp;L31,IF(AND(ISNUMBER(L31),L31&gt;MIN($L$2:$L$1001),COUNTIF($L$2:$L$1001,L31-1)=0,COUNTIF($L$2:$L$1001,L31-2)&lt;2),"⚠ Missing serial "&amp;(L31-1),IF(AND(MAX(K$1:K30)&gt;0,N(K31)-MAX(K$1:K30)&gt;180),"⚠ Gap &gt; 3h",IF(C31-I31&gt;=0.99,"next day",IF(C31-I31&gt;0.4,"12h → 24h","")))))))))))</f>
        <v/>
      </c>
      <c r="H31" s="4" t="str">
        <f t="shared" si="0"/>
        <v/>
      </c>
      <c r="I31" s="5" t="str">
        <f t="shared" si="1"/>
        <v/>
      </c>
      <c r="J31" s="6">
        <f t="shared" si="2"/>
        <v>0</v>
      </c>
      <c r="K31" s="4" t="str">
        <f t="shared" si="3"/>
        <v/>
      </c>
      <c r="L31" s="4" t="str">
        <f t="shared" si="4"/>
        <v/>
      </c>
      <c r="M31" s="4" t="b" cm="1">
        <f t="array" ref="M31">IF(H31="",FALSE,SUMPRODUCT(--(H$1:H30=H31))&gt;0)</f>
        <v>0</v>
      </c>
    </row>
    <row r="32" spans="1:13" x14ac:dyDescent="0.25">
      <c r="A32" s="9" t="str">
        <f>IF(OR(B32="",M32,G32="— ignored"),"",MAX(A$1:A31)+1)</f>
        <v/>
      </c>
      <c r="B32" s="10"/>
      <c r="C32" s="11" t="str">
        <f>IF(I32="","",ROUND((I32+0.5*MAX(0,CEILING(ROUND((MAX(C$1:C31)-1/48-I32)/0.5,6),1)))*1440,0)/1440)</f>
        <v/>
      </c>
      <c r="D32" s="9" t="str" cm="1">
        <f t="array" ref="D32">IF(H32="","",IFERROR(INDEX(Log!$C$19:$G$19,VALUE(MID(H32,FIND("#",H32)+1,1))),""))</f>
        <v/>
      </c>
      <c r="E32" s="9" t="str" cm="1">
        <f t="array" ref="E32">IF(OR(H32="",M32),"",IFERROR(_xlfn.LET(_xlpm.t,SUBSTITUTE(UPPER(H32),"م","M"),_xlpm.u,SUBSTITUTE(_xlpm.t,"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2" s="12"/>
      <c r="G32" s="13" t="str">
        <f>IF(B32="","",IF(M32,"⚠ Duplicate (not counted)",IF(AND(I32="",D32="",E32=""),"— ignored",IF(C32="","⚠ Time",IF(D32="","⚠ Plant",IF(E32="","⚠ Quantity",IF(AND(ISNUMBER(L32),COUNTIF(L$1:L31,L32)&gt;0),"⚠ Same serial "&amp;L32,IF(AND(ISNUMBER(L32),L32&gt;MIN($L$2:$L$1001),COUNTIF($L$2:$L$1001,L32-1)=0,COUNTIF($L$2:$L$1001,L32-2)&lt;2),"⚠ Missing serial "&amp;(L32-1),IF(AND(MAX(K$1:K31)&gt;0,N(K32)-MAX(K$1:K31)&gt;180),"⚠ Gap &gt; 3h",IF(C32-I32&gt;=0.99,"next day",IF(C32-I32&gt;0.4,"12h → 24h","")))))))))))</f>
        <v/>
      </c>
      <c r="H32" s="4" t="str">
        <f t="shared" si="0"/>
        <v/>
      </c>
      <c r="I32" s="5" t="str">
        <f t="shared" si="1"/>
        <v/>
      </c>
      <c r="J32" s="6">
        <f t="shared" si="2"/>
        <v>0</v>
      </c>
      <c r="K32" s="4" t="str">
        <f t="shared" si="3"/>
        <v/>
      </c>
      <c r="L32" s="4" t="str">
        <f t="shared" si="4"/>
        <v/>
      </c>
      <c r="M32" s="4" t="b" cm="1">
        <f t="array" ref="M32">IF(H32="",FALSE,SUMPRODUCT(--(H$1:H31=H32))&gt;0)</f>
        <v>0</v>
      </c>
    </row>
    <row r="33" spans="1:13" x14ac:dyDescent="0.25">
      <c r="A33" s="9" t="str">
        <f>IF(OR(B33="",M33,G33="— ignored"),"",MAX(A$1:A32)+1)</f>
        <v/>
      </c>
      <c r="B33" s="10"/>
      <c r="C33" s="11" t="str">
        <f>IF(I33="","",ROUND((I33+0.5*MAX(0,CEILING(ROUND((MAX(C$1:C32)-1/48-I33)/0.5,6),1)))*1440,0)/1440)</f>
        <v/>
      </c>
      <c r="D33" s="9" t="str" cm="1">
        <f t="array" ref="D33">IF(H33="","",IFERROR(INDEX(Log!$C$19:$G$19,VALUE(MID(H33,FIND("#",H33)+1,1))),""))</f>
        <v/>
      </c>
      <c r="E33" s="9" t="str" cm="1">
        <f t="array" ref="E33">IF(OR(H33="",M33),"",IFERROR(_xlfn.LET(_xlpm.t,SUBSTITUTE(UPPER(H33),"م","M"),_xlpm.u,SUBSTITUTE(_xlpm.t,"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3" s="12"/>
      <c r="G33" s="13" t="str">
        <f>IF(B33="","",IF(M33,"⚠ Duplicate (not counted)",IF(AND(I33="",D33="",E33=""),"— ignored",IF(C33="","⚠ Time",IF(D33="","⚠ Plant",IF(E33="","⚠ Quantity",IF(AND(ISNUMBER(L33),COUNTIF(L$1:L32,L33)&gt;0),"⚠ Same serial "&amp;L33,IF(AND(ISNUMBER(L33),L33&gt;MIN($L$2:$L$1001),COUNTIF($L$2:$L$1001,L33-1)=0,COUNTIF($L$2:$L$1001,L33-2)&lt;2),"⚠ Missing serial "&amp;(L33-1),IF(AND(MAX(K$1:K32)&gt;0,N(K33)-MAX(K$1:K32)&gt;180),"⚠ Gap &gt; 3h",IF(C33-I33&gt;=0.99,"next day",IF(C33-I33&gt;0.4,"12h → 24h","")))))))))))</f>
        <v/>
      </c>
      <c r="H33" s="4" t="str">
        <f t="shared" si="0"/>
        <v/>
      </c>
      <c r="I33" s="5" t="str">
        <f t="shared" si="1"/>
        <v/>
      </c>
      <c r="J33" s="6">
        <f t="shared" si="2"/>
        <v>0</v>
      </c>
      <c r="K33" s="4" t="str">
        <f t="shared" si="3"/>
        <v/>
      </c>
      <c r="L33" s="4" t="str">
        <f t="shared" si="4"/>
        <v/>
      </c>
      <c r="M33" s="4" t="b" cm="1">
        <f t="array" ref="M33">IF(H33="",FALSE,SUMPRODUCT(--(H$1:H32=H33))&gt;0)</f>
        <v>0</v>
      </c>
    </row>
    <row r="34" spans="1:13" x14ac:dyDescent="0.25">
      <c r="A34" s="9" t="str">
        <f>IF(OR(B34="",M34,G34="— ignored"),"",MAX(A$1:A33)+1)</f>
        <v/>
      </c>
      <c r="B34" s="10"/>
      <c r="C34" s="11" t="str">
        <f>IF(I34="","",ROUND((I34+0.5*MAX(0,CEILING(ROUND((MAX(C$1:C33)-1/48-I34)/0.5,6),1)))*1440,0)/1440)</f>
        <v/>
      </c>
      <c r="D34" s="9" t="str" cm="1">
        <f t="array" ref="D34">IF(H34="","",IFERROR(INDEX(Log!$C$19:$G$19,VALUE(MID(H34,FIND("#",H34)+1,1))),""))</f>
        <v/>
      </c>
      <c r="E34" s="9" t="str" cm="1">
        <f t="array" ref="E34">IF(OR(H34="",M34),"",IFERROR(_xlfn.LET(_xlpm.t,SUBSTITUTE(UPPER(H34),"م","M"),_xlpm.u,SUBSTITUTE(_xlpm.t,"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4" s="12"/>
      <c r="G34" s="13" t="str">
        <f>IF(B34="","",IF(M34,"⚠ Duplicate (not counted)",IF(AND(I34="",D34="",E34=""),"— ignored",IF(C34="","⚠ Time",IF(D34="","⚠ Plant",IF(E34="","⚠ Quantity",IF(AND(ISNUMBER(L34),COUNTIF(L$1:L33,L34)&gt;0),"⚠ Same serial "&amp;L34,IF(AND(ISNUMBER(L34),L34&gt;MIN($L$2:$L$1001),COUNTIF($L$2:$L$1001,L34-1)=0,COUNTIF($L$2:$L$1001,L34-2)&lt;2),"⚠ Missing serial "&amp;(L34-1),IF(AND(MAX(K$1:K33)&gt;0,N(K34)-MAX(K$1:K33)&gt;180),"⚠ Gap &gt; 3h",IF(C34-I34&gt;=0.99,"next day",IF(C34-I34&gt;0.4,"12h → 24h","")))))))))))</f>
        <v/>
      </c>
      <c r="H34" s="4" t="str">
        <f t="shared" si="0"/>
        <v/>
      </c>
      <c r="I34" s="5" t="str">
        <f t="shared" si="1"/>
        <v/>
      </c>
      <c r="J34" s="6">
        <f t="shared" si="2"/>
        <v>0</v>
      </c>
      <c r="K34" s="4" t="str">
        <f t="shared" si="3"/>
        <v/>
      </c>
      <c r="L34" s="4" t="str">
        <f t="shared" si="4"/>
        <v/>
      </c>
      <c r="M34" s="4" t="b" cm="1">
        <f t="array" ref="M34">IF(H34="",FALSE,SUMPRODUCT(--(H$1:H33=H34))&gt;0)</f>
        <v>0</v>
      </c>
    </row>
    <row r="35" spans="1:13" x14ac:dyDescent="0.25">
      <c r="A35" s="9" t="str">
        <f>IF(OR(B35="",M35,G35="— ignored"),"",MAX(A$1:A34)+1)</f>
        <v/>
      </c>
      <c r="B35" s="10"/>
      <c r="C35" s="11" t="str">
        <f>IF(I35="","",ROUND((I35+0.5*MAX(0,CEILING(ROUND((MAX(C$1:C34)-1/48-I35)/0.5,6),1)))*1440,0)/1440)</f>
        <v/>
      </c>
      <c r="D35" s="9" t="str" cm="1">
        <f t="array" ref="D35">IF(H35="","",IFERROR(INDEX(Log!$C$19:$G$19,VALUE(MID(H35,FIND("#",H35)+1,1))),""))</f>
        <v/>
      </c>
      <c r="E35" s="9" t="str" cm="1">
        <f t="array" ref="E35">IF(OR(H35="",M35),"",IFERROR(_xlfn.LET(_xlpm.t,SUBSTITUTE(UPPER(H35),"م","M"),_xlpm.u,SUBSTITUTE(_xlpm.t,"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5" s="12"/>
      <c r="G35" s="13" t="str">
        <f>IF(B35="","",IF(M35,"⚠ Duplicate (not counted)",IF(AND(I35="",D35="",E35=""),"— ignored",IF(C35="","⚠ Time",IF(D35="","⚠ Plant",IF(E35="","⚠ Quantity",IF(AND(ISNUMBER(L35),COUNTIF(L$1:L34,L35)&gt;0),"⚠ Same serial "&amp;L35,IF(AND(ISNUMBER(L35),L35&gt;MIN($L$2:$L$1001),COUNTIF($L$2:$L$1001,L35-1)=0,COUNTIF($L$2:$L$1001,L35-2)&lt;2),"⚠ Missing serial "&amp;(L35-1),IF(AND(MAX(K$1:K34)&gt;0,N(K35)-MAX(K$1:K34)&gt;180),"⚠ Gap &gt; 3h",IF(C35-I35&gt;=0.99,"next day",IF(C35-I35&gt;0.4,"12h → 24h","")))))))))))</f>
        <v/>
      </c>
      <c r="H35" s="4" t="str">
        <f t="shared" si="0"/>
        <v/>
      </c>
      <c r="I35" s="5" t="str">
        <f t="shared" si="1"/>
        <v/>
      </c>
      <c r="J35" s="6">
        <f t="shared" si="2"/>
        <v>0</v>
      </c>
      <c r="K35" s="4" t="str">
        <f t="shared" si="3"/>
        <v/>
      </c>
      <c r="L35" s="4" t="str">
        <f t="shared" si="4"/>
        <v/>
      </c>
      <c r="M35" s="4" t="b" cm="1">
        <f t="array" ref="M35">IF(H35="",FALSE,SUMPRODUCT(--(H$1:H34=H35))&gt;0)</f>
        <v>0</v>
      </c>
    </row>
    <row r="36" spans="1:13" x14ac:dyDescent="0.25">
      <c r="A36" s="9" t="str">
        <f>IF(OR(B36="",M36,G36="— ignored"),"",MAX(A$1:A35)+1)</f>
        <v/>
      </c>
      <c r="B36" s="10"/>
      <c r="C36" s="11" t="str">
        <f>IF(I36="","",ROUND((I36+0.5*MAX(0,CEILING(ROUND((MAX(C$1:C35)-1/48-I36)/0.5,6),1)))*1440,0)/1440)</f>
        <v/>
      </c>
      <c r="D36" s="9" t="str" cm="1">
        <f t="array" ref="D36">IF(H36="","",IFERROR(INDEX(Log!$C$19:$G$19,VALUE(MID(H36,FIND("#",H36)+1,1))),""))</f>
        <v/>
      </c>
      <c r="E36" s="9" t="str" cm="1">
        <f t="array" ref="E36">IF(OR(H36="",M36),"",IFERROR(_xlfn.LET(_xlpm.t,SUBSTITUTE(UPPER(H36),"م","M"),_xlpm.u,SUBSTITUTE(_xlpm.t,"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6" s="12"/>
      <c r="G36" s="13" t="str">
        <f>IF(B36="","",IF(M36,"⚠ Duplicate (not counted)",IF(AND(I36="",D36="",E36=""),"— ignored",IF(C36="","⚠ Time",IF(D36="","⚠ Plant",IF(E36="","⚠ Quantity",IF(AND(ISNUMBER(L36),COUNTIF(L$1:L35,L36)&gt;0),"⚠ Same serial "&amp;L36,IF(AND(ISNUMBER(L36),L36&gt;MIN($L$2:$L$1001),COUNTIF($L$2:$L$1001,L36-1)=0,COUNTIF($L$2:$L$1001,L36-2)&lt;2),"⚠ Missing serial "&amp;(L36-1),IF(AND(MAX(K$1:K35)&gt;0,N(K36)-MAX(K$1:K35)&gt;180),"⚠ Gap &gt; 3h",IF(C36-I36&gt;=0.99,"next day",IF(C36-I36&gt;0.4,"12h → 24h","")))))))))))</f>
        <v/>
      </c>
      <c r="H36" s="4" t="str">
        <f t="shared" si="0"/>
        <v/>
      </c>
      <c r="I36" s="5" t="str">
        <f t="shared" si="1"/>
        <v/>
      </c>
      <c r="J36" s="6">
        <f t="shared" si="2"/>
        <v>0</v>
      </c>
      <c r="K36" s="4" t="str">
        <f t="shared" si="3"/>
        <v/>
      </c>
      <c r="L36" s="4" t="str">
        <f t="shared" si="4"/>
        <v/>
      </c>
      <c r="M36" s="4" t="b" cm="1">
        <f t="array" ref="M36">IF(H36="",FALSE,SUMPRODUCT(--(H$1:H35=H36))&gt;0)</f>
        <v>0</v>
      </c>
    </row>
    <row r="37" spans="1:13" x14ac:dyDescent="0.25">
      <c r="A37" s="9" t="str">
        <f>IF(OR(B37="",M37,G37="— ignored"),"",MAX(A$1:A36)+1)</f>
        <v/>
      </c>
      <c r="B37" s="10"/>
      <c r="C37" s="11" t="str">
        <f>IF(I37="","",ROUND((I37+0.5*MAX(0,CEILING(ROUND((MAX(C$1:C36)-1/48-I37)/0.5,6),1)))*1440,0)/1440)</f>
        <v/>
      </c>
      <c r="D37" s="9" t="str" cm="1">
        <f t="array" ref="D37">IF(H37="","",IFERROR(INDEX(Log!$C$19:$G$19,VALUE(MID(H37,FIND("#",H37)+1,1))),""))</f>
        <v/>
      </c>
      <c r="E37" s="9" t="str" cm="1">
        <f t="array" ref="E37">IF(OR(H37="",M37),"",IFERROR(_xlfn.LET(_xlpm.t,SUBSTITUTE(UPPER(H37),"م","M"),_xlpm.u,SUBSTITUTE(_xlpm.t,"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7" s="12"/>
      <c r="G37" s="13" t="str">
        <f>IF(B37="","",IF(M37,"⚠ Duplicate (not counted)",IF(AND(I37="",D37="",E37=""),"— ignored",IF(C37="","⚠ Time",IF(D37="","⚠ Plant",IF(E37="","⚠ Quantity",IF(AND(ISNUMBER(L37),COUNTIF(L$1:L36,L37)&gt;0),"⚠ Same serial "&amp;L37,IF(AND(ISNUMBER(L37),L37&gt;MIN($L$2:$L$1001),COUNTIF($L$2:$L$1001,L37-1)=0,COUNTIF($L$2:$L$1001,L37-2)&lt;2),"⚠ Missing serial "&amp;(L37-1),IF(AND(MAX(K$1:K36)&gt;0,N(K37)-MAX(K$1:K36)&gt;180),"⚠ Gap &gt; 3h",IF(C37-I37&gt;=0.99,"next day",IF(C37-I37&gt;0.4,"12h → 24h","")))))))))))</f>
        <v/>
      </c>
      <c r="H37" s="4" t="str">
        <f t="shared" si="0"/>
        <v/>
      </c>
      <c r="I37" s="5" t="str">
        <f t="shared" si="1"/>
        <v/>
      </c>
      <c r="J37" s="6">
        <f t="shared" si="2"/>
        <v>0</v>
      </c>
      <c r="K37" s="4" t="str">
        <f t="shared" si="3"/>
        <v/>
      </c>
      <c r="L37" s="4" t="str">
        <f t="shared" si="4"/>
        <v/>
      </c>
      <c r="M37" s="4" t="b" cm="1">
        <f t="array" ref="M37">IF(H37="",FALSE,SUMPRODUCT(--(H$1:H36=H37))&gt;0)</f>
        <v>0</v>
      </c>
    </row>
    <row r="38" spans="1:13" x14ac:dyDescent="0.25">
      <c r="A38" s="9" t="str">
        <f>IF(OR(B38="",M38,G38="— ignored"),"",MAX(A$1:A37)+1)</f>
        <v/>
      </c>
      <c r="B38" s="10"/>
      <c r="C38" s="11" t="str">
        <f>IF(I38="","",ROUND((I38+0.5*MAX(0,CEILING(ROUND((MAX(C$1:C37)-1/48-I38)/0.5,6),1)))*1440,0)/1440)</f>
        <v/>
      </c>
      <c r="D38" s="9" t="str" cm="1">
        <f t="array" ref="D38">IF(H38="","",IFERROR(INDEX(Log!$C$19:$G$19,VALUE(MID(H38,FIND("#",H38)+1,1))),""))</f>
        <v/>
      </c>
      <c r="E38" s="9" t="str" cm="1">
        <f t="array" ref="E38">IF(OR(H38="",M38),"",IFERROR(_xlfn.LET(_xlpm.t,SUBSTITUTE(UPPER(H38),"م","M"),_xlpm.u,SUBSTITUTE(_xlpm.t,"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8" s="12"/>
      <c r="G38" s="13" t="str">
        <f>IF(B38="","",IF(M38,"⚠ Duplicate (not counted)",IF(AND(I38="",D38="",E38=""),"— ignored",IF(C38="","⚠ Time",IF(D38="","⚠ Plant",IF(E38="","⚠ Quantity",IF(AND(ISNUMBER(L38),COUNTIF(L$1:L37,L38)&gt;0),"⚠ Same serial "&amp;L38,IF(AND(ISNUMBER(L38),L38&gt;MIN($L$2:$L$1001),COUNTIF($L$2:$L$1001,L38-1)=0,COUNTIF($L$2:$L$1001,L38-2)&lt;2),"⚠ Missing serial "&amp;(L38-1),IF(AND(MAX(K$1:K37)&gt;0,N(K38)-MAX(K$1:K37)&gt;180),"⚠ Gap &gt; 3h",IF(C38-I38&gt;=0.99,"next day",IF(C38-I38&gt;0.4,"12h → 24h","")))))))))))</f>
        <v/>
      </c>
      <c r="H38" s="4" t="str">
        <f t="shared" si="0"/>
        <v/>
      </c>
      <c r="I38" s="5" t="str">
        <f t="shared" si="1"/>
        <v/>
      </c>
      <c r="J38" s="6">
        <f t="shared" si="2"/>
        <v>0</v>
      </c>
      <c r="K38" s="4" t="str">
        <f t="shared" si="3"/>
        <v/>
      </c>
      <c r="L38" s="4" t="str">
        <f t="shared" si="4"/>
        <v/>
      </c>
      <c r="M38" s="4" t="b" cm="1">
        <f t="array" ref="M38">IF(H38="",FALSE,SUMPRODUCT(--(H$1:H37=H38))&gt;0)</f>
        <v>0</v>
      </c>
    </row>
    <row r="39" spans="1:13" x14ac:dyDescent="0.25">
      <c r="A39" s="9" t="str">
        <f>IF(OR(B39="",M39,G39="— ignored"),"",MAX(A$1:A38)+1)</f>
        <v/>
      </c>
      <c r="B39" s="10"/>
      <c r="C39" s="11" t="str">
        <f>IF(I39="","",ROUND((I39+0.5*MAX(0,CEILING(ROUND((MAX(C$1:C38)-1/48-I39)/0.5,6),1)))*1440,0)/1440)</f>
        <v/>
      </c>
      <c r="D39" s="9" t="str" cm="1">
        <f t="array" ref="D39">IF(H39="","",IFERROR(INDEX(Log!$C$19:$G$19,VALUE(MID(H39,FIND("#",H39)+1,1))),""))</f>
        <v/>
      </c>
      <c r="E39" s="9" t="str" cm="1">
        <f t="array" ref="E39">IF(OR(H39="",M39),"",IFERROR(_xlfn.LET(_xlpm.t,SUBSTITUTE(UPPER(H39),"م","M"),_xlpm.u,SUBSTITUTE(_xlpm.t,"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9" s="12"/>
      <c r="G39" s="13" t="str">
        <f>IF(B39="","",IF(M39,"⚠ Duplicate (not counted)",IF(AND(I39="",D39="",E39=""),"— ignored",IF(C39="","⚠ Time",IF(D39="","⚠ Plant",IF(E39="","⚠ Quantity",IF(AND(ISNUMBER(L39),COUNTIF(L$1:L38,L39)&gt;0),"⚠ Same serial "&amp;L39,IF(AND(ISNUMBER(L39),L39&gt;MIN($L$2:$L$1001),COUNTIF($L$2:$L$1001,L39-1)=0,COUNTIF($L$2:$L$1001,L39-2)&lt;2),"⚠ Missing serial "&amp;(L39-1),IF(AND(MAX(K$1:K38)&gt;0,N(K39)-MAX(K$1:K38)&gt;180),"⚠ Gap &gt; 3h",IF(C39-I39&gt;=0.99,"next day",IF(C39-I39&gt;0.4,"12h → 24h","")))))))))))</f>
        <v/>
      </c>
      <c r="H39" s="4" t="str">
        <f t="shared" si="0"/>
        <v/>
      </c>
      <c r="I39" s="5" t="str">
        <f t="shared" si="1"/>
        <v/>
      </c>
      <c r="J39" s="6">
        <f t="shared" si="2"/>
        <v>0</v>
      </c>
      <c r="K39" s="4" t="str">
        <f t="shared" si="3"/>
        <v/>
      </c>
      <c r="L39" s="4" t="str">
        <f t="shared" si="4"/>
        <v/>
      </c>
      <c r="M39" s="4" t="b" cm="1">
        <f t="array" ref="M39">IF(H39="",FALSE,SUMPRODUCT(--(H$1:H38=H39))&gt;0)</f>
        <v>0</v>
      </c>
    </row>
    <row r="40" spans="1:13" x14ac:dyDescent="0.25">
      <c r="A40" s="9" t="str">
        <f>IF(OR(B40="",M40,G40="— ignored"),"",MAX(A$1:A39)+1)</f>
        <v/>
      </c>
      <c r="B40" s="10"/>
      <c r="C40" s="11" t="str">
        <f>IF(I40="","",ROUND((I40+0.5*MAX(0,CEILING(ROUND((MAX(C$1:C39)-1/48-I40)/0.5,6),1)))*1440,0)/1440)</f>
        <v/>
      </c>
      <c r="D40" s="9" t="str" cm="1">
        <f t="array" ref="D40">IF(H40="","",IFERROR(INDEX(Log!$C$19:$G$19,VALUE(MID(H40,FIND("#",H40)+1,1))),""))</f>
        <v/>
      </c>
      <c r="E40" s="9" t="str" cm="1">
        <f t="array" ref="E40">IF(OR(H40="",M40),"",IFERROR(_xlfn.LET(_xlpm.t,SUBSTITUTE(UPPER(H40),"م","M"),_xlpm.u,SUBSTITUTE(_xlpm.t,"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0" s="12"/>
      <c r="G40" s="13" t="str">
        <f>IF(B40="","",IF(M40,"⚠ Duplicate (not counted)",IF(AND(I40="",D40="",E40=""),"— ignored",IF(C40="","⚠ Time",IF(D40="","⚠ Plant",IF(E40="","⚠ Quantity",IF(AND(ISNUMBER(L40),COUNTIF(L$1:L39,L40)&gt;0),"⚠ Same serial "&amp;L40,IF(AND(ISNUMBER(L40),L40&gt;MIN($L$2:$L$1001),COUNTIF($L$2:$L$1001,L40-1)=0,COUNTIF($L$2:$L$1001,L40-2)&lt;2),"⚠ Missing serial "&amp;(L40-1),IF(AND(MAX(K$1:K39)&gt;0,N(K40)-MAX(K$1:K39)&gt;180),"⚠ Gap &gt; 3h",IF(C40-I40&gt;=0.99,"next day",IF(C40-I40&gt;0.4,"12h → 24h","")))))))))))</f>
        <v/>
      </c>
      <c r="H40" s="4" t="str">
        <f t="shared" si="0"/>
        <v/>
      </c>
      <c r="I40" s="5" t="str">
        <f t="shared" si="1"/>
        <v/>
      </c>
      <c r="J40" s="6">
        <f t="shared" si="2"/>
        <v>0</v>
      </c>
      <c r="K40" s="4" t="str">
        <f t="shared" si="3"/>
        <v/>
      </c>
      <c r="L40" s="4" t="str">
        <f t="shared" si="4"/>
        <v/>
      </c>
      <c r="M40" s="4" t="b" cm="1">
        <f t="array" ref="M40">IF(H40="",FALSE,SUMPRODUCT(--(H$1:H39=H40))&gt;0)</f>
        <v>0</v>
      </c>
    </row>
    <row r="41" spans="1:13" x14ac:dyDescent="0.25">
      <c r="A41" s="9" t="str">
        <f>IF(OR(B41="",M41,G41="— ignored"),"",MAX(A$1:A40)+1)</f>
        <v/>
      </c>
      <c r="B41" s="10"/>
      <c r="C41" s="11" t="str">
        <f>IF(I41="","",ROUND((I41+0.5*MAX(0,CEILING(ROUND((MAX(C$1:C40)-1/48-I41)/0.5,6),1)))*1440,0)/1440)</f>
        <v/>
      </c>
      <c r="D41" s="9" t="str" cm="1">
        <f t="array" ref="D41">IF(H41="","",IFERROR(INDEX(Log!$C$19:$G$19,VALUE(MID(H41,FIND("#",H41)+1,1))),""))</f>
        <v/>
      </c>
      <c r="E41" s="9" t="str" cm="1">
        <f t="array" ref="E41">IF(OR(H41="",M41),"",IFERROR(_xlfn.LET(_xlpm.t,SUBSTITUTE(UPPER(H41),"م","M"),_xlpm.u,SUBSTITUTE(_xlpm.t,"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1" s="12"/>
      <c r="G41" s="13" t="str">
        <f>IF(B41="","",IF(M41,"⚠ Duplicate (not counted)",IF(AND(I41="",D41="",E41=""),"— ignored",IF(C41="","⚠ Time",IF(D41="","⚠ Plant",IF(E41="","⚠ Quantity",IF(AND(ISNUMBER(L41),COUNTIF(L$1:L40,L41)&gt;0),"⚠ Same serial "&amp;L41,IF(AND(ISNUMBER(L41),L41&gt;MIN($L$2:$L$1001),COUNTIF($L$2:$L$1001,L41-1)=0,COUNTIF($L$2:$L$1001,L41-2)&lt;2),"⚠ Missing serial "&amp;(L41-1),IF(AND(MAX(K$1:K40)&gt;0,N(K41)-MAX(K$1:K40)&gt;180),"⚠ Gap &gt; 3h",IF(C41-I41&gt;=0.99,"next day",IF(C41-I41&gt;0.4,"12h → 24h","")))))))))))</f>
        <v/>
      </c>
      <c r="H41" s="4" t="str">
        <f t="shared" si="0"/>
        <v/>
      </c>
      <c r="I41" s="5" t="str">
        <f t="shared" si="1"/>
        <v/>
      </c>
      <c r="J41" s="6">
        <f t="shared" si="2"/>
        <v>0</v>
      </c>
      <c r="K41" s="4" t="str">
        <f t="shared" si="3"/>
        <v/>
      </c>
      <c r="L41" s="4" t="str">
        <f t="shared" si="4"/>
        <v/>
      </c>
      <c r="M41" s="4" t="b" cm="1">
        <f t="array" ref="M41">IF(H41="",FALSE,SUMPRODUCT(--(H$1:H40=H41))&gt;0)</f>
        <v>0</v>
      </c>
    </row>
    <row r="42" spans="1:13" x14ac:dyDescent="0.25">
      <c r="A42" s="9" t="str">
        <f>IF(OR(B42="",M42,G42="— ignored"),"",MAX(A$1:A41)+1)</f>
        <v/>
      </c>
      <c r="B42" s="10"/>
      <c r="C42" s="11" t="str">
        <f>IF(I42="","",ROUND((I42+0.5*MAX(0,CEILING(ROUND((MAX(C$1:C41)-1/48-I42)/0.5,6),1)))*1440,0)/1440)</f>
        <v/>
      </c>
      <c r="D42" s="9" t="str" cm="1">
        <f t="array" ref="D42">IF(H42="","",IFERROR(INDEX(Log!$C$19:$G$19,VALUE(MID(H42,FIND("#",H42)+1,1))),""))</f>
        <v/>
      </c>
      <c r="E42" s="9" t="str" cm="1">
        <f t="array" ref="E42">IF(OR(H42="",M42),"",IFERROR(_xlfn.LET(_xlpm.t,SUBSTITUTE(UPPER(H42),"م","M"),_xlpm.u,SUBSTITUTE(_xlpm.t,"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2" s="12"/>
      <c r="G42" s="13" t="str">
        <f>IF(B42="","",IF(M42,"⚠ Duplicate (not counted)",IF(AND(I42="",D42="",E42=""),"— ignored",IF(C42="","⚠ Time",IF(D42="","⚠ Plant",IF(E42="","⚠ Quantity",IF(AND(ISNUMBER(L42),COUNTIF(L$1:L41,L42)&gt;0),"⚠ Same serial "&amp;L42,IF(AND(ISNUMBER(L42),L42&gt;MIN($L$2:$L$1001),COUNTIF($L$2:$L$1001,L42-1)=0,COUNTIF($L$2:$L$1001,L42-2)&lt;2),"⚠ Missing serial "&amp;(L42-1),IF(AND(MAX(K$1:K41)&gt;0,N(K42)-MAX(K$1:K41)&gt;180),"⚠ Gap &gt; 3h",IF(C42-I42&gt;=0.99,"next day",IF(C42-I42&gt;0.4,"12h → 24h","")))))))))))</f>
        <v/>
      </c>
      <c r="H42" s="4" t="str">
        <f t="shared" si="0"/>
        <v/>
      </c>
      <c r="I42" s="5" t="str">
        <f t="shared" si="1"/>
        <v/>
      </c>
      <c r="J42" s="6">
        <f t="shared" si="2"/>
        <v>0</v>
      </c>
      <c r="K42" s="4" t="str">
        <f t="shared" si="3"/>
        <v/>
      </c>
      <c r="L42" s="4" t="str">
        <f t="shared" si="4"/>
        <v/>
      </c>
      <c r="M42" s="4" t="b" cm="1">
        <f t="array" ref="M42">IF(H42="",FALSE,SUMPRODUCT(--(H$1:H41=H42))&gt;0)</f>
        <v>0</v>
      </c>
    </row>
    <row r="43" spans="1:13" x14ac:dyDescent="0.25">
      <c r="A43" s="9" t="str">
        <f>IF(OR(B43="",M43,G43="— ignored"),"",MAX(A$1:A42)+1)</f>
        <v/>
      </c>
      <c r="B43" s="10"/>
      <c r="C43" s="11" t="str">
        <f>IF(I43="","",ROUND((I43+0.5*MAX(0,CEILING(ROUND((MAX(C$1:C42)-1/48-I43)/0.5,6),1)))*1440,0)/1440)</f>
        <v/>
      </c>
      <c r="D43" s="9" t="str" cm="1">
        <f t="array" ref="D43">IF(H43="","",IFERROR(INDEX(Log!$C$19:$G$19,VALUE(MID(H43,FIND("#",H43)+1,1))),""))</f>
        <v/>
      </c>
      <c r="E43" s="9" t="str" cm="1">
        <f t="array" ref="E43">IF(OR(H43="",M43),"",IFERROR(_xlfn.LET(_xlpm.t,SUBSTITUTE(UPPER(H43),"م","M"),_xlpm.u,SUBSTITUTE(_xlpm.t,"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3" s="12"/>
      <c r="G43" s="13" t="str">
        <f>IF(B43="","",IF(M43,"⚠ Duplicate (not counted)",IF(AND(I43="",D43="",E43=""),"— ignored",IF(C43="","⚠ Time",IF(D43="","⚠ Plant",IF(E43="","⚠ Quantity",IF(AND(ISNUMBER(L43),COUNTIF(L$1:L42,L43)&gt;0),"⚠ Same serial "&amp;L43,IF(AND(ISNUMBER(L43),L43&gt;MIN($L$2:$L$1001),COUNTIF($L$2:$L$1001,L43-1)=0,COUNTIF($L$2:$L$1001,L43-2)&lt;2),"⚠ Missing serial "&amp;(L43-1),IF(AND(MAX(K$1:K42)&gt;0,N(K43)-MAX(K$1:K42)&gt;180),"⚠ Gap &gt; 3h",IF(C43-I43&gt;=0.99,"next day",IF(C43-I43&gt;0.4,"12h → 24h","")))))))))))</f>
        <v/>
      </c>
      <c r="H43" s="4" t="str">
        <f t="shared" si="0"/>
        <v/>
      </c>
      <c r="I43" s="5" t="str">
        <f t="shared" si="1"/>
        <v/>
      </c>
      <c r="J43" s="6">
        <f t="shared" si="2"/>
        <v>0</v>
      </c>
      <c r="K43" s="4" t="str">
        <f t="shared" si="3"/>
        <v/>
      </c>
      <c r="L43" s="4" t="str">
        <f t="shared" si="4"/>
        <v/>
      </c>
      <c r="M43" s="4" t="b" cm="1">
        <f t="array" ref="M43">IF(H43="",FALSE,SUMPRODUCT(--(H$1:H42=H43))&gt;0)</f>
        <v>0</v>
      </c>
    </row>
    <row r="44" spans="1:13" x14ac:dyDescent="0.25">
      <c r="A44" s="9" t="str">
        <f>IF(OR(B44="",M44,G44="— ignored"),"",MAX(A$1:A43)+1)</f>
        <v/>
      </c>
      <c r="B44" s="10"/>
      <c r="C44" s="11" t="str">
        <f>IF(I44="","",ROUND((I44+0.5*MAX(0,CEILING(ROUND((MAX(C$1:C43)-1/48-I44)/0.5,6),1)))*1440,0)/1440)</f>
        <v/>
      </c>
      <c r="D44" s="9" t="str" cm="1">
        <f t="array" ref="D44">IF(H44="","",IFERROR(INDEX(Log!$C$19:$G$19,VALUE(MID(H44,FIND("#",H44)+1,1))),""))</f>
        <v/>
      </c>
      <c r="E44" s="9" t="str" cm="1">
        <f t="array" ref="E44">IF(OR(H44="",M44),"",IFERROR(_xlfn.LET(_xlpm.t,SUBSTITUTE(UPPER(H44),"م","M"),_xlpm.u,SUBSTITUTE(_xlpm.t,"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4" s="12"/>
      <c r="G44" s="13" t="str">
        <f>IF(B44="","",IF(M44,"⚠ Duplicate (not counted)",IF(AND(I44="",D44="",E44=""),"— ignored",IF(C44="","⚠ Time",IF(D44="","⚠ Plant",IF(E44="","⚠ Quantity",IF(AND(ISNUMBER(L44),COUNTIF(L$1:L43,L44)&gt;0),"⚠ Same serial "&amp;L44,IF(AND(ISNUMBER(L44),L44&gt;MIN($L$2:$L$1001),COUNTIF($L$2:$L$1001,L44-1)=0,COUNTIF($L$2:$L$1001,L44-2)&lt;2),"⚠ Missing serial "&amp;(L44-1),IF(AND(MAX(K$1:K43)&gt;0,N(K44)-MAX(K$1:K43)&gt;180),"⚠ Gap &gt; 3h",IF(C44-I44&gt;=0.99,"next day",IF(C44-I44&gt;0.4,"12h → 24h","")))))))))))</f>
        <v/>
      </c>
      <c r="H44" s="4" t="str">
        <f t="shared" si="0"/>
        <v/>
      </c>
      <c r="I44" s="5" t="str">
        <f t="shared" si="1"/>
        <v/>
      </c>
      <c r="J44" s="6">
        <f t="shared" si="2"/>
        <v>0</v>
      </c>
      <c r="K44" s="4" t="str">
        <f t="shared" si="3"/>
        <v/>
      </c>
      <c r="L44" s="4" t="str">
        <f t="shared" si="4"/>
        <v/>
      </c>
      <c r="M44" s="4" t="b" cm="1">
        <f t="array" ref="M44">IF(H44="",FALSE,SUMPRODUCT(--(H$1:H43=H44))&gt;0)</f>
        <v>0</v>
      </c>
    </row>
    <row r="45" spans="1:13" x14ac:dyDescent="0.25">
      <c r="A45" s="9" t="str">
        <f>IF(OR(B45="",M45,G45="— ignored"),"",MAX(A$1:A44)+1)</f>
        <v/>
      </c>
      <c r="B45" s="10"/>
      <c r="C45" s="11" t="str">
        <f>IF(I45="","",ROUND((I45+0.5*MAX(0,CEILING(ROUND((MAX(C$1:C44)-1/48-I45)/0.5,6),1)))*1440,0)/1440)</f>
        <v/>
      </c>
      <c r="D45" s="9" t="str" cm="1">
        <f t="array" ref="D45">IF(H45="","",IFERROR(INDEX(Log!$C$19:$G$19,VALUE(MID(H45,FIND("#",H45)+1,1))),""))</f>
        <v/>
      </c>
      <c r="E45" s="9" t="str" cm="1">
        <f t="array" ref="E45">IF(OR(H45="",M45),"",IFERROR(_xlfn.LET(_xlpm.t,SUBSTITUTE(UPPER(H45),"م","M"),_xlpm.u,SUBSTITUTE(_xlpm.t,"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5" s="12"/>
      <c r="G45" s="13" t="str">
        <f>IF(B45="","",IF(M45,"⚠ Duplicate (not counted)",IF(AND(I45="",D45="",E45=""),"— ignored",IF(C45="","⚠ Time",IF(D45="","⚠ Plant",IF(E45="","⚠ Quantity",IF(AND(ISNUMBER(L45),COUNTIF(L$1:L44,L45)&gt;0),"⚠ Same serial "&amp;L45,IF(AND(ISNUMBER(L45),L45&gt;MIN($L$2:$L$1001),COUNTIF($L$2:$L$1001,L45-1)=0,COUNTIF($L$2:$L$1001,L45-2)&lt;2),"⚠ Missing serial "&amp;(L45-1),IF(AND(MAX(K$1:K44)&gt;0,N(K45)-MAX(K$1:K44)&gt;180),"⚠ Gap &gt; 3h",IF(C45-I45&gt;=0.99,"next day",IF(C45-I45&gt;0.4,"12h → 24h","")))))))))))</f>
        <v/>
      </c>
      <c r="H45" s="4" t="str">
        <f t="shared" si="0"/>
        <v/>
      </c>
      <c r="I45" s="5" t="str">
        <f t="shared" si="1"/>
        <v/>
      </c>
      <c r="J45" s="6">
        <f t="shared" si="2"/>
        <v>0</v>
      </c>
      <c r="K45" s="4" t="str">
        <f t="shared" si="3"/>
        <v/>
      </c>
      <c r="L45" s="4" t="str">
        <f t="shared" si="4"/>
        <v/>
      </c>
      <c r="M45" s="4" t="b" cm="1">
        <f t="array" ref="M45">IF(H45="",FALSE,SUMPRODUCT(--(H$1:H44=H45))&gt;0)</f>
        <v>0</v>
      </c>
    </row>
    <row r="46" spans="1:13" x14ac:dyDescent="0.25">
      <c r="A46" s="9" t="str">
        <f>IF(OR(B46="",M46,G46="— ignored"),"",MAX(A$1:A45)+1)</f>
        <v/>
      </c>
      <c r="B46" s="10"/>
      <c r="C46" s="11" t="str">
        <f>IF(I46="","",ROUND((I46+0.5*MAX(0,CEILING(ROUND((MAX(C$1:C45)-1/48-I46)/0.5,6),1)))*1440,0)/1440)</f>
        <v/>
      </c>
      <c r="D46" s="9" t="str" cm="1">
        <f t="array" ref="D46">IF(H46="","",IFERROR(INDEX(Log!$C$19:$G$19,VALUE(MID(H46,FIND("#",H46)+1,1))),""))</f>
        <v/>
      </c>
      <c r="E46" s="9" t="str" cm="1">
        <f t="array" ref="E46">IF(OR(H46="",M46),"",IFERROR(_xlfn.LET(_xlpm.t,SUBSTITUTE(UPPER(H46),"م","M"),_xlpm.u,SUBSTITUTE(_xlpm.t,"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6" s="12"/>
      <c r="G46" s="13" t="str">
        <f>IF(B46="","",IF(M46,"⚠ Duplicate (not counted)",IF(AND(I46="",D46="",E46=""),"— ignored",IF(C46="","⚠ Time",IF(D46="","⚠ Plant",IF(E46="","⚠ Quantity",IF(AND(ISNUMBER(L46),COUNTIF(L$1:L45,L46)&gt;0),"⚠ Same serial "&amp;L46,IF(AND(ISNUMBER(L46),L46&gt;MIN($L$2:$L$1001),COUNTIF($L$2:$L$1001,L46-1)=0,COUNTIF($L$2:$L$1001,L46-2)&lt;2),"⚠ Missing serial "&amp;(L46-1),IF(AND(MAX(K$1:K45)&gt;0,N(K46)-MAX(K$1:K45)&gt;180),"⚠ Gap &gt; 3h",IF(C46-I46&gt;=0.99,"next day",IF(C46-I46&gt;0.4,"12h → 24h","")))))))))))</f>
        <v/>
      </c>
      <c r="H46" s="4" t="str">
        <f t="shared" si="0"/>
        <v/>
      </c>
      <c r="I46" s="5" t="str">
        <f t="shared" si="1"/>
        <v/>
      </c>
      <c r="J46" s="6">
        <f t="shared" si="2"/>
        <v>0</v>
      </c>
      <c r="K46" s="4" t="str">
        <f t="shared" si="3"/>
        <v/>
      </c>
      <c r="L46" s="4" t="str">
        <f t="shared" si="4"/>
        <v/>
      </c>
      <c r="M46" s="4" t="b" cm="1">
        <f t="array" ref="M46">IF(H46="",FALSE,SUMPRODUCT(--(H$1:H45=H46))&gt;0)</f>
        <v>0</v>
      </c>
    </row>
    <row r="47" spans="1:13" x14ac:dyDescent="0.25">
      <c r="A47" s="9" t="str">
        <f>IF(OR(B47="",M47,G47="— ignored"),"",MAX(A$1:A46)+1)</f>
        <v/>
      </c>
      <c r="B47" s="10"/>
      <c r="C47" s="11" t="str">
        <f>IF(I47="","",ROUND((I47+0.5*MAX(0,CEILING(ROUND((MAX(C$1:C46)-1/48-I47)/0.5,6),1)))*1440,0)/1440)</f>
        <v/>
      </c>
      <c r="D47" s="9" t="str" cm="1">
        <f t="array" ref="D47">IF(H47="","",IFERROR(INDEX(Log!$C$19:$G$19,VALUE(MID(H47,FIND("#",H47)+1,1))),""))</f>
        <v/>
      </c>
      <c r="E47" s="9" t="str" cm="1">
        <f t="array" ref="E47">IF(OR(H47="",M47),"",IFERROR(_xlfn.LET(_xlpm.t,SUBSTITUTE(UPPER(H47),"م","M"),_xlpm.u,SUBSTITUTE(_xlpm.t,"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7" s="12"/>
      <c r="G47" s="13" t="str">
        <f>IF(B47="","",IF(M47,"⚠ Duplicate (not counted)",IF(AND(I47="",D47="",E47=""),"— ignored",IF(C47="","⚠ Time",IF(D47="","⚠ Plant",IF(E47="","⚠ Quantity",IF(AND(ISNUMBER(L47),COUNTIF(L$1:L46,L47)&gt;0),"⚠ Same serial "&amp;L47,IF(AND(ISNUMBER(L47),L47&gt;MIN($L$2:$L$1001),COUNTIF($L$2:$L$1001,L47-1)=0,COUNTIF($L$2:$L$1001,L47-2)&lt;2),"⚠ Missing serial "&amp;(L47-1),IF(AND(MAX(K$1:K46)&gt;0,N(K47)-MAX(K$1:K46)&gt;180),"⚠ Gap &gt; 3h",IF(C47-I47&gt;=0.99,"next day",IF(C47-I47&gt;0.4,"12h → 24h","")))))))))))</f>
        <v/>
      </c>
      <c r="H47" s="4" t="str">
        <f t="shared" si="0"/>
        <v/>
      </c>
      <c r="I47" s="5" t="str">
        <f t="shared" si="1"/>
        <v/>
      </c>
      <c r="J47" s="6">
        <f t="shared" si="2"/>
        <v>0</v>
      </c>
      <c r="K47" s="4" t="str">
        <f t="shared" si="3"/>
        <v/>
      </c>
      <c r="L47" s="4" t="str">
        <f t="shared" si="4"/>
        <v/>
      </c>
      <c r="M47" s="4" t="b" cm="1">
        <f t="array" ref="M47">IF(H47="",FALSE,SUMPRODUCT(--(H$1:H46=H47))&gt;0)</f>
        <v>0</v>
      </c>
    </row>
    <row r="48" spans="1:13" x14ac:dyDescent="0.25">
      <c r="A48" s="9" t="str">
        <f>IF(OR(B48="",M48,G48="— ignored"),"",MAX(A$1:A47)+1)</f>
        <v/>
      </c>
      <c r="B48" s="10"/>
      <c r="C48" s="11" t="str">
        <f>IF(I48="","",ROUND((I48+0.5*MAX(0,CEILING(ROUND((MAX(C$1:C47)-1/48-I48)/0.5,6),1)))*1440,0)/1440)</f>
        <v/>
      </c>
      <c r="D48" s="9" t="str" cm="1">
        <f t="array" ref="D48">IF(H48="","",IFERROR(INDEX(Log!$C$19:$G$19,VALUE(MID(H48,FIND("#",H48)+1,1))),""))</f>
        <v/>
      </c>
      <c r="E48" s="9" t="str" cm="1">
        <f t="array" ref="E48">IF(OR(H48="",M48),"",IFERROR(_xlfn.LET(_xlpm.t,SUBSTITUTE(UPPER(H48),"م","M"),_xlpm.u,SUBSTITUTE(_xlpm.t,"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8" s="12"/>
      <c r="G48" s="13" t="str">
        <f>IF(B48="","",IF(M48,"⚠ Duplicate (not counted)",IF(AND(I48="",D48="",E48=""),"— ignored",IF(C48="","⚠ Time",IF(D48="","⚠ Plant",IF(E48="","⚠ Quantity",IF(AND(ISNUMBER(L48),COUNTIF(L$1:L47,L48)&gt;0),"⚠ Same serial "&amp;L48,IF(AND(ISNUMBER(L48),L48&gt;MIN($L$2:$L$1001),COUNTIF($L$2:$L$1001,L48-1)=0,COUNTIF($L$2:$L$1001,L48-2)&lt;2),"⚠ Missing serial "&amp;(L48-1),IF(AND(MAX(K$1:K47)&gt;0,N(K48)-MAX(K$1:K47)&gt;180),"⚠ Gap &gt; 3h",IF(C48-I48&gt;=0.99,"next day",IF(C48-I48&gt;0.4,"12h → 24h","")))))))))))</f>
        <v/>
      </c>
      <c r="H48" s="4" t="str">
        <f t="shared" si="0"/>
        <v/>
      </c>
      <c r="I48" s="5" t="str">
        <f t="shared" si="1"/>
        <v/>
      </c>
      <c r="J48" s="6">
        <f t="shared" si="2"/>
        <v>0</v>
      </c>
      <c r="K48" s="4" t="str">
        <f t="shared" si="3"/>
        <v/>
      </c>
      <c r="L48" s="4" t="str">
        <f t="shared" si="4"/>
        <v/>
      </c>
      <c r="M48" s="4" t="b" cm="1">
        <f t="array" ref="M48">IF(H48="",FALSE,SUMPRODUCT(--(H$1:H47=H48))&gt;0)</f>
        <v>0</v>
      </c>
    </row>
    <row r="49" spans="1:13" x14ac:dyDescent="0.25">
      <c r="A49" s="9" t="str">
        <f>IF(OR(B49="",M49,G49="— ignored"),"",MAX(A$1:A48)+1)</f>
        <v/>
      </c>
      <c r="B49" s="10"/>
      <c r="C49" s="11" t="str">
        <f>IF(I49="","",ROUND((I49+0.5*MAX(0,CEILING(ROUND((MAX(C$1:C48)-1/48-I49)/0.5,6),1)))*1440,0)/1440)</f>
        <v/>
      </c>
      <c r="D49" s="9" t="str" cm="1">
        <f t="array" ref="D49">IF(H49="","",IFERROR(INDEX(Log!$C$19:$G$19,VALUE(MID(H49,FIND("#",H49)+1,1))),""))</f>
        <v/>
      </c>
      <c r="E49" s="9" t="str" cm="1">
        <f t="array" ref="E49">IF(OR(H49="",M49),"",IFERROR(_xlfn.LET(_xlpm.t,SUBSTITUTE(UPPER(H49),"م","M"),_xlpm.u,SUBSTITUTE(_xlpm.t,"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9" s="12"/>
      <c r="G49" s="13" t="str">
        <f>IF(B49="","",IF(M49,"⚠ Duplicate (not counted)",IF(AND(I49="",D49="",E49=""),"— ignored",IF(C49="","⚠ Time",IF(D49="","⚠ Plant",IF(E49="","⚠ Quantity",IF(AND(ISNUMBER(L49),COUNTIF(L$1:L48,L49)&gt;0),"⚠ Same serial "&amp;L49,IF(AND(ISNUMBER(L49),L49&gt;MIN($L$2:$L$1001),COUNTIF($L$2:$L$1001,L49-1)=0,COUNTIF($L$2:$L$1001,L49-2)&lt;2),"⚠ Missing serial "&amp;(L49-1),IF(AND(MAX(K$1:K48)&gt;0,N(K49)-MAX(K$1:K48)&gt;180),"⚠ Gap &gt; 3h",IF(C49-I49&gt;=0.99,"next day",IF(C49-I49&gt;0.4,"12h → 24h","")))))))))))</f>
        <v/>
      </c>
      <c r="H49" s="4" t="str">
        <f t="shared" si="0"/>
        <v/>
      </c>
      <c r="I49" s="5" t="str">
        <f t="shared" si="1"/>
        <v/>
      </c>
      <c r="J49" s="6">
        <f t="shared" si="2"/>
        <v>0</v>
      </c>
      <c r="K49" s="4" t="str">
        <f t="shared" si="3"/>
        <v/>
      </c>
      <c r="L49" s="4" t="str">
        <f t="shared" si="4"/>
        <v/>
      </c>
      <c r="M49" s="4" t="b" cm="1">
        <f t="array" ref="M49">IF(H49="",FALSE,SUMPRODUCT(--(H$1:H48=H49))&gt;0)</f>
        <v>0</v>
      </c>
    </row>
    <row r="50" spans="1:13" x14ac:dyDescent="0.25">
      <c r="A50" s="9" t="str">
        <f>IF(OR(B50="",M50,G50="— ignored"),"",MAX(A$1:A49)+1)</f>
        <v/>
      </c>
      <c r="B50" s="10"/>
      <c r="C50" s="11" t="str">
        <f>IF(I50="","",ROUND((I50+0.5*MAX(0,CEILING(ROUND((MAX(C$1:C49)-1/48-I50)/0.5,6),1)))*1440,0)/1440)</f>
        <v/>
      </c>
      <c r="D50" s="9" t="str" cm="1">
        <f t="array" ref="D50">IF(H50="","",IFERROR(INDEX(Log!$C$19:$G$19,VALUE(MID(H50,FIND("#",H50)+1,1))),""))</f>
        <v/>
      </c>
      <c r="E50" s="9" t="str" cm="1">
        <f t="array" ref="E50">IF(OR(H50="",M50),"",IFERROR(_xlfn.LET(_xlpm.t,SUBSTITUTE(UPPER(H50),"م","M"),_xlpm.u,SUBSTITUTE(_xlpm.t,"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0" s="12"/>
      <c r="G50" s="13" t="str">
        <f>IF(B50="","",IF(M50,"⚠ Duplicate (not counted)",IF(AND(I50="",D50="",E50=""),"— ignored",IF(C50="","⚠ Time",IF(D50="","⚠ Plant",IF(E50="","⚠ Quantity",IF(AND(ISNUMBER(L50),COUNTIF(L$1:L49,L50)&gt;0),"⚠ Same serial "&amp;L50,IF(AND(ISNUMBER(L50),L50&gt;MIN($L$2:$L$1001),COUNTIF($L$2:$L$1001,L50-1)=0,COUNTIF($L$2:$L$1001,L50-2)&lt;2),"⚠ Missing serial "&amp;(L50-1),IF(AND(MAX(K$1:K49)&gt;0,N(K50)-MAX(K$1:K49)&gt;180),"⚠ Gap &gt; 3h",IF(C50-I50&gt;=0.99,"next day",IF(C50-I50&gt;0.4,"12h → 24h","")))))))))))</f>
        <v/>
      </c>
      <c r="H50" s="4" t="str">
        <f t="shared" si="0"/>
        <v/>
      </c>
      <c r="I50" s="5" t="str">
        <f t="shared" si="1"/>
        <v/>
      </c>
      <c r="J50" s="6">
        <f t="shared" si="2"/>
        <v>0</v>
      </c>
      <c r="K50" s="4" t="str">
        <f t="shared" si="3"/>
        <v/>
      </c>
      <c r="L50" s="4" t="str">
        <f t="shared" si="4"/>
        <v/>
      </c>
      <c r="M50" s="4" t="b" cm="1">
        <f t="array" ref="M50">IF(H50="",FALSE,SUMPRODUCT(--(H$1:H49=H50))&gt;0)</f>
        <v>0</v>
      </c>
    </row>
    <row r="51" spans="1:13" x14ac:dyDescent="0.25">
      <c r="A51" s="9" t="str">
        <f>IF(OR(B51="",M51,G51="— ignored"),"",MAX(A$1:A50)+1)</f>
        <v/>
      </c>
      <c r="B51" s="10"/>
      <c r="C51" s="11" t="str">
        <f>IF(I51="","",ROUND((I51+0.5*MAX(0,CEILING(ROUND((MAX(C$1:C50)-1/48-I51)/0.5,6),1)))*1440,0)/1440)</f>
        <v/>
      </c>
      <c r="D51" s="9" t="str" cm="1">
        <f t="array" ref="D51">IF(H51="","",IFERROR(INDEX(Log!$C$19:$G$19,VALUE(MID(H51,FIND("#",H51)+1,1))),""))</f>
        <v/>
      </c>
      <c r="E51" s="9" t="str" cm="1">
        <f t="array" ref="E51">IF(OR(H51="",M51),"",IFERROR(_xlfn.LET(_xlpm.t,SUBSTITUTE(UPPER(H51),"م","M"),_xlpm.u,SUBSTITUTE(_xlpm.t,"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1" s="12"/>
      <c r="G51" s="13" t="str">
        <f>IF(B51="","",IF(M51,"⚠ Duplicate (not counted)",IF(AND(I51="",D51="",E51=""),"— ignored",IF(C51="","⚠ Time",IF(D51="","⚠ Plant",IF(E51="","⚠ Quantity",IF(AND(ISNUMBER(L51),COUNTIF(L$1:L50,L51)&gt;0),"⚠ Same serial "&amp;L51,IF(AND(ISNUMBER(L51),L51&gt;MIN($L$2:$L$1001),COUNTIF($L$2:$L$1001,L51-1)=0,COUNTIF($L$2:$L$1001,L51-2)&lt;2),"⚠ Missing serial "&amp;(L51-1),IF(AND(MAX(K$1:K50)&gt;0,N(K51)-MAX(K$1:K50)&gt;180),"⚠ Gap &gt; 3h",IF(C51-I51&gt;=0.99,"next day",IF(C51-I51&gt;0.4,"12h → 24h","")))))))))))</f>
        <v/>
      </c>
      <c r="H51" s="4" t="str">
        <f t="shared" si="0"/>
        <v/>
      </c>
      <c r="I51" s="5" t="str">
        <f t="shared" si="1"/>
        <v/>
      </c>
      <c r="J51" s="6">
        <f t="shared" si="2"/>
        <v>0</v>
      </c>
      <c r="K51" s="4" t="str">
        <f t="shared" si="3"/>
        <v/>
      </c>
      <c r="L51" s="4" t="str">
        <f t="shared" si="4"/>
        <v/>
      </c>
      <c r="M51" s="4" t="b" cm="1">
        <f t="array" ref="M51">IF(H51="",FALSE,SUMPRODUCT(--(H$1:H50=H51))&gt;0)</f>
        <v>0</v>
      </c>
    </row>
    <row r="52" spans="1:13" x14ac:dyDescent="0.25">
      <c r="A52" s="9" t="str">
        <f>IF(OR(B52="",M52,G52="— ignored"),"",MAX(A$1:A51)+1)</f>
        <v/>
      </c>
      <c r="B52" s="10"/>
      <c r="C52" s="11" t="str">
        <f>IF(I52="","",ROUND((I52+0.5*MAX(0,CEILING(ROUND((MAX(C$1:C51)-1/48-I52)/0.5,6),1)))*1440,0)/1440)</f>
        <v/>
      </c>
      <c r="D52" s="9" t="str" cm="1">
        <f t="array" ref="D52">IF(H52="","",IFERROR(INDEX(Log!$C$19:$G$19,VALUE(MID(H52,FIND("#",H52)+1,1))),""))</f>
        <v/>
      </c>
      <c r="E52" s="9" t="str" cm="1">
        <f t="array" ref="E52">IF(OR(H52="",M52),"",IFERROR(_xlfn.LET(_xlpm.t,SUBSTITUTE(UPPER(H52),"م","M"),_xlpm.u,SUBSTITUTE(_xlpm.t,"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2" s="12"/>
      <c r="G52" s="13" t="str">
        <f>IF(B52="","",IF(M52,"⚠ Duplicate (not counted)",IF(AND(I52="",D52="",E52=""),"— ignored",IF(C52="","⚠ Time",IF(D52="","⚠ Plant",IF(E52="","⚠ Quantity",IF(AND(ISNUMBER(L52),COUNTIF(L$1:L51,L52)&gt;0),"⚠ Same serial "&amp;L52,IF(AND(ISNUMBER(L52),L52&gt;MIN($L$2:$L$1001),COUNTIF($L$2:$L$1001,L52-1)=0,COUNTIF($L$2:$L$1001,L52-2)&lt;2),"⚠ Missing serial "&amp;(L52-1),IF(AND(MAX(K$1:K51)&gt;0,N(K52)-MAX(K$1:K51)&gt;180),"⚠ Gap &gt; 3h",IF(C52-I52&gt;=0.99,"next day",IF(C52-I52&gt;0.4,"12h → 24h","")))))))))))</f>
        <v/>
      </c>
      <c r="H52" s="4" t="str">
        <f t="shared" si="0"/>
        <v/>
      </c>
      <c r="I52" s="5" t="str">
        <f t="shared" si="1"/>
        <v/>
      </c>
      <c r="J52" s="6">
        <f t="shared" si="2"/>
        <v>0</v>
      </c>
      <c r="K52" s="4" t="str">
        <f t="shared" si="3"/>
        <v/>
      </c>
      <c r="L52" s="4" t="str">
        <f t="shared" si="4"/>
        <v/>
      </c>
      <c r="M52" s="4" t="b" cm="1">
        <f t="array" ref="M52">IF(H52="",FALSE,SUMPRODUCT(--(H$1:H51=H52))&gt;0)</f>
        <v>0</v>
      </c>
    </row>
    <row r="53" spans="1:13" x14ac:dyDescent="0.25">
      <c r="A53" s="9" t="str">
        <f>IF(OR(B53="",M53,G53="— ignored"),"",MAX(A$1:A52)+1)</f>
        <v/>
      </c>
      <c r="B53" s="10"/>
      <c r="C53" s="11" t="str">
        <f>IF(I53="","",ROUND((I53+0.5*MAX(0,CEILING(ROUND((MAX(C$1:C52)-1/48-I53)/0.5,6),1)))*1440,0)/1440)</f>
        <v/>
      </c>
      <c r="D53" s="9" t="str" cm="1">
        <f t="array" ref="D53">IF(H53="","",IFERROR(INDEX(Log!$C$19:$G$19,VALUE(MID(H53,FIND("#",H53)+1,1))),""))</f>
        <v/>
      </c>
      <c r="E53" s="9" t="str" cm="1">
        <f t="array" ref="E53">IF(OR(H53="",M53),"",IFERROR(_xlfn.LET(_xlpm.t,SUBSTITUTE(UPPER(H53),"م","M"),_xlpm.u,SUBSTITUTE(_xlpm.t,"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3" s="12"/>
      <c r="G53" s="13" t="str">
        <f>IF(B53="","",IF(M53,"⚠ Duplicate (not counted)",IF(AND(I53="",D53="",E53=""),"— ignored",IF(C53="","⚠ Time",IF(D53="","⚠ Plant",IF(E53="","⚠ Quantity",IF(AND(ISNUMBER(L53),COUNTIF(L$1:L52,L53)&gt;0),"⚠ Same serial "&amp;L53,IF(AND(ISNUMBER(L53),L53&gt;MIN($L$2:$L$1001),COUNTIF($L$2:$L$1001,L53-1)=0,COUNTIF($L$2:$L$1001,L53-2)&lt;2),"⚠ Missing serial "&amp;(L53-1),IF(AND(MAX(K$1:K52)&gt;0,N(K53)-MAX(K$1:K52)&gt;180),"⚠ Gap &gt; 3h",IF(C53-I53&gt;=0.99,"next day",IF(C53-I53&gt;0.4,"12h → 24h","")))))))))))</f>
        <v/>
      </c>
      <c r="H53" s="4" t="str">
        <f t="shared" si="0"/>
        <v/>
      </c>
      <c r="I53" s="5" t="str">
        <f t="shared" si="1"/>
        <v/>
      </c>
      <c r="J53" s="6">
        <f t="shared" si="2"/>
        <v>0</v>
      </c>
      <c r="K53" s="4" t="str">
        <f t="shared" si="3"/>
        <v/>
      </c>
      <c r="L53" s="4" t="str">
        <f t="shared" si="4"/>
        <v/>
      </c>
      <c r="M53" s="4" t="b" cm="1">
        <f t="array" ref="M53">IF(H53="",FALSE,SUMPRODUCT(--(H$1:H52=H53))&gt;0)</f>
        <v>0</v>
      </c>
    </row>
    <row r="54" spans="1:13" x14ac:dyDescent="0.25">
      <c r="A54" s="9" t="str">
        <f>IF(OR(B54="",M54,G54="— ignored"),"",MAX(A$1:A53)+1)</f>
        <v/>
      </c>
      <c r="B54" s="10"/>
      <c r="C54" s="11" t="str">
        <f>IF(I54="","",ROUND((I54+0.5*MAX(0,CEILING(ROUND((MAX(C$1:C53)-1/48-I54)/0.5,6),1)))*1440,0)/1440)</f>
        <v/>
      </c>
      <c r="D54" s="9" t="str" cm="1">
        <f t="array" ref="D54">IF(H54="","",IFERROR(INDEX(Log!$C$19:$G$19,VALUE(MID(H54,FIND("#",H54)+1,1))),""))</f>
        <v/>
      </c>
      <c r="E54" s="9" t="str" cm="1">
        <f t="array" ref="E54">IF(OR(H54="",M54),"",IFERROR(_xlfn.LET(_xlpm.t,SUBSTITUTE(UPPER(H54),"م","M"),_xlpm.u,SUBSTITUTE(_xlpm.t,"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4" s="12"/>
      <c r="G54" s="13" t="str">
        <f>IF(B54="","",IF(M54,"⚠ Duplicate (not counted)",IF(AND(I54="",D54="",E54=""),"— ignored",IF(C54="","⚠ Time",IF(D54="","⚠ Plant",IF(E54="","⚠ Quantity",IF(AND(ISNUMBER(L54),COUNTIF(L$1:L53,L54)&gt;0),"⚠ Same serial "&amp;L54,IF(AND(ISNUMBER(L54),L54&gt;MIN($L$2:$L$1001),COUNTIF($L$2:$L$1001,L54-1)=0,COUNTIF($L$2:$L$1001,L54-2)&lt;2),"⚠ Missing serial "&amp;(L54-1),IF(AND(MAX(K$1:K53)&gt;0,N(K54)-MAX(K$1:K53)&gt;180),"⚠ Gap &gt; 3h",IF(C54-I54&gt;=0.99,"next day",IF(C54-I54&gt;0.4,"12h → 24h","")))))))))))</f>
        <v/>
      </c>
      <c r="H54" s="4" t="str">
        <f t="shared" si="0"/>
        <v/>
      </c>
      <c r="I54" s="5" t="str">
        <f t="shared" si="1"/>
        <v/>
      </c>
      <c r="J54" s="6">
        <f t="shared" si="2"/>
        <v>0</v>
      </c>
      <c r="K54" s="4" t="str">
        <f t="shared" si="3"/>
        <v/>
      </c>
      <c r="L54" s="4" t="str">
        <f t="shared" si="4"/>
        <v/>
      </c>
      <c r="M54" s="4" t="b" cm="1">
        <f t="array" ref="M54">IF(H54="",FALSE,SUMPRODUCT(--(H$1:H53=H54))&gt;0)</f>
        <v>0</v>
      </c>
    </row>
    <row r="55" spans="1:13" x14ac:dyDescent="0.25">
      <c r="A55" s="9" t="str">
        <f>IF(OR(B55="",M55,G55="— ignored"),"",MAX(A$1:A54)+1)</f>
        <v/>
      </c>
      <c r="B55" s="10"/>
      <c r="C55" s="11" t="str">
        <f>IF(I55="","",ROUND((I55+0.5*MAX(0,CEILING(ROUND((MAX(C$1:C54)-1/48-I55)/0.5,6),1)))*1440,0)/1440)</f>
        <v/>
      </c>
      <c r="D55" s="9" t="str" cm="1">
        <f t="array" ref="D55">IF(H55="","",IFERROR(INDEX(Log!$C$19:$G$19,VALUE(MID(H55,FIND("#",H55)+1,1))),""))</f>
        <v/>
      </c>
      <c r="E55" s="9" t="str" cm="1">
        <f t="array" ref="E55">IF(OR(H55="",M55),"",IFERROR(_xlfn.LET(_xlpm.t,SUBSTITUTE(UPPER(H55),"م","M"),_xlpm.u,SUBSTITUTE(_xlpm.t,"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5" s="12"/>
      <c r="G55" s="13" t="str">
        <f>IF(B55="","",IF(M55,"⚠ Duplicate (not counted)",IF(AND(I55="",D55="",E55=""),"— ignored",IF(C55="","⚠ Time",IF(D55="","⚠ Plant",IF(E55="","⚠ Quantity",IF(AND(ISNUMBER(L55),COUNTIF(L$1:L54,L55)&gt;0),"⚠ Same serial "&amp;L55,IF(AND(ISNUMBER(L55),L55&gt;MIN($L$2:$L$1001),COUNTIF($L$2:$L$1001,L55-1)=0,COUNTIF($L$2:$L$1001,L55-2)&lt;2),"⚠ Missing serial "&amp;(L55-1),IF(AND(MAX(K$1:K54)&gt;0,N(K55)-MAX(K$1:K54)&gt;180),"⚠ Gap &gt; 3h",IF(C55-I55&gt;=0.99,"next day",IF(C55-I55&gt;0.4,"12h → 24h","")))))))))))</f>
        <v/>
      </c>
      <c r="H55" s="4" t="str">
        <f t="shared" si="0"/>
        <v/>
      </c>
      <c r="I55" s="5" t="str">
        <f t="shared" si="1"/>
        <v/>
      </c>
      <c r="J55" s="6">
        <f t="shared" si="2"/>
        <v>0</v>
      </c>
      <c r="K55" s="4" t="str">
        <f t="shared" si="3"/>
        <v/>
      </c>
      <c r="L55" s="4" t="str">
        <f t="shared" si="4"/>
        <v/>
      </c>
      <c r="M55" s="4" t="b" cm="1">
        <f t="array" ref="M55">IF(H55="",FALSE,SUMPRODUCT(--(H$1:H54=H55))&gt;0)</f>
        <v>0</v>
      </c>
    </row>
    <row r="56" spans="1:13" x14ac:dyDescent="0.25">
      <c r="A56" s="9" t="str">
        <f>IF(OR(B56="",M56,G56="— ignored"),"",MAX(A$1:A55)+1)</f>
        <v/>
      </c>
      <c r="B56" s="10"/>
      <c r="C56" s="11" t="str">
        <f>IF(I56="","",ROUND((I56+0.5*MAX(0,CEILING(ROUND((MAX(C$1:C55)-1/48-I56)/0.5,6),1)))*1440,0)/1440)</f>
        <v/>
      </c>
      <c r="D56" s="9" t="str" cm="1">
        <f t="array" ref="D56">IF(H56="","",IFERROR(INDEX(Log!$C$19:$G$19,VALUE(MID(H56,FIND("#",H56)+1,1))),""))</f>
        <v/>
      </c>
      <c r="E56" s="9" t="str" cm="1">
        <f t="array" ref="E56">IF(OR(H56="",M56),"",IFERROR(_xlfn.LET(_xlpm.t,SUBSTITUTE(UPPER(H56),"م","M"),_xlpm.u,SUBSTITUTE(_xlpm.t,"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6" s="12"/>
      <c r="G56" s="13" t="str">
        <f>IF(B56="","",IF(M56,"⚠ Duplicate (not counted)",IF(AND(I56="",D56="",E56=""),"— ignored",IF(C56="","⚠ Time",IF(D56="","⚠ Plant",IF(E56="","⚠ Quantity",IF(AND(ISNUMBER(L56),COUNTIF(L$1:L55,L56)&gt;0),"⚠ Same serial "&amp;L56,IF(AND(ISNUMBER(L56),L56&gt;MIN($L$2:$L$1001),COUNTIF($L$2:$L$1001,L56-1)=0,COUNTIF($L$2:$L$1001,L56-2)&lt;2),"⚠ Missing serial "&amp;(L56-1),IF(AND(MAX(K$1:K55)&gt;0,N(K56)-MAX(K$1:K55)&gt;180),"⚠ Gap &gt; 3h",IF(C56-I56&gt;=0.99,"next day",IF(C56-I56&gt;0.4,"12h → 24h","")))))))))))</f>
        <v/>
      </c>
      <c r="H56" s="4" t="str">
        <f t="shared" si="0"/>
        <v/>
      </c>
      <c r="I56" s="5" t="str">
        <f t="shared" si="1"/>
        <v/>
      </c>
      <c r="J56" s="6">
        <f t="shared" si="2"/>
        <v>0</v>
      </c>
      <c r="K56" s="4" t="str">
        <f t="shared" si="3"/>
        <v/>
      </c>
      <c r="L56" s="4" t="str">
        <f t="shared" si="4"/>
        <v/>
      </c>
      <c r="M56" s="4" t="b" cm="1">
        <f t="array" ref="M56">IF(H56="",FALSE,SUMPRODUCT(--(H$1:H55=H56))&gt;0)</f>
        <v>0</v>
      </c>
    </row>
    <row r="57" spans="1:13" x14ac:dyDescent="0.25">
      <c r="A57" s="9" t="str">
        <f>IF(OR(B57="",M57,G57="— ignored"),"",MAX(A$1:A56)+1)</f>
        <v/>
      </c>
      <c r="B57" s="10"/>
      <c r="C57" s="11" t="str">
        <f>IF(I57="","",ROUND((I57+0.5*MAX(0,CEILING(ROUND((MAX(C$1:C56)-1/48-I57)/0.5,6),1)))*1440,0)/1440)</f>
        <v/>
      </c>
      <c r="D57" s="9" t="str" cm="1">
        <f t="array" ref="D57">IF(H57="","",IFERROR(INDEX(Log!$C$19:$G$19,VALUE(MID(H57,FIND("#",H57)+1,1))),""))</f>
        <v/>
      </c>
      <c r="E57" s="9" t="str" cm="1">
        <f t="array" ref="E57">IF(OR(H57="",M57),"",IFERROR(_xlfn.LET(_xlpm.t,SUBSTITUTE(UPPER(H57),"م","M"),_xlpm.u,SUBSTITUTE(_xlpm.t,"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7" s="12"/>
      <c r="G57" s="13" t="str">
        <f>IF(B57="","",IF(M57,"⚠ Duplicate (not counted)",IF(AND(I57="",D57="",E57=""),"— ignored",IF(C57="","⚠ Time",IF(D57="","⚠ Plant",IF(E57="","⚠ Quantity",IF(AND(ISNUMBER(L57),COUNTIF(L$1:L56,L57)&gt;0),"⚠ Same serial "&amp;L57,IF(AND(ISNUMBER(L57),L57&gt;MIN($L$2:$L$1001),COUNTIF($L$2:$L$1001,L57-1)=0,COUNTIF($L$2:$L$1001,L57-2)&lt;2),"⚠ Missing serial "&amp;(L57-1),IF(AND(MAX(K$1:K56)&gt;0,N(K57)-MAX(K$1:K56)&gt;180),"⚠ Gap &gt; 3h",IF(C57-I57&gt;=0.99,"next day",IF(C57-I57&gt;0.4,"12h → 24h","")))))))))))</f>
        <v/>
      </c>
      <c r="H57" s="4" t="str">
        <f t="shared" si="0"/>
        <v/>
      </c>
      <c r="I57" s="5" t="str">
        <f t="shared" si="1"/>
        <v/>
      </c>
      <c r="J57" s="6">
        <f t="shared" si="2"/>
        <v>0</v>
      </c>
      <c r="K57" s="4" t="str">
        <f t="shared" si="3"/>
        <v/>
      </c>
      <c r="L57" s="4" t="str">
        <f t="shared" si="4"/>
        <v/>
      </c>
      <c r="M57" s="4" t="b" cm="1">
        <f t="array" ref="M57">IF(H57="",FALSE,SUMPRODUCT(--(H$1:H56=H57))&gt;0)</f>
        <v>0</v>
      </c>
    </row>
    <row r="58" spans="1:13" x14ac:dyDescent="0.25">
      <c r="A58" s="9" t="str">
        <f>IF(OR(B58="",M58,G58="— ignored"),"",MAX(A$1:A57)+1)</f>
        <v/>
      </c>
      <c r="B58" s="10"/>
      <c r="C58" s="11" t="str">
        <f>IF(I58="","",ROUND((I58+0.5*MAX(0,CEILING(ROUND((MAX(C$1:C57)-1/48-I58)/0.5,6),1)))*1440,0)/1440)</f>
        <v/>
      </c>
      <c r="D58" s="9" t="str" cm="1">
        <f t="array" ref="D58">IF(H58="","",IFERROR(INDEX(Log!$C$19:$G$19,VALUE(MID(H58,FIND("#",H58)+1,1))),""))</f>
        <v/>
      </c>
      <c r="E58" s="9" t="str" cm="1">
        <f t="array" ref="E58">IF(OR(H58="",M58),"",IFERROR(_xlfn.LET(_xlpm.t,SUBSTITUTE(UPPER(H58),"م","M"),_xlpm.u,SUBSTITUTE(_xlpm.t,"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8" s="12"/>
      <c r="G58" s="13" t="str">
        <f>IF(B58="","",IF(M58,"⚠ Duplicate (not counted)",IF(AND(I58="",D58="",E58=""),"— ignored",IF(C58="","⚠ Time",IF(D58="","⚠ Plant",IF(E58="","⚠ Quantity",IF(AND(ISNUMBER(L58),COUNTIF(L$1:L57,L58)&gt;0),"⚠ Same serial "&amp;L58,IF(AND(ISNUMBER(L58),L58&gt;MIN($L$2:$L$1001),COUNTIF($L$2:$L$1001,L58-1)=0,COUNTIF($L$2:$L$1001,L58-2)&lt;2),"⚠ Missing serial "&amp;(L58-1),IF(AND(MAX(K$1:K57)&gt;0,N(K58)-MAX(K$1:K57)&gt;180),"⚠ Gap &gt; 3h",IF(C58-I58&gt;=0.99,"next day",IF(C58-I58&gt;0.4,"12h → 24h","")))))))))))</f>
        <v/>
      </c>
      <c r="H58" s="4" t="str">
        <f t="shared" si="0"/>
        <v/>
      </c>
      <c r="I58" s="5" t="str">
        <f t="shared" si="1"/>
        <v/>
      </c>
      <c r="J58" s="6">
        <f t="shared" si="2"/>
        <v>0</v>
      </c>
      <c r="K58" s="4" t="str">
        <f t="shared" si="3"/>
        <v/>
      </c>
      <c r="L58" s="4" t="str">
        <f t="shared" si="4"/>
        <v/>
      </c>
      <c r="M58" s="4" t="b" cm="1">
        <f t="array" ref="M58">IF(H58="",FALSE,SUMPRODUCT(--(H$1:H57=H58))&gt;0)</f>
        <v>0</v>
      </c>
    </row>
    <row r="59" spans="1:13" x14ac:dyDescent="0.25">
      <c r="A59" s="9" t="str">
        <f>IF(OR(B59="",M59,G59="— ignored"),"",MAX(A$1:A58)+1)</f>
        <v/>
      </c>
      <c r="B59" s="10"/>
      <c r="C59" s="11" t="str">
        <f>IF(I59="","",ROUND((I59+0.5*MAX(0,CEILING(ROUND((MAX(C$1:C58)-1/48-I59)/0.5,6),1)))*1440,0)/1440)</f>
        <v/>
      </c>
      <c r="D59" s="9" t="str" cm="1">
        <f t="array" ref="D59">IF(H59="","",IFERROR(INDEX(Log!$C$19:$G$19,VALUE(MID(H59,FIND("#",H59)+1,1))),""))</f>
        <v/>
      </c>
      <c r="E59" s="9" t="str" cm="1">
        <f t="array" ref="E59">IF(OR(H59="",M59),"",IFERROR(_xlfn.LET(_xlpm.t,SUBSTITUTE(UPPER(H59),"م","M"),_xlpm.u,SUBSTITUTE(_xlpm.t,"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9" s="12"/>
      <c r="G59" s="13" t="str">
        <f>IF(B59="","",IF(M59,"⚠ Duplicate (not counted)",IF(AND(I59="",D59="",E59=""),"— ignored",IF(C59="","⚠ Time",IF(D59="","⚠ Plant",IF(E59="","⚠ Quantity",IF(AND(ISNUMBER(L59),COUNTIF(L$1:L58,L59)&gt;0),"⚠ Same serial "&amp;L59,IF(AND(ISNUMBER(L59),L59&gt;MIN($L$2:$L$1001),COUNTIF($L$2:$L$1001,L59-1)=0,COUNTIF($L$2:$L$1001,L59-2)&lt;2),"⚠ Missing serial "&amp;(L59-1),IF(AND(MAX(K$1:K58)&gt;0,N(K59)-MAX(K$1:K58)&gt;180),"⚠ Gap &gt; 3h",IF(C59-I59&gt;=0.99,"next day",IF(C59-I59&gt;0.4,"12h → 24h","")))))))))))</f>
        <v/>
      </c>
      <c r="H59" s="4" t="str">
        <f t="shared" si="0"/>
        <v/>
      </c>
      <c r="I59" s="5" t="str">
        <f t="shared" si="1"/>
        <v/>
      </c>
      <c r="J59" s="6">
        <f t="shared" si="2"/>
        <v>0</v>
      </c>
      <c r="K59" s="4" t="str">
        <f t="shared" si="3"/>
        <v/>
      </c>
      <c r="L59" s="4" t="str">
        <f t="shared" si="4"/>
        <v/>
      </c>
      <c r="M59" s="4" t="b" cm="1">
        <f t="array" ref="M59">IF(H59="",FALSE,SUMPRODUCT(--(H$1:H58=H59))&gt;0)</f>
        <v>0</v>
      </c>
    </row>
    <row r="60" spans="1:13" x14ac:dyDescent="0.25">
      <c r="A60" s="9" t="str">
        <f>IF(OR(B60="",M60,G60="— ignored"),"",MAX(A$1:A59)+1)</f>
        <v/>
      </c>
      <c r="B60" s="10"/>
      <c r="C60" s="11" t="str">
        <f>IF(I60="","",ROUND((I60+0.5*MAX(0,CEILING(ROUND((MAX(C$1:C59)-1/48-I60)/0.5,6),1)))*1440,0)/1440)</f>
        <v/>
      </c>
      <c r="D60" s="9" t="str" cm="1">
        <f t="array" ref="D60">IF(H60="","",IFERROR(INDEX(Log!$C$19:$G$19,VALUE(MID(H60,FIND("#",H60)+1,1))),""))</f>
        <v/>
      </c>
      <c r="E60" s="9" t="str" cm="1">
        <f t="array" ref="E60">IF(OR(H60="",M60),"",IFERROR(_xlfn.LET(_xlpm.t,SUBSTITUTE(UPPER(H60),"م","M"),_xlpm.u,SUBSTITUTE(_xlpm.t,"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0" s="12"/>
      <c r="G60" s="13" t="str">
        <f>IF(B60="","",IF(M60,"⚠ Duplicate (not counted)",IF(AND(I60="",D60="",E60=""),"— ignored",IF(C60="","⚠ Time",IF(D60="","⚠ Plant",IF(E60="","⚠ Quantity",IF(AND(ISNUMBER(L60),COUNTIF(L$1:L59,L60)&gt;0),"⚠ Same serial "&amp;L60,IF(AND(ISNUMBER(L60),L60&gt;MIN($L$2:$L$1001),COUNTIF($L$2:$L$1001,L60-1)=0,COUNTIF($L$2:$L$1001,L60-2)&lt;2),"⚠ Missing serial "&amp;(L60-1),IF(AND(MAX(K$1:K59)&gt;0,N(K60)-MAX(K$1:K59)&gt;180),"⚠ Gap &gt; 3h",IF(C60-I60&gt;=0.99,"next day",IF(C60-I60&gt;0.4,"12h → 24h","")))))))))))</f>
        <v/>
      </c>
      <c r="H60" s="4" t="str">
        <f t="shared" si="0"/>
        <v/>
      </c>
      <c r="I60" s="5" t="str">
        <f t="shared" si="1"/>
        <v/>
      </c>
      <c r="J60" s="6">
        <f t="shared" si="2"/>
        <v>0</v>
      </c>
      <c r="K60" s="4" t="str">
        <f t="shared" si="3"/>
        <v/>
      </c>
      <c r="L60" s="4" t="str">
        <f t="shared" si="4"/>
        <v/>
      </c>
      <c r="M60" s="4" t="b" cm="1">
        <f t="array" ref="M60">IF(H60="",FALSE,SUMPRODUCT(--(H$1:H59=H60))&gt;0)</f>
        <v>0</v>
      </c>
    </row>
    <row r="61" spans="1:13" x14ac:dyDescent="0.25">
      <c r="A61" s="9" t="str">
        <f>IF(OR(B61="",M61,G61="— ignored"),"",MAX(A$1:A60)+1)</f>
        <v/>
      </c>
      <c r="B61" s="10"/>
      <c r="C61" s="11" t="str">
        <f>IF(I61="","",ROUND((I61+0.5*MAX(0,CEILING(ROUND((MAX(C$1:C60)-1/48-I61)/0.5,6),1)))*1440,0)/1440)</f>
        <v/>
      </c>
      <c r="D61" s="9" t="str" cm="1">
        <f t="array" ref="D61">IF(H61="","",IFERROR(INDEX(Log!$C$19:$G$19,VALUE(MID(H61,FIND("#",H61)+1,1))),""))</f>
        <v/>
      </c>
      <c r="E61" s="9" t="str" cm="1">
        <f t="array" ref="E61">IF(OR(H61="",M61),"",IFERROR(_xlfn.LET(_xlpm.t,SUBSTITUTE(UPPER(H61),"م","M"),_xlpm.u,SUBSTITUTE(_xlpm.t,"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1" s="12"/>
      <c r="G61" s="13" t="str">
        <f>IF(B61="","",IF(M61,"⚠ Duplicate (not counted)",IF(AND(I61="",D61="",E61=""),"— ignored",IF(C61="","⚠ Time",IF(D61="","⚠ Plant",IF(E61="","⚠ Quantity",IF(AND(ISNUMBER(L61),COUNTIF(L$1:L60,L61)&gt;0),"⚠ Same serial "&amp;L61,IF(AND(ISNUMBER(L61),L61&gt;MIN($L$2:$L$1001),COUNTIF($L$2:$L$1001,L61-1)=0,COUNTIF($L$2:$L$1001,L61-2)&lt;2),"⚠ Missing serial "&amp;(L61-1),IF(AND(MAX(K$1:K60)&gt;0,N(K61)-MAX(K$1:K60)&gt;180),"⚠ Gap &gt; 3h",IF(C61-I61&gt;=0.99,"next day",IF(C61-I61&gt;0.4,"12h → 24h","")))))))))))</f>
        <v/>
      </c>
      <c r="H61" s="4" t="str">
        <f t="shared" si="0"/>
        <v/>
      </c>
      <c r="I61" s="5" t="str">
        <f t="shared" si="1"/>
        <v/>
      </c>
      <c r="J61" s="6">
        <f t="shared" si="2"/>
        <v>0</v>
      </c>
      <c r="K61" s="4" t="str">
        <f t="shared" si="3"/>
        <v/>
      </c>
      <c r="L61" s="4" t="str">
        <f t="shared" si="4"/>
        <v/>
      </c>
      <c r="M61" s="4" t="b" cm="1">
        <f t="array" ref="M61">IF(H61="",FALSE,SUMPRODUCT(--(H$1:H60=H61))&gt;0)</f>
        <v>0</v>
      </c>
    </row>
    <row r="62" spans="1:13" x14ac:dyDescent="0.25">
      <c r="A62" s="9" t="str">
        <f>IF(OR(B62="",M62,G62="— ignored"),"",MAX(A$1:A61)+1)</f>
        <v/>
      </c>
      <c r="B62" s="10"/>
      <c r="C62" s="11" t="str">
        <f>IF(I62="","",ROUND((I62+0.5*MAX(0,CEILING(ROUND((MAX(C$1:C61)-1/48-I62)/0.5,6),1)))*1440,0)/1440)</f>
        <v/>
      </c>
      <c r="D62" s="9" t="str" cm="1">
        <f t="array" ref="D62">IF(H62="","",IFERROR(INDEX(Log!$C$19:$G$19,VALUE(MID(H62,FIND("#",H62)+1,1))),""))</f>
        <v/>
      </c>
      <c r="E62" s="9" t="str" cm="1">
        <f t="array" ref="E62">IF(OR(H62="",M62),"",IFERROR(_xlfn.LET(_xlpm.t,SUBSTITUTE(UPPER(H62),"م","M"),_xlpm.u,SUBSTITUTE(_xlpm.t,"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2" s="12"/>
      <c r="G62" s="13" t="str">
        <f>IF(B62="","",IF(M62,"⚠ Duplicate (not counted)",IF(AND(I62="",D62="",E62=""),"— ignored",IF(C62="","⚠ Time",IF(D62="","⚠ Plant",IF(E62="","⚠ Quantity",IF(AND(ISNUMBER(L62),COUNTIF(L$1:L61,L62)&gt;0),"⚠ Same serial "&amp;L62,IF(AND(ISNUMBER(L62),L62&gt;MIN($L$2:$L$1001),COUNTIF($L$2:$L$1001,L62-1)=0,COUNTIF($L$2:$L$1001,L62-2)&lt;2),"⚠ Missing serial "&amp;(L62-1),IF(AND(MAX(K$1:K61)&gt;0,N(K62)-MAX(K$1:K61)&gt;180),"⚠ Gap &gt; 3h",IF(C62-I62&gt;=0.99,"next day",IF(C62-I62&gt;0.4,"12h → 24h","")))))))))))</f>
        <v/>
      </c>
      <c r="H62" s="4" t="str">
        <f t="shared" si="0"/>
        <v/>
      </c>
      <c r="I62" s="5" t="str">
        <f t="shared" si="1"/>
        <v/>
      </c>
      <c r="J62" s="6">
        <f t="shared" si="2"/>
        <v>0</v>
      </c>
      <c r="K62" s="4" t="str">
        <f t="shared" si="3"/>
        <v/>
      </c>
      <c r="L62" s="4" t="str">
        <f t="shared" si="4"/>
        <v/>
      </c>
      <c r="M62" s="4" t="b" cm="1">
        <f t="array" ref="M62">IF(H62="",FALSE,SUMPRODUCT(--(H$1:H61=H62))&gt;0)</f>
        <v>0</v>
      </c>
    </row>
    <row r="63" spans="1:13" x14ac:dyDescent="0.25">
      <c r="A63" s="9" t="str">
        <f>IF(OR(B63="",M63,G63="— ignored"),"",MAX(A$1:A62)+1)</f>
        <v/>
      </c>
      <c r="B63" s="10"/>
      <c r="C63" s="11" t="str">
        <f>IF(I63="","",ROUND((I63+0.5*MAX(0,CEILING(ROUND((MAX(C$1:C62)-1/48-I63)/0.5,6),1)))*1440,0)/1440)</f>
        <v/>
      </c>
      <c r="D63" s="9" t="str" cm="1">
        <f t="array" ref="D63">IF(H63="","",IFERROR(INDEX(Log!$C$19:$G$19,VALUE(MID(H63,FIND("#",H63)+1,1))),""))</f>
        <v/>
      </c>
      <c r="E63" s="9" t="str" cm="1">
        <f t="array" ref="E63">IF(OR(H63="",M63),"",IFERROR(_xlfn.LET(_xlpm.t,SUBSTITUTE(UPPER(H63),"م","M"),_xlpm.u,SUBSTITUTE(_xlpm.t,"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3" s="12"/>
      <c r="G63" s="13" t="str">
        <f>IF(B63="","",IF(M63,"⚠ Duplicate (not counted)",IF(AND(I63="",D63="",E63=""),"— ignored",IF(C63="","⚠ Time",IF(D63="","⚠ Plant",IF(E63="","⚠ Quantity",IF(AND(ISNUMBER(L63),COUNTIF(L$1:L62,L63)&gt;0),"⚠ Same serial "&amp;L63,IF(AND(ISNUMBER(L63),L63&gt;MIN($L$2:$L$1001),COUNTIF($L$2:$L$1001,L63-1)=0,COUNTIF($L$2:$L$1001,L63-2)&lt;2),"⚠ Missing serial "&amp;(L63-1),IF(AND(MAX(K$1:K62)&gt;0,N(K63)-MAX(K$1:K62)&gt;180),"⚠ Gap &gt; 3h",IF(C63-I63&gt;=0.99,"next day",IF(C63-I63&gt;0.4,"12h → 24h","")))))))))))</f>
        <v/>
      </c>
      <c r="H63" s="4" t="str">
        <f t="shared" si="0"/>
        <v/>
      </c>
      <c r="I63" s="5" t="str">
        <f t="shared" si="1"/>
        <v/>
      </c>
      <c r="J63" s="6">
        <f t="shared" si="2"/>
        <v>0</v>
      </c>
      <c r="K63" s="4" t="str">
        <f t="shared" si="3"/>
        <v/>
      </c>
      <c r="L63" s="4" t="str">
        <f t="shared" si="4"/>
        <v/>
      </c>
      <c r="M63" s="4" t="b" cm="1">
        <f t="array" ref="M63">IF(H63="",FALSE,SUMPRODUCT(--(H$1:H62=H63))&gt;0)</f>
        <v>0</v>
      </c>
    </row>
    <row r="64" spans="1:13" x14ac:dyDescent="0.25">
      <c r="A64" s="9" t="str">
        <f>IF(OR(B64="",M64,G64="— ignored"),"",MAX(A$1:A63)+1)</f>
        <v/>
      </c>
      <c r="B64" s="10"/>
      <c r="C64" s="11" t="str">
        <f>IF(I64="","",ROUND((I64+0.5*MAX(0,CEILING(ROUND((MAX(C$1:C63)-1/48-I64)/0.5,6),1)))*1440,0)/1440)</f>
        <v/>
      </c>
      <c r="D64" s="9" t="str" cm="1">
        <f t="array" ref="D64">IF(H64="","",IFERROR(INDEX(Log!$C$19:$G$19,VALUE(MID(H64,FIND("#",H64)+1,1))),""))</f>
        <v/>
      </c>
      <c r="E64" s="9" t="str" cm="1">
        <f t="array" ref="E64">IF(OR(H64="",M64),"",IFERROR(_xlfn.LET(_xlpm.t,SUBSTITUTE(UPPER(H64),"م","M"),_xlpm.u,SUBSTITUTE(_xlpm.t,"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4" s="12"/>
      <c r="G64" s="13" t="str">
        <f>IF(B64="","",IF(M64,"⚠ Duplicate (not counted)",IF(AND(I64="",D64="",E64=""),"— ignored",IF(C64="","⚠ Time",IF(D64="","⚠ Plant",IF(E64="","⚠ Quantity",IF(AND(ISNUMBER(L64),COUNTIF(L$1:L63,L64)&gt;0),"⚠ Same serial "&amp;L64,IF(AND(ISNUMBER(L64),L64&gt;MIN($L$2:$L$1001),COUNTIF($L$2:$L$1001,L64-1)=0,COUNTIF($L$2:$L$1001,L64-2)&lt;2),"⚠ Missing serial "&amp;(L64-1),IF(AND(MAX(K$1:K63)&gt;0,N(K64)-MAX(K$1:K63)&gt;180),"⚠ Gap &gt; 3h",IF(C64-I64&gt;=0.99,"next day",IF(C64-I64&gt;0.4,"12h → 24h","")))))))))))</f>
        <v/>
      </c>
      <c r="H64" s="4" t="str">
        <f t="shared" si="0"/>
        <v/>
      </c>
      <c r="I64" s="5" t="str">
        <f t="shared" si="1"/>
        <v/>
      </c>
      <c r="J64" s="6">
        <f t="shared" si="2"/>
        <v>0</v>
      </c>
      <c r="K64" s="4" t="str">
        <f t="shared" si="3"/>
        <v/>
      </c>
      <c r="L64" s="4" t="str">
        <f t="shared" si="4"/>
        <v/>
      </c>
      <c r="M64" s="4" t="b" cm="1">
        <f t="array" ref="M64">IF(H64="",FALSE,SUMPRODUCT(--(H$1:H63=H64))&gt;0)</f>
        <v>0</v>
      </c>
    </row>
    <row r="65" spans="1:13" x14ac:dyDescent="0.25">
      <c r="A65" s="9" t="str">
        <f>IF(OR(B65="",M65,G65="— ignored"),"",MAX(A$1:A64)+1)</f>
        <v/>
      </c>
      <c r="B65" s="10"/>
      <c r="C65" s="11" t="str">
        <f>IF(I65="","",ROUND((I65+0.5*MAX(0,CEILING(ROUND((MAX(C$1:C64)-1/48-I65)/0.5,6),1)))*1440,0)/1440)</f>
        <v/>
      </c>
      <c r="D65" s="9" t="str" cm="1">
        <f t="array" ref="D65">IF(H65="","",IFERROR(INDEX(Log!$C$19:$G$19,VALUE(MID(H65,FIND("#",H65)+1,1))),""))</f>
        <v/>
      </c>
      <c r="E65" s="9" t="str" cm="1">
        <f t="array" ref="E65">IF(OR(H65="",M65),"",IFERROR(_xlfn.LET(_xlpm.t,SUBSTITUTE(UPPER(H65),"م","M"),_xlpm.u,SUBSTITUTE(_xlpm.t,"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5" s="12"/>
      <c r="G65" s="13" t="str">
        <f>IF(B65="","",IF(M65,"⚠ Duplicate (not counted)",IF(AND(I65="",D65="",E65=""),"— ignored",IF(C65="","⚠ Time",IF(D65="","⚠ Plant",IF(E65="","⚠ Quantity",IF(AND(ISNUMBER(L65),COUNTIF(L$1:L64,L65)&gt;0),"⚠ Same serial "&amp;L65,IF(AND(ISNUMBER(L65),L65&gt;MIN($L$2:$L$1001),COUNTIF($L$2:$L$1001,L65-1)=0,COUNTIF($L$2:$L$1001,L65-2)&lt;2),"⚠ Missing serial "&amp;(L65-1),IF(AND(MAX(K$1:K64)&gt;0,N(K65)-MAX(K$1:K64)&gt;180),"⚠ Gap &gt; 3h",IF(C65-I65&gt;=0.99,"next day",IF(C65-I65&gt;0.4,"12h → 24h","")))))))))))</f>
        <v/>
      </c>
      <c r="H65" s="4" t="str">
        <f t="shared" si="0"/>
        <v/>
      </c>
      <c r="I65" s="5" t="str">
        <f t="shared" si="1"/>
        <v/>
      </c>
      <c r="J65" s="6">
        <f t="shared" si="2"/>
        <v>0</v>
      </c>
      <c r="K65" s="4" t="str">
        <f t="shared" si="3"/>
        <v/>
      </c>
      <c r="L65" s="4" t="str">
        <f t="shared" si="4"/>
        <v/>
      </c>
      <c r="M65" s="4" t="b" cm="1">
        <f t="array" ref="M65">IF(H65="",FALSE,SUMPRODUCT(--(H$1:H64=H65))&gt;0)</f>
        <v>0</v>
      </c>
    </row>
    <row r="66" spans="1:13" x14ac:dyDescent="0.25">
      <c r="A66" s="9" t="str">
        <f>IF(OR(B66="",M66,G66="— ignored"),"",MAX(A$1:A65)+1)</f>
        <v/>
      </c>
      <c r="B66" s="10"/>
      <c r="C66" s="11" t="str">
        <f>IF(I66="","",ROUND((I66+0.5*MAX(0,CEILING(ROUND((MAX(C$1:C65)-1/48-I66)/0.5,6),1)))*1440,0)/1440)</f>
        <v/>
      </c>
      <c r="D66" s="9" t="str" cm="1">
        <f t="array" ref="D66">IF(H66="","",IFERROR(INDEX(Log!$C$19:$G$19,VALUE(MID(H66,FIND("#",H66)+1,1))),""))</f>
        <v/>
      </c>
      <c r="E66" s="9" t="str" cm="1">
        <f t="array" ref="E66">IF(OR(H66="",M66),"",IFERROR(_xlfn.LET(_xlpm.t,SUBSTITUTE(UPPER(H66),"م","M"),_xlpm.u,SUBSTITUTE(_xlpm.t,"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6" s="12"/>
      <c r="G66" s="13" t="str">
        <f>IF(B66="","",IF(M66,"⚠ Duplicate (not counted)",IF(AND(I66="",D66="",E66=""),"— ignored",IF(C66="","⚠ Time",IF(D66="","⚠ Plant",IF(E66="","⚠ Quantity",IF(AND(ISNUMBER(L66),COUNTIF(L$1:L65,L66)&gt;0),"⚠ Same serial "&amp;L66,IF(AND(ISNUMBER(L66),L66&gt;MIN($L$2:$L$1001),COUNTIF($L$2:$L$1001,L66-1)=0,COUNTIF($L$2:$L$1001,L66-2)&lt;2),"⚠ Missing serial "&amp;(L66-1),IF(AND(MAX(K$1:K65)&gt;0,N(K66)-MAX(K$1:K65)&gt;180),"⚠ Gap &gt; 3h",IF(C66-I66&gt;=0.99,"next day",IF(C66-I66&gt;0.4,"12h → 24h","")))))))))))</f>
        <v/>
      </c>
      <c r="H66" s="4" t="str">
        <f t="shared" ref="H66:H129" si="5">IF(B66="","",_xlfn.LET(_xlpm.t,TRIM(B66),IF(LEFT(_xlpm.t,1)="[",IFERROR(TRIM(MID(_xlpm.t,FIND(": ",_xlpm.t,FIND("]",_xlpm.t))+2,500)),_xlpm.t),_xlpm.t)))</f>
        <v/>
      </c>
      <c r="I66" s="5" t="str">
        <f t="shared" ref="I66:I129" si="6">IF(H66="","",IFERROR(TIMEVALUE(TRIM(SUBSTITUTE(SUBSTITUTE(MID(H66,SEARCH(":",H66)-2,5),".",""),"*",""))),""))</f>
        <v/>
      </c>
      <c r="J66" s="6">
        <f t="shared" ref="J66:J129" si="7">IF(OR(B66="",F66="",M66),0,IF(ISNUMBER(F66),F66,N(E66)))</f>
        <v>0</v>
      </c>
      <c r="K66" s="4" t="str">
        <f t="shared" ref="K66:K129" si="8">IF(OR(C66="",M66),"",ROUND(C66*1440,0))</f>
        <v/>
      </c>
      <c r="L66" s="4" t="str">
        <f t="shared" ref="L66:L129" si="9">IF(OR(H66="",AND(I66="",D66="")),"",IFERROR(_xlfn.LET(_xlpm.t,TRIM(SUBSTITUTE(SUBSTITUTE(H66,"*",""),"_","")),VALUE(SUBSTITUTE(LEFT(_xlpm.t,FIND(" ",_xlpm.t&amp;" ")-1),".",""))),""))</f>
        <v/>
      </c>
      <c r="M66" s="4" t="b" cm="1">
        <f t="array" ref="M66">IF(H66="",FALSE,SUMPRODUCT(--(H$1:H65=H66))&gt;0)</f>
        <v>0</v>
      </c>
    </row>
    <row r="67" spans="1:13" x14ac:dyDescent="0.25">
      <c r="A67" s="9" t="str">
        <f>IF(OR(B67="",M67,G67="— ignored"),"",MAX(A$1:A66)+1)</f>
        <v/>
      </c>
      <c r="B67" s="10"/>
      <c r="C67" s="11" t="str">
        <f>IF(I67="","",ROUND((I67+0.5*MAX(0,CEILING(ROUND((MAX(C$1:C66)-1/48-I67)/0.5,6),1)))*1440,0)/1440)</f>
        <v/>
      </c>
      <c r="D67" s="9" t="str" cm="1">
        <f t="array" ref="D67">IF(H67="","",IFERROR(INDEX(Log!$C$19:$G$19,VALUE(MID(H67,FIND("#",H67)+1,1))),""))</f>
        <v/>
      </c>
      <c r="E67" s="9" t="str" cm="1">
        <f t="array" ref="E67">IF(OR(H67="",M67),"",IFERROR(_xlfn.LET(_xlpm.t,SUBSTITUTE(UPPER(H67),"م","M"),_xlpm.u,SUBSTITUTE(_xlpm.t,"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7" s="12"/>
      <c r="G67" s="13" t="str">
        <f>IF(B67="","",IF(M67,"⚠ Duplicate (not counted)",IF(AND(I67="",D67="",E67=""),"— ignored",IF(C67="","⚠ Time",IF(D67="","⚠ Plant",IF(E67="","⚠ Quantity",IF(AND(ISNUMBER(L67),COUNTIF(L$1:L66,L67)&gt;0),"⚠ Same serial "&amp;L67,IF(AND(ISNUMBER(L67),L67&gt;MIN($L$2:$L$1001),COUNTIF($L$2:$L$1001,L67-1)=0,COUNTIF($L$2:$L$1001,L67-2)&lt;2),"⚠ Missing serial "&amp;(L67-1),IF(AND(MAX(K$1:K66)&gt;0,N(K67)-MAX(K$1:K66)&gt;180),"⚠ Gap &gt; 3h",IF(C67-I67&gt;=0.99,"next day",IF(C67-I67&gt;0.4,"12h → 24h","")))))))))))</f>
        <v/>
      </c>
      <c r="H67" s="4" t="str">
        <f t="shared" si="5"/>
        <v/>
      </c>
      <c r="I67" s="5" t="str">
        <f t="shared" si="6"/>
        <v/>
      </c>
      <c r="J67" s="6">
        <f t="shared" si="7"/>
        <v>0</v>
      </c>
      <c r="K67" s="4" t="str">
        <f t="shared" si="8"/>
        <v/>
      </c>
      <c r="L67" s="4" t="str">
        <f t="shared" si="9"/>
        <v/>
      </c>
      <c r="M67" s="4" t="b" cm="1">
        <f t="array" ref="M67">IF(H67="",FALSE,SUMPRODUCT(--(H$1:H66=H67))&gt;0)</f>
        <v>0</v>
      </c>
    </row>
    <row r="68" spans="1:13" x14ac:dyDescent="0.25">
      <c r="A68" s="9" t="str">
        <f>IF(OR(B68="",M68,G68="— ignored"),"",MAX(A$1:A67)+1)</f>
        <v/>
      </c>
      <c r="B68" s="10"/>
      <c r="C68" s="11" t="str">
        <f>IF(I68="","",ROUND((I68+0.5*MAX(0,CEILING(ROUND((MAX(C$1:C67)-1/48-I68)/0.5,6),1)))*1440,0)/1440)</f>
        <v/>
      </c>
      <c r="D68" s="9" t="str" cm="1">
        <f t="array" ref="D68">IF(H68="","",IFERROR(INDEX(Log!$C$19:$G$19,VALUE(MID(H68,FIND("#",H68)+1,1))),""))</f>
        <v/>
      </c>
      <c r="E68" s="9" t="str" cm="1">
        <f t="array" ref="E68">IF(OR(H68="",M68),"",IFERROR(_xlfn.LET(_xlpm.t,SUBSTITUTE(UPPER(H68),"م","M"),_xlpm.u,SUBSTITUTE(_xlpm.t,"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8" s="12"/>
      <c r="G68" s="13" t="str">
        <f>IF(B68="","",IF(M68,"⚠ Duplicate (not counted)",IF(AND(I68="",D68="",E68=""),"— ignored",IF(C68="","⚠ Time",IF(D68="","⚠ Plant",IF(E68="","⚠ Quantity",IF(AND(ISNUMBER(L68),COUNTIF(L$1:L67,L68)&gt;0),"⚠ Same serial "&amp;L68,IF(AND(ISNUMBER(L68),L68&gt;MIN($L$2:$L$1001),COUNTIF($L$2:$L$1001,L68-1)=0,COUNTIF($L$2:$L$1001,L68-2)&lt;2),"⚠ Missing serial "&amp;(L68-1),IF(AND(MAX(K$1:K67)&gt;0,N(K68)-MAX(K$1:K67)&gt;180),"⚠ Gap &gt; 3h",IF(C68-I68&gt;=0.99,"next day",IF(C68-I68&gt;0.4,"12h → 24h","")))))))))))</f>
        <v/>
      </c>
      <c r="H68" s="4" t="str">
        <f t="shared" si="5"/>
        <v/>
      </c>
      <c r="I68" s="5" t="str">
        <f t="shared" si="6"/>
        <v/>
      </c>
      <c r="J68" s="6">
        <f t="shared" si="7"/>
        <v>0</v>
      </c>
      <c r="K68" s="4" t="str">
        <f t="shared" si="8"/>
        <v/>
      </c>
      <c r="L68" s="4" t="str">
        <f t="shared" si="9"/>
        <v/>
      </c>
      <c r="M68" s="4" t="b" cm="1">
        <f t="array" ref="M68">IF(H68="",FALSE,SUMPRODUCT(--(H$1:H67=H68))&gt;0)</f>
        <v>0</v>
      </c>
    </row>
    <row r="69" spans="1:13" x14ac:dyDescent="0.25">
      <c r="A69" s="9" t="str">
        <f>IF(OR(B69="",M69,G69="— ignored"),"",MAX(A$1:A68)+1)</f>
        <v/>
      </c>
      <c r="B69" s="10"/>
      <c r="C69" s="11" t="str">
        <f>IF(I69="","",ROUND((I69+0.5*MAX(0,CEILING(ROUND((MAX(C$1:C68)-1/48-I69)/0.5,6),1)))*1440,0)/1440)</f>
        <v/>
      </c>
      <c r="D69" s="9" t="str" cm="1">
        <f t="array" ref="D69">IF(H69="","",IFERROR(INDEX(Log!$C$19:$G$19,VALUE(MID(H69,FIND("#",H69)+1,1))),""))</f>
        <v/>
      </c>
      <c r="E69" s="9" t="str" cm="1">
        <f t="array" ref="E69">IF(OR(H69="",M69),"",IFERROR(_xlfn.LET(_xlpm.t,SUBSTITUTE(UPPER(H69),"م","M"),_xlpm.u,SUBSTITUTE(_xlpm.t,"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9" s="12"/>
      <c r="G69" s="13" t="str">
        <f>IF(B69="","",IF(M69,"⚠ Duplicate (not counted)",IF(AND(I69="",D69="",E69=""),"— ignored",IF(C69="","⚠ Time",IF(D69="","⚠ Plant",IF(E69="","⚠ Quantity",IF(AND(ISNUMBER(L69),COUNTIF(L$1:L68,L69)&gt;0),"⚠ Same serial "&amp;L69,IF(AND(ISNUMBER(L69),L69&gt;MIN($L$2:$L$1001),COUNTIF($L$2:$L$1001,L69-1)=0,COUNTIF($L$2:$L$1001,L69-2)&lt;2),"⚠ Missing serial "&amp;(L69-1),IF(AND(MAX(K$1:K68)&gt;0,N(K69)-MAX(K$1:K68)&gt;180),"⚠ Gap &gt; 3h",IF(C69-I69&gt;=0.99,"next day",IF(C69-I69&gt;0.4,"12h → 24h","")))))))))))</f>
        <v/>
      </c>
      <c r="H69" s="4" t="str">
        <f t="shared" si="5"/>
        <v/>
      </c>
      <c r="I69" s="5" t="str">
        <f t="shared" si="6"/>
        <v/>
      </c>
      <c r="J69" s="6">
        <f t="shared" si="7"/>
        <v>0</v>
      </c>
      <c r="K69" s="4" t="str">
        <f t="shared" si="8"/>
        <v/>
      </c>
      <c r="L69" s="4" t="str">
        <f t="shared" si="9"/>
        <v/>
      </c>
      <c r="M69" s="4" t="b" cm="1">
        <f t="array" ref="M69">IF(H69="",FALSE,SUMPRODUCT(--(H$1:H68=H69))&gt;0)</f>
        <v>0</v>
      </c>
    </row>
    <row r="70" spans="1:13" x14ac:dyDescent="0.25">
      <c r="A70" s="9" t="str">
        <f>IF(OR(B70="",M70,G70="— ignored"),"",MAX(A$1:A69)+1)</f>
        <v/>
      </c>
      <c r="B70" s="10"/>
      <c r="C70" s="11" t="str">
        <f>IF(I70="","",ROUND((I70+0.5*MAX(0,CEILING(ROUND((MAX(C$1:C69)-1/48-I70)/0.5,6),1)))*1440,0)/1440)</f>
        <v/>
      </c>
      <c r="D70" s="9" t="str" cm="1">
        <f t="array" ref="D70">IF(H70="","",IFERROR(INDEX(Log!$C$19:$G$19,VALUE(MID(H70,FIND("#",H70)+1,1))),""))</f>
        <v/>
      </c>
      <c r="E70" s="9" t="str" cm="1">
        <f t="array" ref="E70">IF(OR(H70="",M70),"",IFERROR(_xlfn.LET(_xlpm.t,SUBSTITUTE(UPPER(H70),"م","M"),_xlpm.u,SUBSTITUTE(_xlpm.t,"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0" s="12"/>
      <c r="G70" s="13" t="str">
        <f>IF(B70="","",IF(M70,"⚠ Duplicate (not counted)",IF(AND(I70="",D70="",E70=""),"— ignored",IF(C70="","⚠ Time",IF(D70="","⚠ Plant",IF(E70="","⚠ Quantity",IF(AND(ISNUMBER(L70),COUNTIF(L$1:L69,L70)&gt;0),"⚠ Same serial "&amp;L70,IF(AND(ISNUMBER(L70),L70&gt;MIN($L$2:$L$1001),COUNTIF($L$2:$L$1001,L70-1)=0,COUNTIF($L$2:$L$1001,L70-2)&lt;2),"⚠ Missing serial "&amp;(L70-1),IF(AND(MAX(K$1:K69)&gt;0,N(K70)-MAX(K$1:K69)&gt;180),"⚠ Gap &gt; 3h",IF(C70-I70&gt;=0.99,"next day",IF(C70-I70&gt;0.4,"12h → 24h","")))))))))))</f>
        <v/>
      </c>
      <c r="H70" s="4" t="str">
        <f t="shared" si="5"/>
        <v/>
      </c>
      <c r="I70" s="5" t="str">
        <f t="shared" si="6"/>
        <v/>
      </c>
      <c r="J70" s="6">
        <f t="shared" si="7"/>
        <v>0</v>
      </c>
      <c r="K70" s="4" t="str">
        <f t="shared" si="8"/>
        <v/>
      </c>
      <c r="L70" s="4" t="str">
        <f t="shared" si="9"/>
        <v/>
      </c>
      <c r="M70" s="4" t="b" cm="1">
        <f t="array" ref="M70">IF(H70="",FALSE,SUMPRODUCT(--(H$1:H69=H70))&gt;0)</f>
        <v>0</v>
      </c>
    </row>
    <row r="71" spans="1:13" x14ac:dyDescent="0.25">
      <c r="A71" s="9" t="str">
        <f>IF(OR(B71="",M71,G71="— ignored"),"",MAX(A$1:A70)+1)</f>
        <v/>
      </c>
      <c r="B71" s="10"/>
      <c r="C71" s="11" t="str">
        <f>IF(I71="","",ROUND((I71+0.5*MAX(0,CEILING(ROUND((MAX(C$1:C70)-1/48-I71)/0.5,6),1)))*1440,0)/1440)</f>
        <v/>
      </c>
      <c r="D71" s="9" t="str" cm="1">
        <f t="array" ref="D71">IF(H71="","",IFERROR(INDEX(Log!$C$19:$G$19,VALUE(MID(H71,FIND("#",H71)+1,1))),""))</f>
        <v/>
      </c>
      <c r="E71" s="9" t="str" cm="1">
        <f t="array" ref="E71">IF(OR(H71="",M71),"",IFERROR(_xlfn.LET(_xlpm.t,SUBSTITUTE(UPPER(H71),"م","M"),_xlpm.u,SUBSTITUTE(_xlpm.t,"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1" s="12"/>
      <c r="G71" s="13" t="str">
        <f>IF(B71="","",IF(M71,"⚠ Duplicate (not counted)",IF(AND(I71="",D71="",E71=""),"— ignored",IF(C71="","⚠ Time",IF(D71="","⚠ Plant",IF(E71="","⚠ Quantity",IF(AND(ISNUMBER(L71),COUNTIF(L$1:L70,L71)&gt;0),"⚠ Same serial "&amp;L71,IF(AND(ISNUMBER(L71),L71&gt;MIN($L$2:$L$1001),COUNTIF($L$2:$L$1001,L71-1)=0,COUNTIF($L$2:$L$1001,L71-2)&lt;2),"⚠ Missing serial "&amp;(L71-1),IF(AND(MAX(K$1:K70)&gt;0,N(K71)-MAX(K$1:K70)&gt;180),"⚠ Gap &gt; 3h",IF(C71-I71&gt;=0.99,"next day",IF(C71-I71&gt;0.4,"12h → 24h","")))))))))))</f>
        <v/>
      </c>
      <c r="H71" s="4" t="str">
        <f t="shared" si="5"/>
        <v/>
      </c>
      <c r="I71" s="5" t="str">
        <f t="shared" si="6"/>
        <v/>
      </c>
      <c r="J71" s="6">
        <f t="shared" si="7"/>
        <v>0</v>
      </c>
      <c r="K71" s="4" t="str">
        <f t="shared" si="8"/>
        <v/>
      </c>
      <c r="L71" s="4" t="str">
        <f t="shared" si="9"/>
        <v/>
      </c>
      <c r="M71" s="4" t="b" cm="1">
        <f t="array" ref="M71">IF(H71="",FALSE,SUMPRODUCT(--(H$1:H70=H71))&gt;0)</f>
        <v>0</v>
      </c>
    </row>
    <row r="72" spans="1:13" x14ac:dyDescent="0.25">
      <c r="A72" s="9" t="str">
        <f>IF(OR(B72="",M72,G72="— ignored"),"",MAX(A$1:A71)+1)</f>
        <v/>
      </c>
      <c r="B72" s="10"/>
      <c r="C72" s="11" t="str">
        <f>IF(I72="","",ROUND((I72+0.5*MAX(0,CEILING(ROUND((MAX(C$1:C71)-1/48-I72)/0.5,6),1)))*1440,0)/1440)</f>
        <v/>
      </c>
      <c r="D72" s="9" t="str" cm="1">
        <f t="array" ref="D72">IF(H72="","",IFERROR(INDEX(Log!$C$19:$G$19,VALUE(MID(H72,FIND("#",H72)+1,1))),""))</f>
        <v/>
      </c>
      <c r="E72" s="9" t="str" cm="1">
        <f t="array" ref="E72">IF(OR(H72="",M72),"",IFERROR(_xlfn.LET(_xlpm.t,SUBSTITUTE(UPPER(H72),"م","M"),_xlpm.u,SUBSTITUTE(_xlpm.t,"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2" s="12"/>
      <c r="G72" s="13" t="str">
        <f>IF(B72="","",IF(M72,"⚠ Duplicate (not counted)",IF(AND(I72="",D72="",E72=""),"— ignored",IF(C72="","⚠ Time",IF(D72="","⚠ Plant",IF(E72="","⚠ Quantity",IF(AND(ISNUMBER(L72),COUNTIF(L$1:L71,L72)&gt;0),"⚠ Same serial "&amp;L72,IF(AND(ISNUMBER(L72),L72&gt;MIN($L$2:$L$1001),COUNTIF($L$2:$L$1001,L72-1)=0,COUNTIF($L$2:$L$1001,L72-2)&lt;2),"⚠ Missing serial "&amp;(L72-1),IF(AND(MAX(K$1:K71)&gt;0,N(K72)-MAX(K$1:K71)&gt;180),"⚠ Gap &gt; 3h",IF(C72-I72&gt;=0.99,"next day",IF(C72-I72&gt;0.4,"12h → 24h","")))))))))))</f>
        <v/>
      </c>
      <c r="H72" s="4" t="str">
        <f t="shared" si="5"/>
        <v/>
      </c>
      <c r="I72" s="5" t="str">
        <f t="shared" si="6"/>
        <v/>
      </c>
      <c r="J72" s="6">
        <f t="shared" si="7"/>
        <v>0</v>
      </c>
      <c r="K72" s="4" t="str">
        <f t="shared" si="8"/>
        <v/>
      </c>
      <c r="L72" s="4" t="str">
        <f t="shared" si="9"/>
        <v/>
      </c>
      <c r="M72" s="4" t="b" cm="1">
        <f t="array" ref="M72">IF(H72="",FALSE,SUMPRODUCT(--(H$1:H71=H72))&gt;0)</f>
        <v>0</v>
      </c>
    </row>
    <row r="73" spans="1:13" x14ac:dyDescent="0.25">
      <c r="A73" s="9" t="str">
        <f>IF(OR(B73="",M73,G73="— ignored"),"",MAX(A$1:A72)+1)</f>
        <v/>
      </c>
      <c r="B73" s="10"/>
      <c r="C73" s="11" t="str">
        <f>IF(I73="","",ROUND((I73+0.5*MAX(0,CEILING(ROUND((MAX(C$1:C72)-1/48-I73)/0.5,6),1)))*1440,0)/1440)</f>
        <v/>
      </c>
      <c r="D73" s="9" t="str" cm="1">
        <f t="array" ref="D73">IF(H73="","",IFERROR(INDEX(Log!$C$19:$G$19,VALUE(MID(H73,FIND("#",H73)+1,1))),""))</f>
        <v/>
      </c>
      <c r="E73" s="9" t="str" cm="1">
        <f t="array" ref="E73">IF(OR(H73="",M73),"",IFERROR(_xlfn.LET(_xlpm.t,SUBSTITUTE(UPPER(H73),"م","M"),_xlpm.u,SUBSTITUTE(_xlpm.t,"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3" s="12"/>
      <c r="G73" s="13" t="str">
        <f>IF(B73="","",IF(M73,"⚠ Duplicate (not counted)",IF(AND(I73="",D73="",E73=""),"— ignored",IF(C73="","⚠ Time",IF(D73="","⚠ Plant",IF(E73="","⚠ Quantity",IF(AND(ISNUMBER(L73),COUNTIF(L$1:L72,L73)&gt;0),"⚠ Same serial "&amp;L73,IF(AND(ISNUMBER(L73),L73&gt;MIN($L$2:$L$1001),COUNTIF($L$2:$L$1001,L73-1)=0,COUNTIF($L$2:$L$1001,L73-2)&lt;2),"⚠ Missing serial "&amp;(L73-1),IF(AND(MAX(K$1:K72)&gt;0,N(K73)-MAX(K$1:K72)&gt;180),"⚠ Gap &gt; 3h",IF(C73-I73&gt;=0.99,"next day",IF(C73-I73&gt;0.4,"12h → 24h","")))))))))))</f>
        <v/>
      </c>
      <c r="H73" s="4" t="str">
        <f t="shared" si="5"/>
        <v/>
      </c>
      <c r="I73" s="5" t="str">
        <f t="shared" si="6"/>
        <v/>
      </c>
      <c r="J73" s="6">
        <f t="shared" si="7"/>
        <v>0</v>
      </c>
      <c r="K73" s="4" t="str">
        <f t="shared" si="8"/>
        <v/>
      </c>
      <c r="L73" s="4" t="str">
        <f t="shared" si="9"/>
        <v/>
      </c>
      <c r="M73" s="4" t="b" cm="1">
        <f t="array" ref="M73">IF(H73="",FALSE,SUMPRODUCT(--(H$1:H72=H73))&gt;0)</f>
        <v>0</v>
      </c>
    </row>
    <row r="74" spans="1:13" x14ac:dyDescent="0.25">
      <c r="A74" s="9" t="str">
        <f>IF(OR(B74="",M74,G74="— ignored"),"",MAX(A$1:A73)+1)</f>
        <v/>
      </c>
      <c r="B74" s="10"/>
      <c r="C74" s="11" t="str">
        <f>IF(I74="","",ROUND((I74+0.5*MAX(0,CEILING(ROUND((MAX(C$1:C73)-1/48-I74)/0.5,6),1)))*1440,0)/1440)</f>
        <v/>
      </c>
      <c r="D74" s="9" t="str" cm="1">
        <f t="array" ref="D74">IF(H74="","",IFERROR(INDEX(Log!$C$19:$G$19,VALUE(MID(H74,FIND("#",H74)+1,1))),""))</f>
        <v/>
      </c>
      <c r="E74" s="9" t="str" cm="1">
        <f t="array" ref="E74">IF(OR(H74="",M74),"",IFERROR(_xlfn.LET(_xlpm.t,SUBSTITUTE(UPPER(H74),"م","M"),_xlpm.u,SUBSTITUTE(_xlpm.t,"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4" s="12"/>
      <c r="G74" s="13" t="str">
        <f>IF(B74="","",IF(M74,"⚠ Duplicate (not counted)",IF(AND(I74="",D74="",E74=""),"— ignored",IF(C74="","⚠ Time",IF(D74="","⚠ Plant",IF(E74="","⚠ Quantity",IF(AND(ISNUMBER(L74),COUNTIF(L$1:L73,L74)&gt;0),"⚠ Same serial "&amp;L74,IF(AND(ISNUMBER(L74),L74&gt;MIN($L$2:$L$1001),COUNTIF($L$2:$L$1001,L74-1)=0,COUNTIF($L$2:$L$1001,L74-2)&lt;2),"⚠ Missing serial "&amp;(L74-1),IF(AND(MAX(K$1:K73)&gt;0,N(K74)-MAX(K$1:K73)&gt;180),"⚠ Gap &gt; 3h",IF(C74-I74&gt;=0.99,"next day",IF(C74-I74&gt;0.4,"12h → 24h","")))))))))))</f>
        <v/>
      </c>
      <c r="H74" s="4" t="str">
        <f t="shared" si="5"/>
        <v/>
      </c>
      <c r="I74" s="5" t="str">
        <f t="shared" si="6"/>
        <v/>
      </c>
      <c r="J74" s="6">
        <f t="shared" si="7"/>
        <v>0</v>
      </c>
      <c r="K74" s="4" t="str">
        <f t="shared" si="8"/>
        <v/>
      </c>
      <c r="L74" s="4" t="str">
        <f t="shared" si="9"/>
        <v/>
      </c>
      <c r="M74" s="4" t="b" cm="1">
        <f t="array" ref="M74">IF(H74="",FALSE,SUMPRODUCT(--(H$1:H73=H74))&gt;0)</f>
        <v>0</v>
      </c>
    </row>
    <row r="75" spans="1:13" x14ac:dyDescent="0.25">
      <c r="A75" s="9" t="str">
        <f>IF(OR(B75="",M75,G75="— ignored"),"",MAX(A$1:A74)+1)</f>
        <v/>
      </c>
      <c r="B75" s="10"/>
      <c r="C75" s="11" t="str">
        <f>IF(I75="","",ROUND((I75+0.5*MAX(0,CEILING(ROUND((MAX(C$1:C74)-1/48-I75)/0.5,6),1)))*1440,0)/1440)</f>
        <v/>
      </c>
      <c r="D75" s="9" t="str" cm="1">
        <f t="array" ref="D75">IF(H75="","",IFERROR(INDEX(Log!$C$19:$G$19,VALUE(MID(H75,FIND("#",H75)+1,1))),""))</f>
        <v/>
      </c>
      <c r="E75" s="9" t="str" cm="1">
        <f t="array" ref="E75">IF(OR(H75="",M75),"",IFERROR(_xlfn.LET(_xlpm.t,SUBSTITUTE(UPPER(H75),"م","M"),_xlpm.u,SUBSTITUTE(_xlpm.t,"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5" s="12"/>
      <c r="G75" s="13" t="str">
        <f>IF(B75="","",IF(M75,"⚠ Duplicate (not counted)",IF(AND(I75="",D75="",E75=""),"— ignored",IF(C75="","⚠ Time",IF(D75="","⚠ Plant",IF(E75="","⚠ Quantity",IF(AND(ISNUMBER(L75),COUNTIF(L$1:L74,L75)&gt;0),"⚠ Same serial "&amp;L75,IF(AND(ISNUMBER(L75),L75&gt;MIN($L$2:$L$1001),COUNTIF($L$2:$L$1001,L75-1)=0,COUNTIF($L$2:$L$1001,L75-2)&lt;2),"⚠ Missing serial "&amp;(L75-1),IF(AND(MAX(K$1:K74)&gt;0,N(K75)-MAX(K$1:K74)&gt;180),"⚠ Gap &gt; 3h",IF(C75-I75&gt;=0.99,"next day",IF(C75-I75&gt;0.4,"12h → 24h","")))))))))))</f>
        <v/>
      </c>
      <c r="H75" s="4" t="str">
        <f t="shared" si="5"/>
        <v/>
      </c>
      <c r="I75" s="5" t="str">
        <f t="shared" si="6"/>
        <v/>
      </c>
      <c r="J75" s="6">
        <f t="shared" si="7"/>
        <v>0</v>
      </c>
      <c r="K75" s="4" t="str">
        <f t="shared" si="8"/>
        <v/>
      </c>
      <c r="L75" s="4" t="str">
        <f t="shared" si="9"/>
        <v/>
      </c>
      <c r="M75" s="4" t="b" cm="1">
        <f t="array" ref="M75">IF(H75="",FALSE,SUMPRODUCT(--(H$1:H74=H75))&gt;0)</f>
        <v>0</v>
      </c>
    </row>
    <row r="76" spans="1:13" x14ac:dyDescent="0.25">
      <c r="A76" s="9" t="str">
        <f>IF(OR(B76="",M76,G76="— ignored"),"",MAX(A$1:A75)+1)</f>
        <v/>
      </c>
      <c r="B76" s="10"/>
      <c r="C76" s="11" t="str">
        <f>IF(I76="","",ROUND((I76+0.5*MAX(0,CEILING(ROUND((MAX(C$1:C75)-1/48-I76)/0.5,6),1)))*1440,0)/1440)</f>
        <v/>
      </c>
      <c r="D76" s="9" t="str" cm="1">
        <f t="array" ref="D76">IF(H76="","",IFERROR(INDEX(Log!$C$19:$G$19,VALUE(MID(H76,FIND("#",H76)+1,1))),""))</f>
        <v/>
      </c>
      <c r="E76" s="9" t="str" cm="1">
        <f t="array" ref="E76">IF(OR(H76="",M76),"",IFERROR(_xlfn.LET(_xlpm.t,SUBSTITUTE(UPPER(H76),"م","M"),_xlpm.u,SUBSTITUTE(_xlpm.t,"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6" s="12"/>
      <c r="G76" s="13" t="str">
        <f>IF(B76="","",IF(M76,"⚠ Duplicate (not counted)",IF(AND(I76="",D76="",E76=""),"— ignored",IF(C76="","⚠ Time",IF(D76="","⚠ Plant",IF(E76="","⚠ Quantity",IF(AND(ISNUMBER(L76),COUNTIF(L$1:L75,L76)&gt;0),"⚠ Same serial "&amp;L76,IF(AND(ISNUMBER(L76),L76&gt;MIN($L$2:$L$1001),COUNTIF($L$2:$L$1001,L76-1)=0,COUNTIF($L$2:$L$1001,L76-2)&lt;2),"⚠ Missing serial "&amp;(L76-1),IF(AND(MAX(K$1:K75)&gt;0,N(K76)-MAX(K$1:K75)&gt;180),"⚠ Gap &gt; 3h",IF(C76-I76&gt;=0.99,"next day",IF(C76-I76&gt;0.4,"12h → 24h","")))))))))))</f>
        <v/>
      </c>
      <c r="H76" s="4" t="str">
        <f t="shared" si="5"/>
        <v/>
      </c>
      <c r="I76" s="5" t="str">
        <f t="shared" si="6"/>
        <v/>
      </c>
      <c r="J76" s="6">
        <f t="shared" si="7"/>
        <v>0</v>
      </c>
      <c r="K76" s="4" t="str">
        <f t="shared" si="8"/>
        <v/>
      </c>
      <c r="L76" s="4" t="str">
        <f t="shared" si="9"/>
        <v/>
      </c>
      <c r="M76" s="4" t="b" cm="1">
        <f t="array" ref="M76">IF(H76="",FALSE,SUMPRODUCT(--(H$1:H75=H76))&gt;0)</f>
        <v>0</v>
      </c>
    </row>
    <row r="77" spans="1:13" x14ac:dyDescent="0.25">
      <c r="A77" s="9" t="str">
        <f>IF(OR(B77="",M77,G77="— ignored"),"",MAX(A$1:A76)+1)</f>
        <v/>
      </c>
      <c r="B77" s="10"/>
      <c r="C77" s="11" t="str">
        <f>IF(I77="","",ROUND((I77+0.5*MAX(0,CEILING(ROUND((MAX(C$1:C76)-1/48-I77)/0.5,6),1)))*1440,0)/1440)</f>
        <v/>
      </c>
      <c r="D77" s="9" t="str" cm="1">
        <f t="array" ref="D77">IF(H77="","",IFERROR(INDEX(Log!$C$19:$G$19,VALUE(MID(H77,FIND("#",H77)+1,1))),""))</f>
        <v/>
      </c>
      <c r="E77" s="9" t="str" cm="1">
        <f t="array" ref="E77">IF(OR(H77="",M77),"",IFERROR(_xlfn.LET(_xlpm.t,SUBSTITUTE(UPPER(H77),"م","M"),_xlpm.u,SUBSTITUTE(_xlpm.t,"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7" s="12"/>
      <c r="G77" s="13" t="str">
        <f>IF(B77="","",IF(M77,"⚠ Duplicate (not counted)",IF(AND(I77="",D77="",E77=""),"— ignored",IF(C77="","⚠ Time",IF(D77="","⚠ Plant",IF(E77="","⚠ Quantity",IF(AND(ISNUMBER(L77),COUNTIF(L$1:L76,L77)&gt;0),"⚠ Same serial "&amp;L77,IF(AND(ISNUMBER(L77),L77&gt;MIN($L$2:$L$1001),COUNTIF($L$2:$L$1001,L77-1)=0,COUNTIF($L$2:$L$1001,L77-2)&lt;2),"⚠ Missing serial "&amp;(L77-1),IF(AND(MAX(K$1:K76)&gt;0,N(K77)-MAX(K$1:K76)&gt;180),"⚠ Gap &gt; 3h",IF(C77-I77&gt;=0.99,"next day",IF(C77-I77&gt;0.4,"12h → 24h","")))))))))))</f>
        <v/>
      </c>
      <c r="H77" s="4" t="str">
        <f t="shared" si="5"/>
        <v/>
      </c>
      <c r="I77" s="5" t="str">
        <f t="shared" si="6"/>
        <v/>
      </c>
      <c r="J77" s="6">
        <f t="shared" si="7"/>
        <v>0</v>
      </c>
      <c r="K77" s="4" t="str">
        <f t="shared" si="8"/>
        <v/>
      </c>
      <c r="L77" s="4" t="str">
        <f t="shared" si="9"/>
        <v/>
      </c>
      <c r="M77" s="4" t="b" cm="1">
        <f t="array" ref="M77">IF(H77="",FALSE,SUMPRODUCT(--(H$1:H76=H77))&gt;0)</f>
        <v>0</v>
      </c>
    </row>
    <row r="78" spans="1:13" x14ac:dyDescent="0.25">
      <c r="A78" s="9" t="str">
        <f>IF(OR(B78="",M78,G78="— ignored"),"",MAX(A$1:A77)+1)</f>
        <v/>
      </c>
      <c r="B78" s="10"/>
      <c r="C78" s="11" t="str">
        <f>IF(I78="","",ROUND((I78+0.5*MAX(0,CEILING(ROUND((MAX(C$1:C77)-1/48-I78)/0.5,6),1)))*1440,0)/1440)</f>
        <v/>
      </c>
      <c r="D78" s="9" t="str" cm="1">
        <f t="array" ref="D78">IF(H78="","",IFERROR(INDEX(Log!$C$19:$G$19,VALUE(MID(H78,FIND("#",H78)+1,1))),""))</f>
        <v/>
      </c>
      <c r="E78" s="9" t="str" cm="1">
        <f t="array" ref="E78">IF(OR(H78="",M78),"",IFERROR(_xlfn.LET(_xlpm.t,SUBSTITUTE(UPPER(H78),"م","M"),_xlpm.u,SUBSTITUTE(_xlpm.t,"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8" s="12"/>
      <c r="G78" s="13" t="str">
        <f>IF(B78="","",IF(M78,"⚠ Duplicate (not counted)",IF(AND(I78="",D78="",E78=""),"— ignored",IF(C78="","⚠ Time",IF(D78="","⚠ Plant",IF(E78="","⚠ Quantity",IF(AND(ISNUMBER(L78),COUNTIF(L$1:L77,L78)&gt;0),"⚠ Same serial "&amp;L78,IF(AND(ISNUMBER(L78),L78&gt;MIN($L$2:$L$1001),COUNTIF($L$2:$L$1001,L78-1)=0,COUNTIF($L$2:$L$1001,L78-2)&lt;2),"⚠ Missing serial "&amp;(L78-1),IF(AND(MAX(K$1:K77)&gt;0,N(K78)-MAX(K$1:K77)&gt;180),"⚠ Gap &gt; 3h",IF(C78-I78&gt;=0.99,"next day",IF(C78-I78&gt;0.4,"12h → 24h","")))))))))))</f>
        <v/>
      </c>
      <c r="H78" s="4" t="str">
        <f t="shared" si="5"/>
        <v/>
      </c>
      <c r="I78" s="5" t="str">
        <f t="shared" si="6"/>
        <v/>
      </c>
      <c r="J78" s="6">
        <f t="shared" si="7"/>
        <v>0</v>
      </c>
      <c r="K78" s="4" t="str">
        <f t="shared" si="8"/>
        <v/>
      </c>
      <c r="L78" s="4" t="str">
        <f t="shared" si="9"/>
        <v/>
      </c>
      <c r="M78" s="4" t="b" cm="1">
        <f t="array" ref="M78">IF(H78="",FALSE,SUMPRODUCT(--(H$1:H77=H78))&gt;0)</f>
        <v>0</v>
      </c>
    </row>
    <row r="79" spans="1:13" x14ac:dyDescent="0.25">
      <c r="A79" s="9" t="str">
        <f>IF(OR(B79="",M79,G79="— ignored"),"",MAX(A$1:A78)+1)</f>
        <v/>
      </c>
      <c r="B79" s="10"/>
      <c r="C79" s="11" t="str">
        <f>IF(I79="","",ROUND((I79+0.5*MAX(0,CEILING(ROUND((MAX(C$1:C78)-1/48-I79)/0.5,6),1)))*1440,0)/1440)</f>
        <v/>
      </c>
      <c r="D79" s="9" t="str" cm="1">
        <f t="array" ref="D79">IF(H79="","",IFERROR(INDEX(Log!$C$19:$G$19,VALUE(MID(H79,FIND("#",H79)+1,1))),""))</f>
        <v/>
      </c>
      <c r="E79" s="9" t="str" cm="1">
        <f t="array" ref="E79">IF(OR(H79="",M79),"",IFERROR(_xlfn.LET(_xlpm.t,SUBSTITUTE(UPPER(H79),"م","M"),_xlpm.u,SUBSTITUTE(_xlpm.t,"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9" s="12"/>
      <c r="G79" s="13" t="str">
        <f>IF(B79="","",IF(M79,"⚠ Duplicate (not counted)",IF(AND(I79="",D79="",E79=""),"— ignored",IF(C79="","⚠ Time",IF(D79="","⚠ Plant",IF(E79="","⚠ Quantity",IF(AND(ISNUMBER(L79),COUNTIF(L$1:L78,L79)&gt;0),"⚠ Same serial "&amp;L79,IF(AND(ISNUMBER(L79),L79&gt;MIN($L$2:$L$1001),COUNTIF($L$2:$L$1001,L79-1)=0,COUNTIF($L$2:$L$1001,L79-2)&lt;2),"⚠ Missing serial "&amp;(L79-1),IF(AND(MAX(K$1:K78)&gt;0,N(K79)-MAX(K$1:K78)&gt;180),"⚠ Gap &gt; 3h",IF(C79-I79&gt;=0.99,"next day",IF(C79-I79&gt;0.4,"12h → 24h","")))))))))))</f>
        <v/>
      </c>
      <c r="H79" s="4" t="str">
        <f t="shared" si="5"/>
        <v/>
      </c>
      <c r="I79" s="5" t="str">
        <f t="shared" si="6"/>
        <v/>
      </c>
      <c r="J79" s="6">
        <f t="shared" si="7"/>
        <v>0</v>
      </c>
      <c r="K79" s="4" t="str">
        <f t="shared" si="8"/>
        <v/>
      </c>
      <c r="L79" s="4" t="str">
        <f t="shared" si="9"/>
        <v/>
      </c>
      <c r="M79" s="4" t="b" cm="1">
        <f t="array" ref="M79">IF(H79="",FALSE,SUMPRODUCT(--(H$1:H78=H79))&gt;0)</f>
        <v>0</v>
      </c>
    </row>
    <row r="80" spans="1:13" x14ac:dyDescent="0.25">
      <c r="A80" s="9" t="str">
        <f>IF(OR(B80="",M80,G80="— ignored"),"",MAX(A$1:A79)+1)</f>
        <v/>
      </c>
      <c r="B80" s="10"/>
      <c r="C80" s="11" t="str">
        <f>IF(I80="","",ROUND((I80+0.5*MAX(0,CEILING(ROUND((MAX(C$1:C79)-1/48-I80)/0.5,6),1)))*1440,0)/1440)</f>
        <v/>
      </c>
      <c r="D80" s="9" t="str" cm="1">
        <f t="array" ref="D80">IF(H80="","",IFERROR(INDEX(Log!$C$19:$G$19,VALUE(MID(H80,FIND("#",H80)+1,1))),""))</f>
        <v/>
      </c>
      <c r="E80" s="9" t="str" cm="1">
        <f t="array" ref="E80">IF(OR(H80="",M80),"",IFERROR(_xlfn.LET(_xlpm.t,SUBSTITUTE(UPPER(H80),"م","M"),_xlpm.u,SUBSTITUTE(_xlpm.t,"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0" s="12"/>
      <c r="G80" s="13" t="str">
        <f>IF(B80="","",IF(M80,"⚠ Duplicate (not counted)",IF(AND(I80="",D80="",E80=""),"— ignored",IF(C80="","⚠ Time",IF(D80="","⚠ Plant",IF(E80="","⚠ Quantity",IF(AND(ISNUMBER(L80),COUNTIF(L$1:L79,L80)&gt;0),"⚠ Same serial "&amp;L80,IF(AND(ISNUMBER(L80),L80&gt;MIN($L$2:$L$1001),COUNTIF($L$2:$L$1001,L80-1)=0,COUNTIF($L$2:$L$1001,L80-2)&lt;2),"⚠ Missing serial "&amp;(L80-1),IF(AND(MAX(K$1:K79)&gt;0,N(K80)-MAX(K$1:K79)&gt;180),"⚠ Gap &gt; 3h",IF(C80-I80&gt;=0.99,"next day",IF(C80-I80&gt;0.4,"12h → 24h","")))))))))))</f>
        <v/>
      </c>
      <c r="H80" s="4" t="str">
        <f t="shared" si="5"/>
        <v/>
      </c>
      <c r="I80" s="5" t="str">
        <f t="shared" si="6"/>
        <v/>
      </c>
      <c r="J80" s="6">
        <f t="shared" si="7"/>
        <v>0</v>
      </c>
      <c r="K80" s="4" t="str">
        <f t="shared" si="8"/>
        <v/>
      </c>
      <c r="L80" s="4" t="str">
        <f t="shared" si="9"/>
        <v/>
      </c>
      <c r="M80" s="4" t="b" cm="1">
        <f t="array" ref="M80">IF(H80="",FALSE,SUMPRODUCT(--(H$1:H79=H80))&gt;0)</f>
        <v>0</v>
      </c>
    </row>
    <row r="81" spans="1:13" x14ac:dyDescent="0.25">
      <c r="A81" s="9" t="str">
        <f>IF(OR(B81="",M81,G81="— ignored"),"",MAX(A$1:A80)+1)</f>
        <v/>
      </c>
      <c r="B81" s="10"/>
      <c r="C81" s="11" t="str">
        <f>IF(I81="","",ROUND((I81+0.5*MAX(0,CEILING(ROUND((MAX(C$1:C80)-1/48-I81)/0.5,6),1)))*1440,0)/1440)</f>
        <v/>
      </c>
      <c r="D81" s="9" t="str" cm="1">
        <f t="array" ref="D81">IF(H81="","",IFERROR(INDEX(Log!$C$19:$G$19,VALUE(MID(H81,FIND("#",H81)+1,1))),""))</f>
        <v/>
      </c>
      <c r="E81" s="9" t="str" cm="1">
        <f t="array" ref="E81">IF(OR(H81="",M81),"",IFERROR(_xlfn.LET(_xlpm.t,SUBSTITUTE(UPPER(H81),"م","M"),_xlpm.u,SUBSTITUTE(_xlpm.t,"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1" s="12"/>
      <c r="G81" s="13" t="str">
        <f>IF(B81="","",IF(M81,"⚠ Duplicate (not counted)",IF(AND(I81="",D81="",E81=""),"— ignored",IF(C81="","⚠ Time",IF(D81="","⚠ Plant",IF(E81="","⚠ Quantity",IF(AND(ISNUMBER(L81),COUNTIF(L$1:L80,L81)&gt;0),"⚠ Same serial "&amp;L81,IF(AND(ISNUMBER(L81),L81&gt;MIN($L$2:$L$1001),COUNTIF($L$2:$L$1001,L81-1)=0,COUNTIF($L$2:$L$1001,L81-2)&lt;2),"⚠ Missing serial "&amp;(L81-1),IF(AND(MAX(K$1:K80)&gt;0,N(K81)-MAX(K$1:K80)&gt;180),"⚠ Gap &gt; 3h",IF(C81-I81&gt;=0.99,"next day",IF(C81-I81&gt;0.4,"12h → 24h","")))))))))))</f>
        <v/>
      </c>
      <c r="H81" s="4" t="str">
        <f t="shared" si="5"/>
        <v/>
      </c>
      <c r="I81" s="5" t="str">
        <f t="shared" si="6"/>
        <v/>
      </c>
      <c r="J81" s="6">
        <f t="shared" si="7"/>
        <v>0</v>
      </c>
      <c r="K81" s="4" t="str">
        <f t="shared" si="8"/>
        <v/>
      </c>
      <c r="L81" s="4" t="str">
        <f t="shared" si="9"/>
        <v/>
      </c>
      <c r="M81" s="4" t="b" cm="1">
        <f t="array" ref="M81">IF(H81="",FALSE,SUMPRODUCT(--(H$1:H80=H81))&gt;0)</f>
        <v>0</v>
      </c>
    </row>
    <row r="82" spans="1:13" x14ac:dyDescent="0.25">
      <c r="A82" s="9" t="str">
        <f>IF(OR(B82="",M82,G82="— ignored"),"",MAX(A$1:A81)+1)</f>
        <v/>
      </c>
      <c r="B82" s="10"/>
      <c r="C82" s="11" t="str">
        <f>IF(I82="","",ROUND((I82+0.5*MAX(0,CEILING(ROUND((MAX(C$1:C81)-1/48-I82)/0.5,6),1)))*1440,0)/1440)</f>
        <v/>
      </c>
      <c r="D82" s="9" t="str" cm="1">
        <f t="array" ref="D82">IF(H82="","",IFERROR(INDEX(Log!$C$19:$G$19,VALUE(MID(H82,FIND("#",H82)+1,1))),""))</f>
        <v/>
      </c>
      <c r="E82" s="9" t="str" cm="1">
        <f t="array" ref="E82">IF(OR(H82="",M82),"",IFERROR(_xlfn.LET(_xlpm.t,SUBSTITUTE(UPPER(H82),"م","M"),_xlpm.u,SUBSTITUTE(_xlpm.t,"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2" s="12"/>
      <c r="G82" s="13" t="str">
        <f>IF(B82="","",IF(M82,"⚠ Duplicate (not counted)",IF(AND(I82="",D82="",E82=""),"— ignored",IF(C82="","⚠ Time",IF(D82="","⚠ Plant",IF(E82="","⚠ Quantity",IF(AND(ISNUMBER(L82),COUNTIF(L$1:L81,L82)&gt;0),"⚠ Same serial "&amp;L82,IF(AND(ISNUMBER(L82),L82&gt;MIN($L$2:$L$1001),COUNTIF($L$2:$L$1001,L82-1)=0,COUNTIF($L$2:$L$1001,L82-2)&lt;2),"⚠ Missing serial "&amp;(L82-1),IF(AND(MAX(K$1:K81)&gt;0,N(K82)-MAX(K$1:K81)&gt;180),"⚠ Gap &gt; 3h",IF(C82-I82&gt;=0.99,"next day",IF(C82-I82&gt;0.4,"12h → 24h","")))))))))))</f>
        <v/>
      </c>
      <c r="H82" s="4" t="str">
        <f t="shared" si="5"/>
        <v/>
      </c>
      <c r="I82" s="5" t="str">
        <f t="shared" si="6"/>
        <v/>
      </c>
      <c r="J82" s="6">
        <f t="shared" si="7"/>
        <v>0</v>
      </c>
      <c r="K82" s="4" t="str">
        <f t="shared" si="8"/>
        <v/>
      </c>
      <c r="L82" s="4" t="str">
        <f t="shared" si="9"/>
        <v/>
      </c>
      <c r="M82" s="4" t="b" cm="1">
        <f t="array" ref="M82">IF(H82="",FALSE,SUMPRODUCT(--(H$1:H81=H82))&gt;0)</f>
        <v>0</v>
      </c>
    </row>
    <row r="83" spans="1:13" x14ac:dyDescent="0.25">
      <c r="A83" s="9" t="str">
        <f>IF(OR(B83="",M83,G83="— ignored"),"",MAX(A$1:A82)+1)</f>
        <v/>
      </c>
      <c r="B83" s="10"/>
      <c r="C83" s="11" t="str">
        <f>IF(I83="","",ROUND((I83+0.5*MAX(0,CEILING(ROUND((MAX(C$1:C82)-1/48-I83)/0.5,6),1)))*1440,0)/1440)</f>
        <v/>
      </c>
      <c r="D83" s="9" t="str" cm="1">
        <f t="array" ref="D83">IF(H83="","",IFERROR(INDEX(Log!$C$19:$G$19,VALUE(MID(H83,FIND("#",H83)+1,1))),""))</f>
        <v/>
      </c>
      <c r="E83" s="9" t="str" cm="1">
        <f t="array" ref="E83">IF(OR(H83="",M83),"",IFERROR(_xlfn.LET(_xlpm.t,SUBSTITUTE(UPPER(H83),"م","M"),_xlpm.u,SUBSTITUTE(_xlpm.t,"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3" s="12"/>
      <c r="G83" s="13" t="str">
        <f>IF(B83="","",IF(M83,"⚠ Duplicate (not counted)",IF(AND(I83="",D83="",E83=""),"— ignored",IF(C83="","⚠ Time",IF(D83="","⚠ Plant",IF(E83="","⚠ Quantity",IF(AND(ISNUMBER(L83),COUNTIF(L$1:L82,L83)&gt;0),"⚠ Same serial "&amp;L83,IF(AND(ISNUMBER(L83),L83&gt;MIN($L$2:$L$1001),COUNTIF($L$2:$L$1001,L83-1)=0,COUNTIF($L$2:$L$1001,L83-2)&lt;2),"⚠ Missing serial "&amp;(L83-1),IF(AND(MAX(K$1:K82)&gt;0,N(K83)-MAX(K$1:K82)&gt;180),"⚠ Gap &gt; 3h",IF(C83-I83&gt;=0.99,"next day",IF(C83-I83&gt;0.4,"12h → 24h","")))))))))))</f>
        <v/>
      </c>
      <c r="H83" s="4" t="str">
        <f t="shared" si="5"/>
        <v/>
      </c>
      <c r="I83" s="5" t="str">
        <f t="shared" si="6"/>
        <v/>
      </c>
      <c r="J83" s="6">
        <f t="shared" si="7"/>
        <v>0</v>
      </c>
      <c r="K83" s="4" t="str">
        <f t="shared" si="8"/>
        <v/>
      </c>
      <c r="L83" s="4" t="str">
        <f t="shared" si="9"/>
        <v/>
      </c>
      <c r="M83" s="4" t="b" cm="1">
        <f t="array" ref="M83">IF(H83="",FALSE,SUMPRODUCT(--(H$1:H82=H83))&gt;0)</f>
        <v>0</v>
      </c>
    </row>
    <row r="84" spans="1:13" x14ac:dyDescent="0.25">
      <c r="A84" s="9" t="str">
        <f>IF(OR(B84="",M84,G84="— ignored"),"",MAX(A$1:A83)+1)</f>
        <v/>
      </c>
      <c r="B84" s="10"/>
      <c r="C84" s="11" t="str">
        <f>IF(I84="","",ROUND((I84+0.5*MAX(0,CEILING(ROUND((MAX(C$1:C83)-1/48-I84)/0.5,6),1)))*1440,0)/1440)</f>
        <v/>
      </c>
      <c r="D84" s="9" t="str" cm="1">
        <f t="array" ref="D84">IF(H84="","",IFERROR(INDEX(Log!$C$19:$G$19,VALUE(MID(H84,FIND("#",H84)+1,1))),""))</f>
        <v/>
      </c>
      <c r="E84" s="9" t="str" cm="1">
        <f t="array" ref="E84">IF(OR(H84="",M84),"",IFERROR(_xlfn.LET(_xlpm.t,SUBSTITUTE(UPPER(H84),"م","M"),_xlpm.u,SUBSTITUTE(_xlpm.t,"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4" s="12"/>
      <c r="G84" s="13" t="str">
        <f>IF(B84="","",IF(M84,"⚠ Duplicate (not counted)",IF(AND(I84="",D84="",E84=""),"— ignored",IF(C84="","⚠ Time",IF(D84="","⚠ Plant",IF(E84="","⚠ Quantity",IF(AND(ISNUMBER(L84),COUNTIF(L$1:L83,L84)&gt;0),"⚠ Same serial "&amp;L84,IF(AND(ISNUMBER(L84),L84&gt;MIN($L$2:$L$1001),COUNTIF($L$2:$L$1001,L84-1)=0,COUNTIF($L$2:$L$1001,L84-2)&lt;2),"⚠ Missing serial "&amp;(L84-1),IF(AND(MAX(K$1:K83)&gt;0,N(K84)-MAX(K$1:K83)&gt;180),"⚠ Gap &gt; 3h",IF(C84-I84&gt;=0.99,"next day",IF(C84-I84&gt;0.4,"12h → 24h","")))))))))))</f>
        <v/>
      </c>
      <c r="H84" s="4" t="str">
        <f t="shared" si="5"/>
        <v/>
      </c>
      <c r="I84" s="5" t="str">
        <f t="shared" si="6"/>
        <v/>
      </c>
      <c r="J84" s="6">
        <f t="shared" si="7"/>
        <v>0</v>
      </c>
      <c r="K84" s="4" t="str">
        <f t="shared" si="8"/>
        <v/>
      </c>
      <c r="L84" s="4" t="str">
        <f t="shared" si="9"/>
        <v/>
      </c>
      <c r="M84" s="4" t="b" cm="1">
        <f t="array" ref="M84">IF(H84="",FALSE,SUMPRODUCT(--(H$1:H83=H84))&gt;0)</f>
        <v>0</v>
      </c>
    </row>
    <row r="85" spans="1:13" x14ac:dyDescent="0.25">
      <c r="A85" s="9" t="str">
        <f>IF(OR(B85="",M85,G85="— ignored"),"",MAX(A$1:A84)+1)</f>
        <v/>
      </c>
      <c r="B85" s="10"/>
      <c r="C85" s="11" t="str">
        <f>IF(I85="","",ROUND((I85+0.5*MAX(0,CEILING(ROUND((MAX(C$1:C84)-1/48-I85)/0.5,6),1)))*1440,0)/1440)</f>
        <v/>
      </c>
      <c r="D85" s="9" t="str" cm="1">
        <f t="array" ref="D85">IF(H85="","",IFERROR(INDEX(Log!$C$19:$G$19,VALUE(MID(H85,FIND("#",H85)+1,1))),""))</f>
        <v/>
      </c>
      <c r="E85" s="9" t="str" cm="1">
        <f t="array" ref="E85">IF(OR(H85="",M85),"",IFERROR(_xlfn.LET(_xlpm.t,SUBSTITUTE(UPPER(H85),"م","M"),_xlpm.u,SUBSTITUTE(_xlpm.t,"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5" s="12"/>
      <c r="G85" s="13" t="str">
        <f>IF(B85="","",IF(M85,"⚠ Duplicate (not counted)",IF(AND(I85="",D85="",E85=""),"— ignored",IF(C85="","⚠ Time",IF(D85="","⚠ Plant",IF(E85="","⚠ Quantity",IF(AND(ISNUMBER(L85),COUNTIF(L$1:L84,L85)&gt;0),"⚠ Same serial "&amp;L85,IF(AND(ISNUMBER(L85),L85&gt;MIN($L$2:$L$1001),COUNTIF($L$2:$L$1001,L85-1)=0,COUNTIF($L$2:$L$1001,L85-2)&lt;2),"⚠ Missing serial "&amp;(L85-1),IF(AND(MAX(K$1:K84)&gt;0,N(K85)-MAX(K$1:K84)&gt;180),"⚠ Gap &gt; 3h",IF(C85-I85&gt;=0.99,"next day",IF(C85-I85&gt;0.4,"12h → 24h","")))))))))))</f>
        <v/>
      </c>
      <c r="H85" s="4" t="str">
        <f t="shared" si="5"/>
        <v/>
      </c>
      <c r="I85" s="5" t="str">
        <f t="shared" si="6"/>
        <v/>
      </c>
      <c r="J85" s="6">
        <f t="shared" si="7"/>
        <v>0</v>
      </c>
      <c r="K85" s="4" t="str">
        <f t="shared" si="8"/>
        <v/>
      </c>
      <c r="L85" s="4" t="str">
        <f t="shared" si="9"/>
        <v/>
      </c>
      <c r="M85" s="4" t="b" cm="1">
        <f t="array" ref="M85">IF(H85="",FALSE,SUMPRODUCT(--(H$1:H84=H85))&gt;0)</f>
        <v>0</v>
      </c>
    </row>
    <row r="86" spans="1:13" x14ac:dyDescent="0.25">
      <c r="A86" s="9" t="str">
        <f>IF(OR(B86="",M86,G86="— ignored"),"",MAX(A$1:A85)+1)</f>
        <v/>
      </c>
      <c r="B86" s="10"/>
      <c r="C86" s="11" t="str">
        <f>IF(I86="","",ROUND((I86+0.5*MAX(0,CEILING(ROUND((MAX(C$1:C85)-1/48-I86)/0.5,6),1)))*1440,0)/1440)</f>
        <v/>
      </c>
      <c r="D86" s="9" t="str" cm="1">
        <f t="array" ref="D86">IF(H86="","",IFERROR(INDEX(Log!$C$19:$G$19,VALUE(MID(H86,FIND("#",H86)+1,1))),""))</f>
        <v/>
      </c>
      <c r="E86" s="9" t="str" cm="1">
        <f t="array" ref="E86">IF(OR(H86="",M86),"",IFERROR(_xlfn.LET(_xlpm.t,SUBSTITUTE(UPPER(H86),"م","M"),_xlpm.u,SUBSTITUTE(_xlpm.t,"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6" s="12"/>
      <c r="G86" s="13" t="str">
        <f>IF(B86="","",IF(M86,"⚠ Duplicate (not counted)",IF(AND(I86="",D86="",E86=""),"— ignored",IF(C86="","⚠ Time",IF(D86="","⚠ Plant",IF(E86="","⚠ Quantity",IF(AND(ISNUMBER(L86),COUNTIF(L$1:L85,L86)&gt;0),"⚠ Same serial "&amp;L86,IF(AND(ISNUMBER(L86),L86&gt;MIN($L$2:$L$1001),COUNTIF($L$2:$L$1001,L86-1)=0,COUNTIF($L$2:$L$1001,L86-2)&lt;2),"⚠ Missing serial "&amp;(L86-1),IF(AND(MAX(K$1:K85)&gt;0,N(K86)-MAX(K$1:K85)&gt;180),"⚠ Gap &gt; 3h",IF(C86-I86&gt;=0.99,"next day",IF(C86-I86&gt;0.4,"12h → 24h","")))))))))))</f>
        <v/>
      </c>
      <c r="H86" s="4" t="str">
        <f t="shared" si="5"/>
        <v/>
      </c>
      <c r="I86" s="5" t="str">
        <f t="shared" si="6"/>
        <v/>
      </c>
      <c r="J86" s="6">
        <f t="shared" si="7"/>
        <v>0</v>
      </c>
      <c r="K86" s="4" t="str">
        <f t="shared" si="8"/>
        <v/>
      </c>
      <c r="L86" s="4" t="str">
        <f t="shared" si="9"/>
        <v/>
      </c>
      <c r="M86" s="4" t="b" cm="1">
        <f t="array" ref="M86">IF(H86="",FALSE,SUMPRODUCT(--(H$1:H85=H86))&gt;0)</f>
        <v>0</v>
      </c>
    </row>
    <row r="87" spans="1:13" x14ac:dyDescent="0.25">
      <c r="A87" s="9" t="str">
        <f>IF(OR(B87="",M87,G87="— ignored"),"",MAX(A$1:A86)+1)</f>
        <v/>
      </c>
      <c r="B87" s="10"/>
      <c r="C87" s="11" t="str">
        <f>IF(I87="","",ROUND((I87+0.5*MAX(0,CEILING(ROUND((MAX(C$1:C86)-1/48-I87)/0.5,6),1)))*1440,0)/1440)</f>
        <v/>
      </c>
      <c r="D87" s="9" t="str" cm="1">
        <f t="array" ref="D87">IF(H87="","",IFERROR(INDEX(Log!$C$19:$G$19,VALUE(MID(H87,FIND("#",H87)+1,1))),""))</f>
        <v/>
      </c>
      <c r="E87" s="9" t="str" cm="1">
        <f t="array" ref="E87">IF(OR(H87="",M87),"",IFERROR(_xlfn.LET(_xlpm.t,SUBSTITUTE(UPPER(H87),"م","M"),_xlpm.u,SUBSTITUTE(_xlpm.t,"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7" s="12"/>
      <c r="G87" s="13" t="str">
        <f>IF(B87="","",IF(M87,"⚠ Duplicate (not counted)",IF(AND(I87="",D87="",E87=""),"— ignored",IF(C87="","⚠ Time",IF(D87="","⚠ Plant",IF(E87="","⚠ Quantity",IF(AND(ISNUMBER(L87),COUNTIF(L$1:L86,L87)&gt;0),"⚠ Same serial "&amp;L87,IF(AND(ISNUMBER(L87),L87&gt;MIN($L$2:$L$1001),COUNTIF($L$2:$L$1001,L87-1)=0,COUNTIF($L$2:$L$1001,L87-2)&lt;2),"⚠ Missing serial "&amp;(L87-1),IF(AND(MAX(K$1:K86)&gt;0,N(K87)-MAX(K$1:K86)&gt;180),"⚠ Gap &gt; 3h",IF(C87-I87&gt;=0.99,"next day",IF(C87-I87&gt;0.4,"12h → 24h","")))))))))))</f>
        <v/>
      </c>
      <c r="H87" s="4" t="str">
        <f t="shared" si="5"/>
        <v/>
      </c>
      <c r="I87" s="5" t="str">
        <f t="shared" si="6"/>
        <v/>
      </c>
      <c r="J87" s="6">
        <f t="shared" si="7"/>
        <v>0</v>
      </c>
      <c r="K87" s="4" t="str">
        <f t="shared" si="8"/>
        <v/>
      </c>
      <c r="L87" s="4" t="str">
        <f t="shared" si="9"/>
        <v/>
      </c>
      <c r="M87" s="4" t="b" cm="1">
        <f t="array" ref="M87">IF(H87="",FALSE,SUMPRODUCT(--(H$1:H86=H87))&gt;0)</f>
        <v>0</v>
      </c>
    </row>
    <row r="88" spans="1:13" x14ac:dyDescent="0.25">
      <c r="A88" s="9" t="str">
        <f>IF(OR(B88="",M88,G88="— ignored"),"",MAX(A$1:A87)+1)</f>
        <v/>
      </c>
      <c r="B88" s="10"/>
      <c r="C88" s="11" t="str">
        <f>IF(I88="","",ROUND((I88+0.5*MAX(0,CEILING(ROUND((MAX(C$1:C87)-1/48-I88)/0.5,6),1)))*1440,0)/1440)</f>
        <v/>
      </c>
      <c r="D88" s="9" t="str" cm="1">
        <f t="array" ref="D88">IF(H88="","",IFERROR(INDEX(Log!$C$19:$G$19,VALUE(MID(H88,FIND("#",H88)+1,1))),""))</f>
        <v/>
      </c>
      <c r="E88" s="9" t="str" cm="1">
        <f t="array" ref="E88">IF(OR(H88="",M88),"",IFERROR(_xlfn.LET(_xlpm.t,SUBSTITUTE(UPPER(H88),"م","M"),_xlpm.u,SUBSTITUTE(_xlpm.t,"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8" s="12"/>
      <c r="G88" s="13" t="str">
        <f>IF(B88="","",IF(M88,"⚠ Duplicate (not counted)",IF(AND(I88="",D88="",E88=""),"— ignored",IF(C88="","⚠ Time",IF(D88="","⚠ Plant",IF(E88="","⚠ Quantity",IF(AND(ISNUMBER(L88),COUNTIF(L$1:L87,L88)&gt;0),"⚠ Same serial "&amp;L88,IF(AND(ISNUMBER(L88),L88&gt;MIN($L$2:$L$1001),COUNTIF($L$2:$L$1001,L88-1)=0,COUNTIF($L$2:$L$1001,L88-2)&lt;2),"⚠ Missing serial "&amp;(L88-1),IF(AND(MAX(K$1:K87)&gt;0,N(K88)-MAX(K$1:K87)&gt;180),"⚠ Gap &gt; 3h",IF(C88-I88&gt;=0.99,"next day",IF(C88-I88&gt;0.4,"12h → 24h","")))))))))))</f>
        <v/>
      </c>
      <c r="H88" s="4" t="str">
        <f t="shared" si="5"/>
        <v/>
      </c>
      <c r="I88" s="5" t="str">
        <f t="shared" si="6"/>
        <v/>
      </c>
      <c r="J88" s="6">
        <f t="shared" si="7"/>
        <v>0</v>
      </c>
      <c r="K88" s="4" t="str">
        <f t="shared" si="8"/>
        <v/>
      </c>
      <c r="L88" s="4" t="str">
        <f t="shared" si="9"/>
        <v/>
      </c>
      <c r="M88" s="4" t="b" cm="1">
        <f t="array" ref="M88">IF(H88="",FALSE,SUMPRODUCT(--(H$1:H87=H88))&gt;0)</f>
        <v>0</v>
      </c>
    </row>
    <row r="89" spans="1:13" x14ac:dyDescent="0.25">
      <c r="A89" s="9" t="str">
        <f>IF(OR(B89="",M89,G89="— ignored"),"",MAX(A$1:A88)+1)</f>
        <v/>
      </c>
      <c r="B89" s="10"/>
      <c r="C89" s="11" t="str">
        <f>IF(I89="","",ROUND((I89+0.5*MAX(0,CEILING(ROUND((MAX(C$1:C88)-1/48-I89)/0.5,6),1)))*1440,0)/1440)</f>
        <v/>
      </c>
      <c r="D89" s="9" t="str" cm="1">
        <f t="array" ref="D89">IF(H89="","",IFERROR(INDEX(Log!$C$19:$G$19,VALUE(MID(H89,FIND("#",H89)+1,1))),""))</f>
        <v/>
      </c>
      <c r="E89" s="9" t="str" cm="1">
        <f t="array" ref="E89">IF(OR(H89="",M89),"",IFERROR(_xlfn.LET(_xlpm.t,SUBSTITUTE(UPPER(H89),"م","M"),_xlpm.u,SUBSTITUTE(_xlpm.t,"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9" s="12"/>
      <c r="G89" s="13" t="str">
        <f>IF(B89="","",IF(M89,"⚠ Duplicate (not counted)",IF(AND(I89="",D89="",E89=""),"— ignored",IF(C89="","⚠ Time",IF(D89="","⚠ Plant",IF(E89="","⚠ Quantity",IF(AND(ISNUMBER(L89),COUNTIF(L$1:L88,L89)&gt;0),"⚠ Same serial "&amp;L89,IF(AND(ISNUMBER(L89),L89&gt;MIN($L$2:$L$1001),COUNTIF($L$2:$L$1001,L89-1)=0,COUNTIF($L$2:$L$1001,L89-2)&lt;2),"⚠ Missing serial "&amp;(L89-1),IF(AND(MAX(K$1:K88)&gt;0,N(K89)-MAX(K$1:K88)&gt;180),"⚠ Gap &gt; 3h",IF(C89-I89&gt;=0.99,"next day",IF(C89-I89&gt;0.4,"12h → 24h","")))))))))))</f>
        <v/>
      </c>
      <c r="H89" s="4" t="str">
        <f t="shared" si="5"/>
        <v/>
      </c>
      <c r="I89" s="5" t="str">
        <f t="shared" si="6"/>
        <v/>
      </c>
      <c r="J89" s="6">
        <f t="shared" si="7"/>
        <v>0</v>
      </c>
      <c r="K89" s="4" t="str">
        <f t="shared" si="8"/>
        <v/>
      </c>
      <c r="L89" s="4" t="str">
        <f t="shared" si="9"/>
        <v/>
      </c>
      <c r="M89" s="4" t="b" cm="1">
        <f t="array" ref="M89">IF(H89="",FALSE,SUMPRODUCT(--(H$1:H88=H89))&gt;0)</f>
        <v>0</v>
      </c>
    </row>
    <row r="90" spans="1:13" x14ac:dyDescent="0.25">
      <c r="A90" s="9" t="str">
        <f>IF(OR(B90="",M90,G90="— ignored"),"",MAX(A$1:A89)+1)</f>
        <v/>
      </c>
      <c r="B90" s="10"/>
      <c r="C90" s="11" t="str">
        <f>IF(I90="","",ROUND((I90+0.5*MAX(0,CEILING(ROUND((MAX(C$1:C89)-1/48-I90)/0.5,6),1)))*1440,0)/1440)</f>
        <v/>
      </c>
      <c r="D90" s="9" t="str" cm="1">
        <f t="array" ref="D90">IF(H90="","",IFERROR(INDEX(Log!$C$19:$G$19,VALUE(MID(H90,FIND("#",H90)+1,1))),""))</f>
        <v/>
      </c>
      <c r="E90" s="9" t="str" cm="1">
        <f t="array" ref="E90">IF(OR(H90="",M90),"",IFERROR(_xlfn.LET(_xlpm.t,SUBSTITUTE(UPPER(H90),"م","M"),_xlpm.u,SUBSTITUTE(_xlpm.t,"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90" s="12"/>
      <c r="G90" s="13" t="str">
        <f>IF(B90="","",IF(M90,"⚠ Duplicate (not counted)",IF(AND(I90="",D90="",E90=""),"— ignored",IF(C90="","⚠ Time",IF(D90="","⚠ Plant",IF(E90="","⚠ Quantity",IF(AND(ISNUMBER(L90),COUNTIF(L$1:L89,L90)&gt;0),"⚠ Same serial "&amp;L90,IF(AND(ISNUMBER(L90),L90&gt;MIN($L$2:$L$1001),COUNTIF($L$2:$L$1001,L90-1)=0,COUNTIF($L$2:$L$1001,L90-2)&lt;2),"⚠ Missing serial "&amp;(L90-1),IF(AND(MAX(K$1:K89)&gt;0,N(K90)-MAX(K$1:K89)&gt;180),"⚠ Gap &gt; 3h",IF(C90-I90&gt;=0.99,"next day",IF(C90-I90&gt;0.4,"12h → 24h","")))))))))))</f>
        <v/>
      </c>
      <c r="H90" s="4" t="str">
        <f t="shared" si="5"/>
        <v/>
      </c>
      <c r="I90" s="5" t="str">
        <f t="shared" si="6"/>
        <v/>
      </c>
      <c r="J90" s="6">
        <f t="shared" si="7"/>
        <v>0</v>
      </c>
      <c r="K90" s="4" t="str">
        <f t="shared" si="8"/>
        <v/>
      </c>
      <c r="L90" s="4" t="str">
        <f t="shared" si="9"/>
        <v/>
      </c>
      <c r="M90" s="4" t="b" cm="1">
        <f t="array" ref="M90">IF(H90="",FALSE,SUMPRODUCT(--(H$1:H89=H90))&gt;0)</f>
        <v>0</v>
      </c>
    </row>
    <row r="91" spans="1:13" x14ac:dyDescent="0.25">
      <c r="A91" s="9" t="str">
        <f>IF(OR(B91="",M91,G91="— ignored"),"",MAX(A$1:A90)+1)</f>
        <v/>
      </c>
      <c r="B91" s="10"/>
      <c r="C91" s="11" t="str">
        <f>IF(I91="","",ROUND((I91+0.5*MAX(0,CEILING(ROUND((MAX(C$1:C90)-1/48-I91)/0.5,6),1)))*1440,0)/1440)</f>
        <v/>
      </c>
      <c r="D91" s="9" t="str" cm="1">
        <f t="array" ref="D91">IF(H91="","",IFERROR(INDEX(Log!$C$19:$G$19,VALUE(MID(H91,FIND("#",H91)+1,1))),""))</f>
        <v/>
      </c>
      <c r="E91" s="9" t="str" cm="1">
        <f t="array" ref="E91">IF(OR(H91="",M91),"",IFERROR(_xlfn.LET(_xlpm.t,SUBSTITUTE(UPPER(H91),"م","M"),_xlpm.u,SUBSTITUTE(_xlpm.t,"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91" s="12"/>
      <c r="G91" s="13" t="str">
        <f>IF(B91="","",IF(M91,"⚠ Duplicate (not counted)",IF(AND(I91="",D91="",E91=""),"— ignored",IF(C91="","⚠ Time",IF(D91="","⚠ Plant",IF(E91="","⚠ Quantity",IF(AND(ISNUMBER(L91),COUNTIF(L$1:L90,L91)&gt;0),"⚠ Same serial "&amp;L91,IF(AND(ISNUMBER(L91),L91&gt;MIN($L$2:$L$1001),COUNTIF($L$2:$L$1001,L91-1)=0,COUNTIF($L$2:$L$1001,L91-2)&lt;2),"⚠ Missing serial "&amp;(L91-1),IF(AND(MAX(K$1:K90)&gt;0,N(K91)-MAX(K$1:K90)&gt;180),"⚠ Gap &gt; 3h",IF(C91-I91&gt;=0.99,"next day",IF(C91-I91&gt;0.4,"12h → 24h","")))))))))))</f>
        <v/>
      </c>
      <c r="H91" s="4" t="str">
        <f t="shared" si="5"/>
        <v/>
      </c>
      <c r="I91" s="5" t="str">
        <f t="shared" si="6"/>
        <v/>
      </c>
      <c r="J91" s="6">
        <f t="shared" si="7"/>
        <v>0</v>
      </c>
      <c r="K91" s="4" t="str">
        <f t="shared" si="8"/>
        <v/>
      </c>
      <c r="L91" s="4" t="str">
        <f t="shared" si="9"/>
        <v/>
      </c>
      <c r="M91" s="4" t="b" cm="1">
        <f t="array" ref="M91">IF(H91="",FALSE,SUMPRODUCT(--(H$1:H90=H91))&gt;0)</f>
        <v>0</v>
      </c>
    </row>
    <row r="92" spans="1:13" x14ac:dyDescent="0.25">
      <c r="A92" s="9" t="str">
        <f>IF(OR(B92="",M92,G92="— ignored"),"",MAX(A$1:A91)+1)</f>
        <v/>
      </c>
      <c r="B92" s="10"/>
      <c r="C92" s="11" t="str">
        <f>IF(I92="","",ROUND((I92+0.5*MAX(0,CEILING(ROUND((MAX(C$1:C91)-1/48-I92)/0.5,6),1)))*1440,0)/1440)</f>
        <v/>
      </c>
      <c r="D92" s="9" t="str" cm="1">
        <f t="array" ref="D92">IF(H92="","",IFERROR(INDEX(Log!$C$19:$G$19,VALUE(MID(H92,FIND("#",H92)+1,1))),""))</f>
        <v/>
      </c>
      <c r="E92" s="9" t="str" cm="1">
        <f t="array" ref="E92">IF(OR(H92="",M92),"",IFERROR(_xlfn.LET(_xlpm.t,SUBSTITUTE(UPPER(H92),"م","M"),_xlpm.u,SUBSTITUTE(_xlpm.t,"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92" s="12"/>
      <c r="G92" s="13" t="str">
        <f>IF(B92="","",IF(M92,"⚠ Duplicate (not counted)",IF(AND(I92="",D92="",E92=""),"— ignored",IF(C92="","⚠ Time",IF(D92="","⚠ Plant",IF(E92="","⚠ Quantity",IF(AND(ISNUMBER(L92),COUNTIF(L$1:L91,L92)&gt;0),"⚠ Same serial "&amp;L92,IF(AND(ISNUMBER(L92),L92&gt;MIN($L$2:$L$1001),COUNTIF($L$2:$L$1001,L92-1)=0,COUNTIF($L$2:$L$1001,L92-2)&lt;2),"⚠ Missing serial "&amp;(L92-1),IF(AND(MAX(K$1:K91)&gt;0,N(K92)-MAX(K$1:K91)&gt;180),"⚠ Gap &gt; 3h",IF(C92-I92&gt;=0.99,"next day",IF(C92-I92&gt;0.4,"12h → 24h","")))))))))))</f>
        <v/>
      </c>
      <c r="H92" s="4" t="str">
        <f t="shared" si="5"/>
        <v/>
      </c>
      <c r="I92" s="5" t="str">
        <f t="shared" si="6"/>
        <v/>
      </c>
      <c r="J92" s="6">
        <f t="shared" si="7"/>
        <v>0</v>
      </c>
      <c r="K92" s="4" t="str">
        <f t="shared" si="8"/>
        <v/>
      </c>
      <c r="L92" s="4" t="str">
        <f t="shared" si="9"/>
        <v/>
      </c>
      <c r="M92" s="4" t="b" cm="1">
        <f t="array" ref="M92">IF(H92="",FALSE,SUMPRODUCT(--(H$1:H91=H92))&gt;0)</f>
        <v>0</v>
      </c>
    </row>
    <row r="93" spans="1:13" x14ac:dyDescent="0.25">
      <c r="A93" s="9" t="str">
        <f>IF(OR(B93="",M93,G93="— ignored"),"",MAX(A$1:A92)+1)</f>
        <v/>
      </c>
      <c r="B93" s="10"/>
      <c r="C93" s="11" t="str">
        <f>IF(I93="","",ROUND((I93+0.5*MAX(0,CEILING(ROUND((MAX(C$1:C92)-1/48-I93)/0.5,6),1)))*1440,0)/1440)</f>
        <v/>
      </c>
      <c r="D93" s="9" t="str" cm="1">
        <f t="array" ref="D93">IF(H93="","",IFERROR(INDEX(Log!$C$19:$G$19,VALUE(MID(H93,FIND("#",H93)+1,1))),""))</f>
        <v/>
      </c>
      <c r="E93" s="9" t="str" cm="1">
        <f t="array" ref="E93">IF(OR(H93="",M93),"",IFERROR(_xlfn.LET(_xlpm.t,SUBSTITUTE(UPPER(H93),"م","M"),_xlpm.u,SUBSTITUTE(_xlpm.t,"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93" s="12"/>
      <c r="G93" s="13" t="str">
        <f>IF(B93="","",IF(M93,"⚠ Duplicate (not counted)",IF(AND(I93="",D93="",E93=""),"— ignored",IF(C93="","⚠ Time",IF(D93="","⚠ Plant",IF(E93="","⚠ Quantity",IF(AND(ISNUMBER(L93),COUNTIF(L$1:L92,L93)&gt;0),"⚠ Same serial "&amp;L93,IF(AND(ISNUMBER(L93),L93&gt;MIN($L$2:$L$1001),COUNTIF($L$2:$L$1001,L93-1)=0,COUNTIF($L$2:$L$1001,L93-2)&lt;2),"⚠ Missing serial "&amp;(L93-1),IF(AND(MAX(K$1:K92)&gt;0,N(K93)-MAX(K$1:K92)&gt;180),"⚠ Gap &gt; 3h",IF(C93-I93&gt;=0.99,"next day",IF(C93-I93&gt;0.4,"12h → 24h","")))))))))))</f>
        <v/>
      </c>
      <c r="H93" s="4" t="str">
        <f t="shared" si="5"/>
        <v/>
      </c>
      <c r="I93" s="5" t="str">
        <f t="shared" si="6"/>
        <v/>
      </c>
      <c r="J93" s="6">
        <f t="shared" si="7"/>
        <v>0</v>
      </c>
      <c r="K93" s="4" t="str">
        <f t="shared" si="8"/>
        <v/>
      </c>
      <c r="L93" s="4" t="str">
        <f t="shared" si="9"/>
        <v/>
      </c>
      <c r="M93" s="4" t="b" cm="1">
        <f t="array" ref="M93">IF(H93="",FALSE,SUMPRODUCT(--(H$1:H92=H93))&gt;0)</f>
        <v>0</v>
      </c>
    </row>
    <row r="94" spans="1:13" x14ac:dyDescent="0.25">
      <c r="A94" s="9" t="str">
        <f>IF(OR(B94="",M94,G94="— ignored"),"",MAX(A$1:A93)+1)</f>
        <v/>
      </c>
      <c r="B94" s="10"/>
      <c r="C94" s="11" t="str">
        <f>IF(I94="","",ROUND((I94+0.5*MAX(0,CEILING(ROUND((MAX(C$1:C93)-1/48-I94)/0.5,6),1)))*1440,0)/1440)</f>
        <v/>
      </c>
      <c r="D94" s="9" t="str" cm="1">
        <f t="array" ref="D94">IF(H94="","",IFERROR(INDEX(Log!$C$19:$G$19,VALUE(MID(H94,FIND("#",H94)+1,1))),""))</f>
        <v/>
      </c>
      <c r="E94" s="9" t="str" cm="1">
        <f t="array" ref="E94">IF(OR(H94="",M94),"",IFERROR(_xlfn.LET(_xlpm.t,SUBSTITUTE(UPPER(H94),"م","M"),_xlpm.u,SUBSTITUTE(_xlpm.t,"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94" s="12"/>
      <c r="G94" s="13" t="str">
        <f>IF(B94="","",IF(M94,"⚠ Duplicate (not counted)",IF(AND(I94="",D94="",E94=""),"— ignored",IF(C94="","⚠ Time",IF(D94="","⚠ Plant",IF(E94="","⚠ Quantity",IF(AND(ISNUMBER(L94),COUNTIF(L$1:L93,L94)&gt;0),"⚠ Same serial "&amp;L94,IF(AND(ISNUMBER(L94),L94&gt;MIN($L$2:$L$1001),COUNTIF($L$2:$L$1001,L94-1)=0,COUNTIF($L$2:$L$1001,L94-2)&lt;2),"⚠ Missing serial "&amp;(L94-1),IF(AND(MAX(K$1:K93)&gt;0,N(K94)-MAX(K$1:K93)&gt;180),"⚠ Gap &gt; 3h",IF(C94-I94&gt;=0.99,"next day",IF(C94-I94&gt;0.4,"12h → 24h","")))))))))))</f>
        <v/>
      </c>
      <c r="H94" s="4" t="str">
        <f t="shared" si="5"/>
        <v/>
      </c>
      <c r="I94" s="5" t="str">
        <f t="shared" si="6"/>
        <v/>
      </c>
      <c r="J94" s="6">
        <f t="shared" si="7"/>
        <v>0</v>
      </c>
      <c r="K94" s="4" t="str">
        <f t="shared" si="8"/>
        <v/>
      </c>
      <c r="L94" s="4" t="str">
        <f t="shared" si="9"/>
        <v/>
      </c>
      <c r="M94" s="4" t="b" cm="1">
        <f t="array" ref="M94">IF(H94="",FALSE,SUMPRODUCT(--(H$1:H93=H94))&gt;0)</f>
        <v>0</v>
      </c>
    </row>
    <row r="95" spans="1:13" x14ac:dyDescent="0.25">
      <c r="A95" s="9" t="str">
        <f>IF(OR(B95="",M95,G95="— ignored"),"",MAX(A$1:A94)+1)</f>
        <v/>
      </c>
      <c r="B95" s="10"/>
      <c r="C95" s="11" t="str">
        <f>IF(I95="","",ROUND((I95+0.5*MAX(0,CEILING(ROUND((MAX(C$1:C94)-1/48-I95)/0.5,6),1)))*1440,0)/1440)</f>
        <v/>
      </c>
      <c r="D95" s="9" t="str" cm="1">
        <f t="array" ref="D95">IF(H95="","",IFERROR(INDEX(Log!$C$19:$G$19,VALUE(MID(H95,FIND("#",H95)+1,1))),""))</f>
        <v/>
      </c>
      <c r="E95" s="9" t="str" cm="1">
        <f t="array" ref="E95">IF(OR(H95="",M95),"",IFERROR(_xlfn.LET(_xlpm.t,SUBSTITUTE(UPPER(H95),"م","M"),_xlpm.u,SUBSTITUTE(_xlpm.t,"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95" s="12"/>
      <c r="G95" s="13" t="str">
        <f>IF(B95="","",IF(M95,"⚠ Duplicate (not counted)",IF(AND(I95="",D95="",E95=""),"— ignored",IF(C95="","⚠ Time",IF(D95="","⚠ Plant",IF(E95="","⚠ Quantity",IF(AND(ISNUMBER(L95),COUNTIF(L$1:L94,L95)&gt;0),"⚠ Same serial "&amp;L95,IF(AND(ISNUMBER(L95),L95&gt;MIN($L$2:$L$1001),COUNTIF($L$2:$L$1001,L95-1)=0,COUNTIF($L$2:$L$1001,L95-2)&lt;2),"⚠ Missing serial "&amp;(L95-1),IF(AND(MAX(K$1:K94)&gt;0,N(K95)-MAX(K$1:K94)&gt;180),"⚠ Gap &gt; 3h",IF(C95-I95&gt;=0.99,"next day",IF(C95-I95&gt;0.4,"12h → 24h","")))))))))))</f>
        <v/>
      </c>
      <c r="H95" s="4" t="str">
        <f t="shared" si="5"/>
        <v/>
      </c>
      <c r="I95" s="5" t="str">
        <f t="shared" si="6"/>
        <v/>
      </c>
      <c r="J95" s="6">
        <f t="shared" si="7"/>
        <v>0</v>
      </c>
      <c r="K95" s="4" t="str">
        <f t="shared" si="8"/>
        <v/>
      </c>
      <c r="L95" s="4" t="str">
        <f t="shared" si="9"/>
        <v/>
      </c>
      <c r="M95" s="4" t="b" cm="1">
        <f t="array" ref="M95">IF(H95="",FALSE,SUMPRODUCT(--(H$1:H94=H95))&gt;0)</f>
        <v>0</v>
      </c>
    </row>
    <row r="96" spans="1:13" x14ac:dyDescent="0.25">
      <c r="A96" s="9" t="str">
        <f>IF(OR(B96="",M96,G96="— ignored"),"",MAX(A$1:A95)+1)</f>
        <v/>
      </c>
      <c r="B96" s="10"/>
      <c r="C96" s="11" t="str">
        <f>IF(I96="","",ROUND((I96+0.5*MAX(0,CEILING(ROUND((MAX(C$1:C95)-1/48-I96)/0.5,6),1)))*1440,0)/1440)</f>
        <v/>
      </c>
      <c r="D96" s="9" t="str" cm="1">
        <f t="array" ref="D96">IF(H96="","",IFERROR(INDEX(Log!$C$19:$G$19,VALUE(MID(H96,FIND("#",H96)+1,1))),""))</f>
        <v/>
      </c>
      <c r="E96" s="9" t="str" cm="1">
        <f t="array" ref="E96">IF(OR(H96="",M96),"",IFERROR(_xlfn.LET(_xlpm.t,SUBSTITUTE(UPPER(H96),"م","M"),_xlpm.u,SUBSTITUTE(_xlpm.t,"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96" s="12"/>
      <c r="G96" s="13" t="str">
        <f>IF(B96="","",IF(M96,"⚠ Duplicate (not counted)",IF(AND(I96="",D96="",E96=""),"— ignored",IF(C96="","⚠ Time",IF(D96="","⚠ Plant",IF(E96="","⚠ Quantity",IF(AND(ISNUMBER(L96),COUNTIF(L$1:L95,L96)&gt;0),"⚠ Same serial "&amp;L96,IF(AND(ISNUMBER(L96),L96&gt;MIN($L$2:$L$1001),COUNTIF($L$2:$L$1001,L96-1)=0,COUNTIF($L$2:$L$1001,L96-2)&lt;2),"⚠ Missing serial "&amp;(L96-1),IF(AND(MAX(K$1:K95)&gt;0,N(K96)-MAX(K$1:K95)&gt;180),"⚠ Gap &gt; 3h",IF(C96-I96&gt;=0.99,"next day",IF(C96-I96&gt;0.4,"12h → 24h","")))))))))))</f>
        <v/>
      </c>
      <c r="H96" s="4" t="str">
        <f t="shared" si="5"/>
        <v/>
      </c>
      <c r="I96" s="5" t="str">
        <f t="shared" si="6"/>
        <v/>
      </c>
      <c r="J96" s="6">
        <f t="shared" si="7"/>
        <v>0</v>
      </c>
      <c r="K96" s="4" t="str">
        <f t="shared" si="8"/>
        <v/>
      </c>
      <c r="L96" s="4" t="str">
        <f t="shared" si="9"/>
        <v/>
      </c>
      <c r="M96" s="4" t="b" cm="1">
        <f t="array" ref="M96">IF(H96="",FALSE,SUMPRODUCT(--(H$1:H95=H96))&gt;0)</f>
        <v>0</v>
      </c>
    </row>
    <row r="97" spans="1:13" x14ac:dyDescent="0.25">
      <c r="A97" s="9" t="str">
        <f>IF(OR(B97="",M97,G97="— ignored"),"",MAX(A$1:A96)+1)</f>
        <v/>
      </c>
      <c r="B97" s="10"/>
      <c r="C97" s="11" t="str">
        <f>IF(I97="","",ROUND((I97+0.5*MAX(0,CEILING(ROUND((MAX(C$1:C96)-1/48-I97)/0.5,6),1)))*1440,0)/1440)</f>
        <v/>
      </c>
      <c r="D97" s="9" t="str" cm="1">
        <f t="array" ref="D97">IF(H97="","",IFERROR(INDEX(Log!$C$19:$G$19,VALUE(MID(H97,FIND("#",H97)+1,1))),""))</f>
        <v/>
      </c>
      <c r="E97" s="9" t="str" cm="1">
        <f t="array" ref="E97">IF(OR(H97="",M97),"",IFERROR(_xlfn.LET(_xlpm.t,SUBSTITUTE(UPPER(H97),"م","M"),_xlpm.u,SUBSTITUTE(_xlpm.t,"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97" s="12"/>
      <c r="G97" s="13" t="str">
        <f>IF(B97="","",IF(M97,"⚠ Duplicate (not counted)",IF(AND(I97="",D97="",E97=""),"— ignored",IF(C97="","⚠ Time",IF(D97="","⚠ Plant",IF(E97="","⚠ Quantity",IF(AND(ISNUMBER(L97),COUNTIF(L$1:L96,L97)&gt;0),"⚠ Same serial "&amp;L97,IF(AND(ISNUMBER(L97),L97&gt;MIN($L$2:$L$1001),COUNTIF($L$2:$L$1001,L97-1)=0,COUNTIF($L$2:$L$1001,L97-2)&lt;2),"⚠ Missing serial "&amp;(L97-1),IF(AND(MAX(K$1:K96)&gt;0,N(K97)-MAX(K$1:K96)&gt;180),"⚠ Gap &gt; 3h",IF(C97-I97&gt;=0.99,"next day",IF(C97-I97&gt;0.4,"12h → 24h","")))))))))))</f>
        <v/>
      </c>
      <c r="H97" s="4" t="str">
        <f t="shared" si="5"/>
        <v/>
      </c>
      <c r="I97" s="5" t="str">
        <f t="shared" si="6"/>
        <v/>
      </c>
      <c r="J97" s="6">
        <f t="shared" si="7"/>
        <v>0</v>
      </c>
      <c r="K97" s="4" t="str">
        <f t="shared" si="8"/>
        <v/>
      </c>
      <c r="L97" s="4" t="str">
        <f t="shared" si="9"/>
        <v/>
      </c>
      <c r="M97" s="4" t="b" cm="1">
        <f t="array" ref="M97">IF(H97="",FALSE,SUMPRODUCT(--(H$1:H96=H97))&gt;0)</f>
        <v>0</v>
      </c>
    </row>
    <row r="98" spans="1:13" x14ac:dyDescent="0.25">
      <c r="A98" s="9" t="str">
        <f>IF(OR(B98="",M98,G98="— ignored"),"",MAX(A$1:A97)+1)</f>
        <v/>
      </c>
      <c r="B98" s="10"/>
      <c r="C98" s="11" t="str">
        <f>IF(I98="","",ROUND((I98+0.5*MAX(0,CEILING(ROUND((MAX(C$1:C97)-1/48-I98)/0.5,6),1)))*1440,0)/1440)</f>
        <v/>
      </c>
      <c r="D98" s="9" t="str" cm="1">
        <f t="array" ref="D98">IF(H98="","",IFERROR(INDEX(Log!$C$19:$G$19,VALUE(MID(H98,FIND("#",H98)+1,1))),""))</f>
        <v/>
      </c>
      <c r="E98" s="9" t="str" cm="1">
        <f t="array" ref="E98">IF(OR(H98="",M98),"",IFERROR(_xlfn.LET(_xlpm.t,SUBSTITUTE(UPPER(H98),"م","M"),_xlpm.u,SUBSTITUTE(_xlpm.t,"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98" s="12"/>
      <c r="G98" s="13" t="str">
        <f>IF(B98="","",IF(M98,"⚠ Duplicate (not counted)",IF(AND(I98="",D98="",E98=""),"— ignored",IF(C98="","⚠ Time",IF(D98="","⚠ Plant",IF(E98="","⚠ Quantity",IF(AND(ISNUMBER(L98),COUNTIF(L$1:L97,L98)&gt;0),"⚠ Same serial "&amp;L98,IF(AND(ISNUMBER(L98),L98&gt;MIN($L$2:$L$1001),COUNTIF($L$2:$L$1001,L98-1)=0,COUNTIF($L$2:$L$1001,L98-2)&lt;2),"⚠ Missing serial "&amp;(L98-1),IF(AND(MAX(K$1:K97)&gt;0,N(K98)-MAX(K$1:K97)&gt;180),"⚠ Gap &gt; 3h",IF(C98-I98&gt;=0.99,"next day",IF(C98-I98&gt;0.4,"12h → 24h","")))))))))))</f>
        <v/>
      </c>
      <c r="H98" s="4" t="str">
        <f t="shared" si="5"/>
        <v/>
      </c>
      <c r="I98" s="5" t="str">
        <f t="shared" si="6"/>
        <v/>
      </c>
      <c r="J98" s="6">
        <f t="shared" si="7"/>
        <v>0</v>
      </c>
      <c r="K98" s="4" t="str">
        <f t="shared" si="8"/>
        <v/>
      </c>
      <c r="L98" s="4" t="str">
        <f t="shared" si="9"/>
        <v/>
      </c>
      <c r="M98" s="4" t="b" cm="1">
        <f t="array" ref="M98">IF(H98="",FALSE,SUMPRODUCT(--(H$1:H97=H98))&gt;0)</f>
        <v>0</v>
      </c>
    </row>
    <row r="99" spans="1:13" x14ac:dyDescent="0.25">
      <c r="A99" s="9" t="str">
        <f>IF(OR(B99="",M99,G99="— ignored"),"",MAX(A$1:A98)+1)</f>
        <v/>
      </c>
      <c r="B99" s="10"/>
      <c r="C99" s="11" t="str">
        <f>IF(I99="","",ROUND((I99+0.5*MAX(0,CEILING(ROUND((MAX(C$1:C98)-1/48-I99)/0.5,6),1)))*1440,0)/1440)</f>
        <v/>
      </c>
      <c r="D99" s="9" t="str" cm="1">
        <f t="array" ref="D99">IF(H99="","",IFERROR(INDEX(Log!$C$19:$G$19,VALUE(MID(H99,FIND("#",H99)+1,1))),""))</f>
        <v/>
      </c>
      <c r="E99" s="9" t="str" cm="1">
        <f t="array" ref="E99">IF(OR(H99="",M99),"",IFERROR(_xlfn.LET(_xlpm.t,SUBSTITUTE(UPPER(H99),"م","M"),_xlpm.u,SUBSTITUTE(_xlpm.t,"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99" s="12"/>
      <c r="G99" s="13" t="str">
        <f>IF(B99="","",IF(M99,"⚠ Duplicate (not counted)",IF(AND(I99="",D99="",E99=""),"— ignored",IF(C99="","⚠ Time",IF(D99="","⚠ Plant",IF(E99="","⚠ Quantity",IF(AND(ISNUMBER(L99),COUNTIF(L$1:L98,L99)&gt;0),"⚠ Same serial "&amp;L99,IF(AND(ISNUMBER(L99),L99&gt;MIN($L$2:$L$1001),COUNTIF($L$2:$L$1001,L99-1)=0,COUNTIF($L$2:$L$1001,L99-2)&lt;2),"⚠ Missing serial "&amp;(L99-1),IF(AND(MAX(K$1:K98)&gt;0,N(K99)-MAX(K$1:K98)&gt;180),"⚠ Gap &gt; 3h",IF(C99-I99&gt;=0.99,"next day",IF(C99-I99&gt;0.4,"12h → 24h","")))))))))))</f>
        <v/>
      </c>
      <c r="H99" s="4" t="str">
        <f t="shared" si="5"/>
        <v/>
      </c>
      <c r="I99" s="5" t="str">
        <f t="shared" si="6"/>
        <v/>
      </c>
      <c r="J99" s="6">
        <f t="shared" si="7"/>
        <v>0</v>
      </c>
      <c r="K99" s="4" t="str">
        <f t="shared" si="8"/>
        <v/>
      </c>
      <c r="L99" s="4" t="str">
        <f t="shared" si="9"/>
        <v/>
      </c>
      <c r="M99" s="4" t="b" cm="1">
        <f t="array" ref="M99">IF(H99="",FALSE,SUMPRODUCT(--(H$1:H98=H99))&gt;0)</f>
        <v>0</v>
      </c>
    </row>
    <row r="100" spans="1:13" x14ac:dyDescent="0.25">
      <c r="A100" s="9" t="str">
        <f>IF(OR(B100="",M100,G100="— ignored"),"",MAX(A$1:A99)+1)</f>
        <v/>
      </c>
      <c r="B100" s="10"/>
      <c r="C100" s="11" t="str">
        <f>IF(I100="","",ROUND((I100+0.5*MAX(0,CEILING(ROUND((MAX(C$1:C99)-1/48-I100)/0.5,6),1)))*1440,0)/1440)</f>
        <v/>
      </c>
      <c r="D100" s="9" t="str" cm="1">
        <f t="array" ref="D100">IF(H100="","",IFERROR(INDEX(Log!$C$19:$G$19,VALUE(MID(H100,FIND("#",H100)+1,1))),""))</f>
        <v/>
      </c>
      <c r="E100" s="9" t="str" cm="1">
        <f t="array" ref="E100">IF(OR(H100="",M100),"",IFERROR(_xlfn.LET(_xlpm.t,SUBSTITUTE(UPPER(H100),"م","M"),_xlpm.u,SUBSTITUTE(_xlpm.t,"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00" s="12"/>
      <c r="G100" s="13" t="str">
        <f>IF(B100="","",IF(M100,"⚠ Duplicate (not counted)",IF(AND(I100="",D100="",E100=""),"— ignored",IF(C100="","⚠ Time",IF(D100="","⚠ Plant",IF(E100="","⚠ Quantity",IF(AND(ISNUMBER(L100),COUNTIF(L$1:L99,L100)&gt;0),"⚠ Same serial "&amp;L100,IF(AND(ISNUMBER(L100),L100&gt;MIN($L$2:$L$1001),COUNTIF($L$2:$L$1001,L100-1)=0,COUNTIF($L$2:$L$1001,L100-2)&lt;2),"⚠ Missing serial "&amp;(L100-1),IF(AND(MAX(K$1:K99)&gt;0,N(K100)-MAX(K$1:K99)&gt;180),"⚠ Gap &gt; 3h",IF(C100-I100&gt;=0.99,"next day",IF(C100-I100&gt;0.4,"12h → 24h","")))))))))))</f>
        <v/>
      </c>
      <c r="H100" s="4" t="str">
        <f t="shared" si="5"/>
        <v/>
      </c>
      <c r="I100" s="5" t="str">
        <f t="shared" si="6"/>
        <v/>
      </c>
      <c r="J100" s="6">
        <f t="shared" si="7"/>
        <v>0</v>
      </c>
      <c r="K100" s="4" t="str">
        <f t="shared" si="8"/>
        <v/>
      </c>
      <c r="L100" s="4" t="str">
        <f t="shared" si="9"/>
        <v/>
      </c>
      <c r="M100" s="4" t="b" cm="1">
        <f t="array" ref="M100">IF(H100="",FALSE,SUMPRODUCT(--(H$1:H99=H100))&gt;0)</f>
        <v>0</v>
      </c>
    </row>
    <row r="101" spans="1:13" x14ac:dyDescent="0.25">
      <c r="A101" s="9" t="str">
        <f>IF(OR(B101="",M101,G101="— ignored"),"",MAX(A$1:A100)+1)</f>
        <v/>
      </c>
      <c r="B101" s="10"/>
      <c r="C101" s="11" t="str">
        <f>IF(I101="","",ROUND((I101+0.5*MAX(0,CEILING(ROUND((MAX(C$1:C100)-1/48-I101)/0.5,6),1)))*1440,0)/1440)</f>
        <v/>
      </c>
      <c r="D101" s="9" t="str" cm="1">
        <f t="array" ref="D101">IF(H101="","",IFERROR(INDEX(Log!$C$19:$G$19,VALUE(MID(H101,FIND("#",H101)+1,1))),""))</f>
        <v/>
      </c>
      <c r="E101" s="9" t="str" cm="1">
        <f t="array" ref="E101">IF(OR(H101="",M101),"",IFERROR(_xlfn.LET(_xlpm.t,SUBSTITUTE(UPPER(H101),"م","M"),_xlpm.u,SUBSTITUTE(_xlpm.t,"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01" s="12"/>
      <c r="G101" s="13" t="str">
        <f>IF(B101="","",IF(M101,"⚠ Duplicate (not counted)",IF(AND(I101="",D101="",E101=""),"— ignored",IF(C101="","⚠ Time",IF(D101="","⚠ Plant",IF(E101="","⚠ Quantity",IF(AND(ISNUMBER(L101),COUNTIF(L$1:L100,L101)&gt;0),"⚠ Same serial "&amp;L101,IF(AND(ISNUMBER(L101),L101&gt;MIN($L$2:$L$1001),COUNTIF($L$2:$L$1001,L101-1)=0,COUNTIF($L$2:$L$1001,L101-2)&lt;2),"⚠ Missing serial "&amp;(L101-1),IF(AND(MAX(K$1:K100)&gt;0,N(K101)-MAX(K$1:K100)&gt;180),"⚠ Gap &gt; 3h",IF(C101-I101&gt;=0.99,"next day",IF(C101-I101&gt;0.4,"12h → 24h","")))))))))))</f>
        <v/>
      </c>
      <c r="H101" s="4" t="str">
        <f t="shared" si="5"/>
        <v/>
      </c>
      <c r="I101" s="5" t="str">
        <f t="shared" si="6"/>
        <v/>
      </c>
      <c r="J101" s="6">
        <f t="shared" si="7"/>
        <v>0</v>
      </c>
      <c r="K101" s="4" t="str">
        <f t="shared" si="8"/>
        <v/>
      </c>
      <c r="L101" s="4" t="str">
        <f t="shared" si="9"/>
        <v/>
      </c>
      <c r="M101" s="4" t="b" cm="1">
        <f t="array" ref="M101">IF(H101="",FALSE,SUMPRODUCT(--(H$1:H100=H101))&gt;0)</f>
        <v>0</v>
      </c>
    </row>
    <row r="102" spans="1:13" x14ac:dyDescent="0.25">
      <c r="A102" s="9" t="str">
        <f>IF(OR(B102="",M102,G102="— ignored"),"",MAX(A$1:A101)+1)</f>
        <v/>
      </c>
      <c r="B102" s="10"/>
      <c r="C102" s="11" t="str">
        <f>IF(I102="","",ROUND((I102+0.5*MAX(0,CEILING(ROUND((MAX(C$1:C101)-1/48-I102)/0.5,6),1)))*1440,0)/1440)</f>
        <v/>
      </c>
      <c r="D102" s="9" t="str" cm="1">
        <f t="array" ref="D102">IF(H102="","",IFERROR(INDEX(Log!$C$19:$G$19,VALUE(MID(H102,FIND("#",H102)+1,1))),""))</f>
        <v/>
      </c>
      <c r="E102" s="9" t="str" cm="1">
        <f t="array" ref="E102">IF(OR(H102="",M102),"",IFERROR(_xlfn.LET(_xlpm.t,SUBSTITUTE(UPPER(H102),"م","M"),_xlpm.u,SUBSTITUTE(_xlpm.t,"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02" s="12"/>
      <c r="G102" s="13" t="str">
        <f>IF(B102="","",IF(M102,"⚠ Duplicate (not counted)",IF(AND(I102="",D102="",E102=""),"— ignored",IF(C102="","⚠ Time",IF(D102="","⚠ Plant",IF(E102="","⚠ Quantity",IF(AND(ISNUMBER(L102),COUNTIF(L$1:L101,L102)&gt;0),"⚠ Same serial "&amp;L102,IF(AND(ISNUMBER(L102),L102&gt;MIN($L$2:$L$1001),COUNTIF($L$2:$L$1001,L102-1)=0,COUNTIF($L$2:$L$1001,L102-2)&lt;2),"⚠ Missing serial "&amp;(L102-1),IF(AND(MAX(K$1:K101)&gt;0,N(K102)-MAX(K$1:K101)&gt;180),"⚠ Gap &gt; 3h",IF(C102-I102&gt;=0.99,"next day",IF(C102-I102&gt;0.4,"12h → 24h","")))))))))))</f>
        <v/>
      </c>
      <c r="H102" s="4" t="str">
        <f t="shared" si="5"/>
        <v/>
      </c>
      <c r="I102" s="5" t="str">
        <f t="shared" si="6"/>
        <v/>
      </c>
      <c r="J102" s="6">
        <f t="shared" si="7"/>
        <v>0</v>
      </c>
      <c r="K102" s="4" t="str">
        <f t="shared" si="8"/>
        <v/>
      </c>
      <c r="L102" s="4" t="str">
        <f t="shared" si="9"/>
        <v/>
      </c>
      <c r="M102" s="4" t="b" cm="1">
        <f t="array" ref="M102">IF(H102="",FALSE,SUMPRODUCT(--(H$1:H101=H102))&gt;0)</f>
        <v>0</v>
      </c>
    </row>
    <row r="103" spans="1:13" x14ac:dyDescent="0.25">
      <c r="A103" s="9" t="str">
        <f>IF(OR(B103="",M103,G103="— ignored"),"",MAX(A$1:A102)+1)</f>
        <v/>
      </c>
      <c r="B103" s="10"/>
      <c r="C103" s="11" t="str">
        <f>IF(I103="","",ROUND((I103+0.5*MAX(0,CEILING(ROUND((MAX(C$1:C102)-1/48-I103)/0.5,6),1)))*1440,0)/1440)</f>
        <v/>
      </c>
      <c r="D103" s="9" t="str" cm="1">
        <f t="array" ref="D103">IF(H103="","",IFERROR(INDEX(Log!$C$19:$G$19,VALUE(MID(H103,FIND("#",H103)+1,1))),""))</f>
        <v/>
      </c>
      <c r="E103" s="9" t="str" cm="1">
        <f t="array" ref="E103">IF(OR(H103="",M103),"",IFERROR(_xlfn.LET(_xlpm.t,SUBSTITUTE(UPPER(H103),"م","M"),_xlpm.u,SUBSTITUTE(_xlpm.t,"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03" s="12"/>
      <c r="G103" s="13" t="str">
        <f>IF(B103="","",IF(M103,"⚠ Duplicate (not counted)",IF(AND(I103="",D103="",E103=""),"— ignored",IF(C103="","⚠ Time",IF(D103="","⚠ Plant",IF(E103="","⚠ Quantity",IF(AND(ISNUMBER(L103),COUNTIF(L$1:L102,L103)&gt;0),"⚠ Same serial "&amp;L103,IF(AND(ISNUMBER(L103),L103&gt;MIN($L$2:$L$1001),COUNTIF($L$2:$L$1001,L103-1)=0,COUNTIF($L$2:$L$1001,L103-2)&lt;2),"⚠ Missing serial "&amp;(L103-1),IF(AND(MAX(K$1:K102)&gt;0,N(K103)-MAX(K$1:K102)&gt;180),"⚠ Gap &gt; 3h",IF(C103-I103&gt;=0.99,"next day",IF(C103-I103&gt;0.4,"12h → 24h","")))))))))))</f>
        <v/>
      </c>
      <c r="H103" s="4" t="str">
        <f t="shared" si="5"/>
        <v/>
      </c>
      <c r="I103" s="5" t="str">
        <f t="shared" si="6"/>
        <v/>
      </c>
      <c r="J103" s="6">
        <f t="shared" si="7"/>
        <v>0</v>
      </c>
      <c r="K103" s="4" t="str">
        <f t="shared" si="8"/>
        <v/>
      </c>
      <c r="L103" s="4" t="str">
        <f t="shared" si="9"/>
        <v/>
      </c>
      <c r="M103" s="4" t="b" cm="1">
        <f t="array" ref="M103">IF(H103="",FALSE,SUMPRODUCT(--(H$1:H102=H103))&gt;0)</f>
        <v>0</v>
      </c>
    </row>
    <row r="104" spans="1:13" x14ac:dyDescent="0.25">
      <c r="A104" s="9" t="str">
        <f>IF(OR(B104="",M104,G104="— ignored"),"",MAX(A$1:A103)+1)</f>
        <v/>
      </c>
      <c r="B104" s="10"/>
      <c r="C104" s="11" t="str">
        <f>IF(I104="","",ROUND((I104+0.5*MAX(0,CEILING(ROUND((MAX(C$1:C103)-1/48-I104)/0.5,6),1)))*1440,0)/1440)</f>
        <v/>
      </c>
      <c r="D104" s="9" t="str" cm="1">
        <f t="array" ref="D104">IF(H104="","",IFERROR(INDEX(Log!$C$19:$G$19,VALUE(MID(H104,FIND("#",H104)+1,1))),""))</f>
        <v/>
      </c>
      <c r="E104" s="9" t="str" cm="1">
        <f t="array" ref="E104">IF(OR(H104="",M104),"",IFERROR(_xlfn.LET(_xlpm.t,SUBSTITUTE(UPPER(H104),"م","M"),_xlpm.u,SUBSTITUTE(_xlpm.t,"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04" s="12"/>
      <c r="G104" s="13" t="str">
        <f>IF(B104="","",IF(M104,"⚠ Duplicate (not counted)",IF(AND(I104="",D104="",E104=""),"— ignored",IF(C104="","⚠ Time",IF(D104="","⚠ Plant",IF(E104="","⚠ Quantity",IF(AND(ISNUMBER(L104),COUNTIF(L$1:L103,L104)&gt;0),"⚠ Same serial "&amp;L104,IF(AND(ISNUMBER(L104),L104&gt;MIN($L$2:$L$1001),COUNTIF($L$2:$L$1001,L104-1)=0,COUNTIF($L$2:$L$1001,L104-2)&lt;2),"⚠ Missing serial "&amp;(L104-1),IF(AND(MAX(K$1:K103)&gt;0,N(K104)-MAX(K$1:K103)&gt;180),"⚠ Gap &gt; 3h",IF(C104-I104&gt;=0.99,"next day",IF(C104-I104&gt;0.4,"12h → 24h","")))))))))))</f>
        <v/>
      </c>
      <c r="H104" s="4" t="str">
        <f t="shared" si="5"/>
        <v/>
      </c>
      <c r="I104" s="5" t="str">
        <f t="shared" si="6"/>
        <v/>
      </c>
      <c r="J104" s="6">
        <f t="shared" si="7"/>
        <v>0</v>
      </c>
      <c r="K104" s="4" t="str">
        <f t="shared" si="8"/>
        <v/>
      </c>
      <c r="L104" s="4" t="str">
        <f t="shared" si="9"/>
        <v/>
      </c>
      <c r="M104" s="4" t="b" cm="1">
        <f t="array" ref="M104">IF(H104="",FALSE,SUMPRODUCT(--(H$1:H103=H104))&gt;0)</f>
        <v>0</v>
      </c>
    </row>
    <row r="105" spans="1:13" x14ac:dyDescent="0.25">
      <c r="A105" s="9" t="str">
        <f>IF(OR(B105="",M105,G105="— ignored"),"",MAX(A$1:A104)+1)</f>
        <v/>
      </c>
      <c r="B105" s="10"/>
      <c r="C105" s="11" t="str">
        <f>IF(I105="","",ROUND((I105+0.5*MAX(0,CEILING(ROUND((MAX(C$1:C104)-1/48-I105)/0.5,6),1)))*1440,0)/1440)</f>
        <v/>
      </c>
      <c r="D105" s="9" t="str" cm="1">
        <f t="array" ref="D105">IF(H105="","",IFERROR(INDEX(Log!$C$19:$G$19,VALUE(MID(H105,FIND("#",H105)+1,1))),""))</f>
        <v/>
      </c>
      <c r="E105" s="9" t="str" cm="1">
        <f t="array" ref="E105">IF(OR(H105="",M105),"",IFERROR(_xlfn.LET(_xlpm.t,SUBSTITUTE(UPPER(H105),"م","M"),_xlpm.u,SUBSTITUTE(_xlpm.t,"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05" s="12"/>
      <c r="G105" s="13" t="str">
        <f>IF(B105="","",IF(M105,"⚠ Duplicate (not counted)",IF(AND(I105="",D105="",E105=""),"— ignored",IF(C105="","⚠ Time",IF(D105="","⚠ Plant",IF(E105="","⚠ Quantity",IF(AND(ISNUMBER(L105),COUNTIF(L$1:L104,L105)&gt;0),"⚠ Same serial "&amp;L105,IF(AND(ISNUMBER(L105),L105&gt;MIN($L$2:$L$1001),COUNTIF($L$2:$L$1001,L105-1)=0,COUNTIF($L$2:$L$1001,L105-2)&lt;2),"⚠ Missing serial "&amp;(L105-1),IF(AND(MAX(K$1:K104)&gt;0,N(K105)-MAX(K$1:K104)&gt;180),"⚠ Gap &gt; 3h",IF(C105-I105&gt;=0.99,"next day",IF(C105-I105&gt;0.4,"12h → 24h","")))))))))))</f>
        <v/>
      </c>
      <c r="H105" s="4" t="str">
        <f t="shared" si="5"/>
        <v/>
      </c>
      <c r="I105" s="5" t="str">
        <f t="shared" si="6"/>
        <v/>
      </c>
      <c r="J105" s="6">
        <f t="shared" si="7"/>
        <v>0</v>
      </c>
      <c r="K105" s="4" t="str">
        <f t="shared" si="8"/>
        <v/>
      </c>
      <c r="L105" s="4" t="str">
        <f t="shared" si="9"/>
        <v/>
      </c>
      <c r="M105" s="4" t="b" cm="1">
        <f t="array" ref="M105">IF(H105="",FALSE,SUMPRODUCT(--(H$1:H104=H105))&gt;0)</f>
        <v>0</v>
      </c>
    </row>
    <row r="106" spans="1:13" x14ac:dyDescent="0.25">
      <c r="A106" s="9" t="str">
        <f>IF(OR(B106="",M106,G106="— ignored"),"",MAX(A$1:A105)+1)</f>
        <v/>
      </c>
      <c r="B106" s="10"/>
      <c r="C106" s="11" t="str">
        <f>IF(I106="","",ROUND((I106+0.5*MAX(0,CEILING(ROUND((MAX(C$1:C105)-1/48-I106)/0.5,6),1)))*1440,0)/1440)</f>
        <v/>
      </c>
      <c r="D106" s="9" t="str" cm="1">
        <f t="array" ref="D106">IF(H106="","",IFERROR(INDEX(Log!$C$19:$G$19,VALUE(MID(H106,FIND("#",H106)+1,1))),""))</f>
        <v/>
      </c>
      <c r="E106" s="9" t="str" cm="1">
        <f t="array" ref="E106">IF(OR(H106="",M106),"",IFERROR(_xlfn.LET(_xlpm.t,SUBSTITUTE(UPPER(H106),"م","M"),_xlpm.u,SUBSTITUTE(_xlpm.t,"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06" s="12"/>
      <c r="G106" s="13" t="str">
        <f>IF(B106="","",IF(M106,"⚠ Duplicate (not counted)",IF(AND(I106="",D106="",E106=""),"— ignored",IF(C106="","⚠ Time",IF(D106="","⚠ Plant",IF(E106="","⚠ Quantity",IF(AND(ISNUMBER(L106),COUNTIF(L$1:L105,L106)&gt;0),"⚠ Same serial "&amp;L106,IF(AND(ISNUMBER(L106),L106&gt;MIN($L$2:$L$1001),COUNTIF($L$2:$L$1001,L106-1)=0,COUNTIF($L$2:$L$1001,L106-2)&lt;2),"⚠ Missing serial "&amp;(L106-1),IF(AND(MAX(K$1:K105)&gt;0,N(K106)-MAX(K$1:K105)&gt;180),"⚠ Gap &gt; 3h",IF(C106-I106&gt;=0.99,"next day",IF(C106-I106&gt;0.4,"12h → 24h","")))))))))))</f>
        <v/>
      </c>
      <c r="H106" s="4" t="str">
        <f t="shared" si="5"/>
        <v/>
      </c>
      <c r="I106" s="5" t="str">
        <f t="shared" si="6"/>
        <v/>
      </c>
      <c r="J106" s="6">
        <f t="shared" si="7"/>
        <v>0</v>
      </c>
      <c r="K106" s="4" t="str">
        <f t="shared" si="8"/>
        <v/>
      </c>
      <c r="L106" s="4" t="str">
        <f t="shared" si="9"/>
        <v/>
      </c>
      <c r="M106" s="4" t="b" cm="1">
        <f t="array" ref="M106">IF(H106="",FALSE,SUMPRODUCT(--(H$1:H105=H106))&gt;0)</f>
        <v>0</v>
      </c>
    </row>
    <row r="107" spans="1:13" x14ac:dyDescent="0.25">
      <c r="A107" s="9" t="str">
        <f>IF(OR(B107="",M107,G107="— ignored"),"",MAX(A$1:A106)+1)</f>
        <v/>
      </c>
      <c r="B107" s="10"/>
      <c r="C107" s="11" t="str">
        <f>IF(I107="","",ROUND((I107+0.5*MAX(0,CEILING(ROUND((MAX(C$1:C106)-1/48-I107)/0.5,6),1)))*1440,0)/1440)</f>
        <v/>
      </c>
      <c r="D107" s="9" t="str" cm="1">
        <f t="array" ref="D107">IF(H107="","",IFERROR(INDEX(Log!$C$19:$G$19,VALUE(MID(H107,FIND("#",H107)+1,1))),""))</f>
        <v/>
      </c>
      <c r="E107" s="9" t="str" cm="1">
        <f t="array" ref="E107">IF(OR(H107="",M107),"",IFERROR(_xlfn.LET(_xlpm.t,SUBSTITUTE(UPPER(H107),"م","M"),_xlpm.u,SUBSTITUTE(_xlpm.t,"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07" s="12"/>
      <c r="G107" s="13" t="str">
        <f>IF(B107="","",IF(M107,"⚠ Duplicate (not counted)",IF(AND(I107="",D107="",E107=""),"— ignored",IF(C107="","⚠ Time",IF(D107="","⚠ Plant",IF(E107="","⚠ Quantity",IF(AND(ISNUMBER(L107),COUNTIF(L$1:L106,L107)&gt;0),"⚠ Same serial "&amp;L107,IF(AND(ISNUMBER(L107),L107&gt;MIN($L$2:$L$1001),COUNTIF($L$2:$L$1001,L107-1)=0,COUNTIF($L$2:$L$1001,L107-2)&lt;2),"⚠ Missing serial "&amp;(L107-1),IF(AND(MAX(K$1:K106)&gt;0,N(K107)-MAX(K$1:K106)&gt;180),"⚠ Gap &gt; 3h",IF(C107-I107&gt;=0.99,"next day",IF(C107-I107&gt;0.4,"12h → 24h","")))))))))))</f>
        <v/>
      </c>
      <c r="H107" s="4" t="str">
        <f t="shared" si="5"/>
        <v/>
      </c>
      <c r="I107" s="5" t="str">
        <f t="shared" si="6"/>
        <v/>
      </c>
      <c r="J107" s="6">
        <f t="shared" si="7"/>
        <v>0</v>
      </c>
      <c r="K107" s="4" t="str">
        <f t="shared" si="8"/>
        <v/>
      </c>
      <c r="L107" s="4" t="str">
        <f t="shared" si="9"/>
        <v/>
      </c>
      <c r="M107" s="4" t="b" cm="1">
        <f t="array" ref="M107">IF(H107="",FALSE,SUMPRODUCT(--(H$1:H106=H107))&gt;0)</f>
        <v>0</v>
      </c>
    </row>
    <row r="108" spans="1:13" x14ac:dyDescent="0.25">
      <c r="A108" s="9" t="str">
        <f>IF(OR(B108="",M108,G108="— ignored"),"",MAX(A$1:A107)+1)</f>
        <v/>
      </c>
      <c r="B108" s="10"/>
      <c r="C108" s="11" t="str">
        <f>IF(I108="","",ROUND((I108+0.5*MAX(0,CEILING(ROUND((MAX(C$1:C107)-1/48-I108)/0.5,6),1)))*1440,0)/1440)</f>
        <v/>
      </c>
      <c r="D108" s="9" t="str" cm="1">
        <f t="array" ref="D108">IF(H108="","",IFERROR(INDEX(Log!$C$19:$G$19,VALUE(MID(H108,FIND("#",H108)+1,1))),""))</f>
        <v/>
      </c>
      <c r="E108" s="9" t="str" cm="1">
        <f t="array" ref="E108">IF(OR(H108="",M108),"",IFERROR(_xlfn.LET(_xlpm.t,SUBSTITUTE(UPPER(H108),"م","M"),_xlpm.u,SUBSTITUTE(_xlpm.t,"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08" s="12"/>
      <c r="G108" s="13" t="str">
        <f>IF(B108="","",IF(M108,"⚠ Duplicate (not counted)",IF(AND(I108="",D108="",E108=""),"— ignored",IF(C108="","⚠ Time",IF(D108="","⚠ Plant",IF(E108="","⚠ Quantity",IF(AND(ISNUMBER(L108),COUNTIF(L$1:L107,L108)&gt;0),"⚠ Same serial "&amp;L108,IF(AND(ISNUMBER(L108),L108&gt;MIN($L$2:$L$1001),COUNTIF($L$2:$L$1001,L108-1)=0,COUNTIF($L$2:$L$1001,L108-2)&lt;2),"⚠ Missing serial "&amp;(L108-1),IF(AND(MAX(K$1:K107)&gt;0,N(K108)-MAX(K$1:K107)&gt;180),"⚠ Gap &gt; 3h",IF(C108-I108&gt;=0.99,"next day",IF(C108-I108&gt;0.4,"12h → 24h","")))))))))))</f>
        <v/>
      </c>
      <c r="H108" s="4" t="str">
        <f t="shared" si="5"/>
        <v/>
      </c>
      <c r="I108" s="5" t="str">
        <f t="shared" si="6"/>
        <v/>
      </c>
      <c r="J108" s="6">
        <f t="shared" si="7"/>
        <v>0</v>
      </c>
      <c r="K108" s="4" t="str">
        <f t="shared" si="8"/>
        <v/>
      </c>
      <c r="L108" s="4" t="str">
        <f t="shared" si="9"/>
        <v/>
      </c>
      <c r="M108" s="4" t="b" cm="1">
        <f t="array" ref="M108">IF(H108="",FALSE,SUMPRODUCT(--(H$1:H107=H108))&gt;0)</f>
        <v>0</v>
      </c>
    </row>
    <row r="109" spans="1:13" x14ac:dyDescent="0.25">
      <c r="A109" s="9" t="str">
        <f>IF(OR(B109="",M109,G109="— ignored"),"",MAX(A$1:A108)+1)</f>
        <v/>
      </c>
      <c r="B109" s="10"/>
      <c r="C109" s="11" t="str">
        <f>IF(I109="","",ROUND((I109+0.5*MAX(0,CEILING(ROUND((MAX(C$1:C108)-1/48-I109)/0.5,6),1)))*1440,0)/1440)</f>
        <v/>
      </c>
      <c r="D109" s="9" t="str" cm="1">
        <f t="array" ref="D109">IF(H109="","",IFERROR(INDEX(Log!$C$19:$G$19,VALUE(MID(H109,FIND("#",H109)+1,1))),""))</f>
        <v/>
      </c>
      <c r="E109" s="9" t="str" cm="1">
        <f t="array" ref="E109">IF(OR(H109="",M109),"",IFERROR(_xlfn.LET(_xlpm.t,SUBSTITUTE(UPPER(H109),"م","M"),_xlpm.u,SUBSTITUTE(_xlpm.t,"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09" s="12"/>
      <c r="G109" s="13" t="str">
        <f>IF(B109="","",IF(M109,"⚠ Duplicate (not counted)",IF(AND(I109="",D109="",E109=""),"— ignored",IF(C109="","⚠ Time",IF(D109="","⚠ Plant",IF(E109="","⚠ Quantity",IF(AND(ISNUMBER(L109),COUNTIF(L$1:L108,L109)&gt;0),"⚠ Same serial "&amp;L109,IF(AND(ISNUMBER(L109),L109&gt;MIN($L$2:$L$1001),COUNTIF($L$2:$L$1001,L109-1)=0,COUNTIF($L$2:$L$1001,L109-2)&lt;2),"⚠ Missing serial "&amp;(L109-1),IF(AND(MAX(K$1:K108)&gt;0,N(K109)-MAX(K$1:K108)&gt;180),"⚠ Gap &gt; 3h",IF(C109-I109&gt;=0.99,"next day",IF(C109-I109&gt;0.4,"12h → 24h","")))))))))))</f>
        <v/>
      </c>
      <c r="H109" s="4" t="str">
        <f t="shared" si="5"/>
        <v/>
      </c>
      <c r="I109" s="5" t="str">
        <f t="shared" si="6"/>
        <v/>
      </c>
      <c r="J109" s="6">
        <f t="shared" si="7"/>
        <v>0</v>
      </c>
      <c r="K109" s="4" t="str">
        <f t="shared" si="8"/>
        <v/>
      </c>
      <c r="L109" s="4" t="str">
        <f t="shared" si="9"/>
        <v/>
      </c>
      <c r="M109" s="4" t="b" cm="1">
        <f t="array" ref="M109">IF(H109="",FALSE,SUMPRODUCT(--(H$1:H108=H109))&gt;0)</f>
        <v>0</v>
      </c>
    </row>
    <row r="110" spans="1:13" x14ac:dyDescent="0.25">
      <c r="A110" s="9" t="str">
        <f>IF(OR(B110="",M110,G110="— ignored"),"",MAX(A$1:A109)+1)</f>
        <v/>
      </c>
      <c r="B110" s="10"/>
      <c r="C110" s="11" t="str">
        <f>IF(I110="","",ROUND((I110+0.5*MAX(0,CEILING(ROUND((MAX(C$1:C109)-1/48-I110)/0.5,6),1)))*1440,0)/1440)</f>
        <v/>
      </c>
      <c r="D110" s="9" t="str" cm="1">
        <f t="array" ref="D110">IF(H110="","",IFERROR(INDEX(Log!$C$19:$G$19,VALUE(MID(H110,FIND("#",H110)+1,1))),""))</f>
        <v/>
      </c>
      <c r="E110" s="9" t="str" cm="1">
        <f t="array" ref="E110">IF(OR(H110="",M110),"",IFERROR(_xlfn.LET(_xlpm.t,SUBSTITUTE(UPPER(H110),"م","M"),_xlpm.u,SUBSTITUTE(_xlpm.t,"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10" s="12"/>
      <c r="G110" s="13" t="str">
        <f>IF(B110="","",IF(M110,"⚠ Duplicate (not counted)",IF(AND(I110="",D110="",E110=""),"— ignored",IF(C110="","⚠ Time",IF(D110="","⚠ Plant",IF(E110="","⚠ Quantity",IF(AND(ISNUMBER(L110),COUNTIF(L$1:L109,L110)&gt;0),"⚠ Same serial "&amp;L110,IF(AND(ISNUMBER(L110),L110&gt;MIN($L$2:$L$1001),COUNTIF($L$2:$L$1001,L110-1)=0,COUNTIF($L$2:$L$1001,L110-2)&lt;2),"⚠ Missing serial "&amp;(L110-1),IF(AND(MAX(K$1:K109)&gt;0,N(K110)-MAX(K$1:K109)&gt;180),"⚠ Gap &gt; 3h",IF(C110-I110&gt;=0.99,"next day",IF(C110-I110&gt;0.4,"12h → 24h","")))))))))))</f>
        <v/>
      </c>
      <c r="H110" s="4" t="str">
        <f t="shared" si="5"/>
        <v/>
      </c>
      <c r="I110" s="5" t="str">
        <f t="shared" si="6"/>
        <v/>
      </c>
      <c r="J110" s="6">
        <f t="shared" si="7"/>
        <v>0</v>
      </c>
      <c r="K110" s="4" t="str">
        <f t="shared" si="8"/>
        <v/>
      </c>
      <c r="L110" s="4" t="str">
        <f t="shared" si="9"/>
        <v/>
      </c>
      <c r="M110" s="4" t="b" cm="1">
        <f t="array" ref="M110">IF(H110="",FALSE,SUMPRODUCT(--(H$1:H109=H110))&gt;0)</f>
        <v>0</v>
      </c>
    </row>
    <row r="111" spans="1:13" x14ac:dyDescent="0.25">
      <c r="A111" s="9" t="str">
        <f>IF(OR(B111="",M111,G111="— ignored"),"",MAX(A$1:A110)+1)</f>
        <v/>
      </c>
      <c r="B111" s="10"/>
      <c r="C111" s="11" t="str">
        <f>IF(I111="","",ROUND((I111+0.5*MAX(0,CEILING(ROUND((MAX(C$1:C110)-1/48-I111)/0.5,6),1)))*1440,0)/1440)</f>
        <v/>
      </c>
      <c r="D111" s="9" t="str" cm="1">
        <f t="array" ref="D111">IF(H111="","",IFERROR(INDEX(Log!$C$19:$G$19,VALUE(MID(H111,FIND("#",H111)+1,1))),""))</f>
        <v/>
      </c>
      <c r="E111" s="9" t="str" cm="1">
        <f t="array" ref="E111">IF(OR(H111="",M111),"",IFERROR(_xlfn.LET(_xlpm.t,SUBSTITUTE(UPPER(H111),"م","M"),_xlpm.u,SUBSTITUTE(_xlpm.t,"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11" s="12"/>
      <c r="G111" s="13" t="str">
        <f>IF(B111="","",IF(M111,"⚠ Duplicate (not counted)",IF(AND(I111="",D111="",E111=""),"— ignored",IF(C111="","⚠ Time",IF(D111="","⚠ Plant",IF(E111="","⚠ Quantity",IF(AND(ISNUMBER(L111),COUNTIF(L$1:L110,L111)&gt;0),"⚠ Same serial "&amp;L111,IF(AND(ISNUMBER(L111),L111&gt;MIN($L$2:$L$1001),COUNTIF($L$2:$L$1001,L111-1)=0,COUNTIF($L$2:$L$1001,L111-2)&lt;2),"⚠ Missing serial "&amp;(L111-1),IF(AND(MAX(K$1:K110)&gt;0,N(K111)-MAX(K$1:K110)&gt;180),"⚠ Gap &gt; 3h",IF(C111-I111&gt;=0.99,"next day",IF(C111-I111&gt;0.4,"12h → 24h","")))))))))))</f>
        <v/>
      </c>
      <c r="H111" s="4" t="str">
        <f t="shared" si="5"/>
        <v/>
      </c>
      <c r="I111" s="5" t="str">
        <f t="shared" si="6"/>
        <v/>
      </c>
      <c r="J111" s="6">
        <f t="shared" si="7"/>
        <v>0</v>
      </c>
      <c r="K111" s="4" t="str">
        <f t="shared" si="8"/>
        <v/>
      </c>
      <c r="L111" s="4" t="str">
        <f t="shared" si="9"/>
        <v/>
      </c>
      <c r="M111" s="4" t="b" cm="1">
        <f t="array" ref="M111">IF(H111="",FALSE,SUMPRODUCT(--(H$1:H110=H111))&gt;0)</f>
        <v>0</v>
      </c>
    </row>
    <row r="112" spans="1:13" x14ac:dyDescent="0.25">
      <c r="A112" s="9" t="str">
        <f>IF(OR(B112="",M112,G112="— ignored"),"",MAX(A$1:A111)+1)</f>
        <v/>
      </c>
      <c r="B112" s="10"/>
      <c r="C112" s="11" t="str">
        <f>IF(I112="","",ROUND((I112+0.5*MAX(0,CEILING(ROUND((MAX(C$1:C111)-1/48-I112)/0.5,6),1)))*1440,0)/1440)</f>
        <v/>
      </c>
      <c r="D112" s="9" t="str" cm="1">
        <f t="array" ref="D112">IF(H112="","",IFERROR(INDEX(Log!$C$19:$G$19,VALUE(MID(H112,FIND("#",H112)+1,1))),""))</f>
        <v/>
      </c>
      <c r="E112" s="9" t="str" cm="1">
        <f t="array" ref="E112">IF(OR(H112="",M112),"",IFERROR(_xlfn.LET(_xlpm.t,SUBSTITUTE(UPPER(H112),"م","M"),_xlpm.u,SUBSTITUTE(_xlpm.t,"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12" s="12"/>
      <c r="G112" s="13" t="str">
        <f>IF(B112="","",IF(M112,"⚠ Duplicate (not counted)",IF(AND(I112="",D112="",E112=""),"— ignored",IF(C112="","⚠ Time",IF(D112="","⚠ Plant",IF(E112="","⚠ Quantity",IF(AND(ISNUMBER(L112),COUNTIF(L$1:L111,L112)&gt;0),"⚠ Same serial "&amp;L112,IF(AND(ISNUMBER(L112),L112&gt;MIN($L$2:$L$1001),COUNTIF($L$2:$L$1001,L112-1)=0,COUNTIF($L$2:$L$1001,L112-2)&lt;2),"⚠ Missing serial "&amp;(L112-1),IF(AND(MAX(K$1:K111)&gt;0,N(K112)-MAX(K$1:K111)&gt;180),"⚠ Gap &gt; 3h",IF(C112-I112&gt;=0.99,"next day",IF(C112-I112&gt;0.4,"12h → 24h","")))))))))))</f>
        <v/>
      </c>
      <c r="H112" s="4" t="str">
        <f t="shared" si="5"/>
        <v/>
      </c>
      <c r="I112" s="5" t="str">
        <f t="shared" si="6"/>
        <v/>
      </c>
      <c r="J112" s="6">
        <f t="shared" si="7"/>
        <v>0</v>
      </c>
      <c r="K112" s="4" t="str">
        <f t="shared" si="8"/>
        <v/>
      </c>
      <c r="L112" s="4" t="str">
        <f t="shared" si="9"/>
        <v/>
      </c>
      <c r="M112" s="4" t="b" cm="1">
        <f t="array" ref="M112">IF(H112="",FALSE,SUMPRODUCT(--(H$1:H111=H112))&gt;0)</f>
        <v>0</v>
      </c>
    </row>
    <row r="113" spans="1:13" x14ac:dyDescent="0.25">
      <c r="A113" s="9" t="str">
        <f>IF(OR(B113="",M113,G113="— ignored"),"",MAX(A$1:A112)+1)</f>
        <v/>
      </c>
      <c r="B113" s="10"/>
      <c r="C113" s="11" t="str">
        <f>IF(I113="","",ROUND((I113+0.5*MAX(0,CEILING(ROUND((MAX(C$1:C112)-1/48-I113)/0.5,6),1)))*1440,0)/1440)</f>
        <v/>
      </c>
      <c r="D113" s="9" t="str" cm="1">
        <f t="array" ref="D113">IF(H113="","",IFERROR(INDEX(Log!$C$19:$G$19,VALUE(MID(H113,FIND("#",H113)+1,1))),""))</f>
        <v/>
      </c>
      <c r="E113" s="9" t="str" cm="1">
        <f t="array" ref="E113">IF(OR(H113="",M113),"",IFERROR(_xlfn.LET(_xlpm.t,SUBSTITUTE(UPPER(H113),"م","M"),_xlpm.u,SUBSTITUTE(_xlpm.t,"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13" s="12"/>
      <c r="G113" s="13" t="str">
        <f>IF(B113="","",IF(M113,"⚠ Duplicate (not counted)",IF(AND(I113="",D113="",E113=""),"— ignored",IF(C113="","⚠ Time",IF(D113="","⚠ Plant",IF(E113="","⚠ Quantity",IF(AND(ISNUMBER(L113),COUNTIF(L$1:L112,L113)&gt;0),"⚠ Same serial "&amp;L113,IF(AND(ISNUMBER(L113),L113&gt;MIN($L$2:$L$1001),COUNTIF($L$2:$L$1001,L113-1)=0,COUNTIF($L$2:$L$1001,L113-2)&lt;2),"⚠ Missing serial "&amp;(L113-1),IF(AND(MAX(K$1:K112)&gt;0,N(K113)-MAX(K$1:K112)&gt;180),"⚠ Gap &gt; 3h",IF(C113-I113&gt;=0.99,"next day",IF(C113-I113&gt;0.4,"12h → 24h","")))))))))))</f>
        <v/>
      </c>
      <c r="H113" s="4" t="str">
        <f t="shared" si="5"/>
        <v/>
      </c>
      <c r="I113" s="5" t="str">
        <f t="shared" si="6"/>
        <v/>
      </c>
      <c r="J113" s="6">
        <f t="shared" si="7"/>
        <v>0</v>
      </c>
      <c r="K113" s="4" t="str">
        <f t="shared" si="8"/>
        <v/>
      </c>
      <c r="L113" s="4" t="str">
        <f t="shared" si="9"/>
        <v/>
      </c>
      <c r="M113" s="4" t="b" cm="1">
        <f t="array" ref="M113">IF(H113="",FALSE,SUMPRODUCT(--(H$1:H112=H113))&gt;0)</f>
        <v>0</v>
      </c>
    </row>
    <row r="114" spans="1:13" x14ac:dyDescent="0.25">
      <c r="A114" s="9" t="str">
        <f>IF(OR(B114="",M114,G114="— ignored"),"",MAX(A$1:A113)+1)</f>
        <v/>
      </c>
      <c r="B114" s="10"/>
      <c r="C114" s="11" t="str">
        <f>IF(I114="","",ROUND((I114+0.5*MAX(0,CEILING(ROUND((MAX(C$1:C113)-1/48-I114)/0.5,6),1)))*1440,0)/1440)</f>
        <v/>
      </c>
      <c r="D114" s="9" t="str" cm="1">
        <f t="array" ref="D114">IF(H114="","",IFERROR(INDEX(Log!$C$19:$G$19,VALUE(MID(H114,FIND("#",H114)+1,1))),""))</f>
        <v/>
      </c>
      <c r="E114" s="9" t="str" cm="1">
        <f t="array" ref="E114">IF(OR(H114="",M114),"",IFERROR(_xlfn.LET(_xlpm.t,SUBSTITUTE(UPPER(H114),"م","M"),_xlpm.u,SUBSTITUTE(_xlpm.t,"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14" s="12"/>
      <c r="G114" s="13" t="str">
        <f>IF(B114="","",IF(M114,"⚠ Duplicate (not counted)",IF(AND(I114="",D114="",E114=""),"— ignored",IF(C114="","⚠ Time",IF(D114="","⚠ Plant",IF(E114="","⚠ Quantity",IF(AND(ISNUMBER(L114),COUNTIF(L$1:L113,L114)&gt;0),"⚠ Same serial "&amp;L114,IF(AND(ISNUMBER(L114),L114&gt;MIN($L$2:$L$1001),COUNTIF($L$2:$L$1001,L114-1)=0,COUNTIF($L$2:$L$1001,L114-2)&lt;2),"⚠ Missing serial "&amp;(L114-1),IF(AND(MAX(K$1:K113)&gt;0,N(K114)-MAX(K$1:K113)&gt;180),"⚠ Gap &gt; 3h",IF(C114-I114&gt;=0.99,"next day",IF(C114-I114&gt;0.4,"12h → 24h","")))))))))))</f>
        <v/>
      </c>
      <c r="H114" s="4" t="str">
        <f t="shared" si="5"/>
        <v/>
      </c>
      <c r="I114" s="5" t="str">
        <f t="shared" si="6"/>
        <v/>
      </c>
      <c r="J114" s="6">
        <f t="shared" si="7"/>
        <v>0</v>
      </c>
      <c r="K114" s="4" t="str">
        <f t="shared" si="8"/>
        <v/>
      </c>
      <c r="L114" s="4" t="str">
        <f t="shared" si="9"/>
        <v/>
      </c>
      <c r="M114" s="4" t="b" cm="1">
        <f t="array" ref="M114">IF(H114="",FALSE,SUMPRODUCT(--(H$1:H113=H114))&gt;0)</f>
        <v>0</v>
      </c>
    </row>
    <row r="115" spans="1:13" x14ac:dyDescent="0.25">
      <c r="A115" s="9" t="str">
        <f>IF(OR(B115="",M115,G115="— ignored"),"",MAX(A$1:A114)+1)</f>
        <v/>
      </c>
      <c r="B115" s="10"/>
      <c r="C115" s="11" t="str">
        <f>IF(I115="","",ROUND((I115+0.5*MAX(0,CEILING(ROUND((MAX(C$1:C114)-1/48-I115)/0.5,6),1)))*1440,0)/1440)</f>
        <v/>
      </c>
      <c r="D115" s="9" t="str" cm="1">
        <f t="array" ref="D115">IF(H115="","",IFERROR(INDEX(Log!$C$19:$G$19,VALUE(MID(H115,FIND("#",H115)+1,1))),""))</f>
        <v/>
      </c>
      <c r="E115" s="9" t="str" cm="1">
        <f t="array" ref="E115">IF(OR(H115="",M115),"",IFERROR(_xlfn.LET(_xlpm.t,SUBSTITUTE(UPPER(H115),"م","M"),_xlpm.u,SUBSTITUTE(_xlpm.t,"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15" s="12"/>
      <c r="G115" s="13" t="str">
        <f>IF(B115="","",IF(M115,"⚠ Duplicate (not counted)",IF(AND(I115="",D115="",E115=""),"— ignored",IF(C115="","⚠ Time",IF(D115="","⚠ Plant",IF(E115="","⚠ Quantity",IF(AND(ISNUMBER(L115),COUNTIF(L$1:L114,L115)&gt;0),"⚠ Same serial "&amp;L115,IF(AND(ISNUMBER(L115),L115&gt;MIN($L$2:$L$1001),COUNTIF($L$2:$L$1001,L115-1)=0,COUNTIF($L$2:$L$1001,L115-2)&lt;2),"⚠ Missing serial "&amp;(L115-1),IF(AND(MAX(K$1:K114)&gt;0,N(K115)-MAX(K$1:K114)&gt;180),"⚠ Gap &gt; 3h",IF(C115-I115&gt;=0.99,"next day",IF(C115-I115&gt;0.4,"12h → 24h","")))))))))))</f>
        <v/>
      </c>
      <c r="H115" s="4" t="str">
        <f t="shared" si="5"/>
        <v/>
      </c>
      <c r="I115" s="5" t="str">
        <f t="shared" si="6"/>
        <v/>
      </c>
      <c r="J115" s="6">
        <f t="shared" si="7"/>
        <v>0</v>
      </c>
      <c r="K115" s="4" t="str">
        <f t="shared" si="8"/>
        <v/>
      </c>
      <c r="L115" s="4" t="str">
        <f t="shared" si="9"/>
        <v/>
      </c>
      <c r="M115" s="4" t="b" cm="1">
        <f t="array" ref="M115">IF(H115="",FALSE,SUMPRODUCT(--(H$1:H114=H115))&gt;0)</f>
        <v>0</v>
      </c>
    </row>
    <row r="116" spans="1:13" x14ac:dyDescent="0.25">
      <c r="A116" s="9" t="str">
        <f>IF(OR(B116="",M116,G116="— ignored"),"",MAX(A$1:A115)+1)</f>
        <v/>
      </c>
      <c r="B116" s="10"/>
      <c r="C116" s="11" t="str">
        <f>IF(I116="","",ROUND((I116+0.5*MAX(0,CEILING(ROUND((MAX(C$1:C115)-1/48-I116)/0.5,6),1)))*1440,0)/1440)</f>
        <v/>
      </c>
      <c r="D116" s="9" t="str" cm="1">
        <f t="array" ref="D116">IF(H116="","",IFERROR(INDEX(Log!$C$19:$G$19,VALUE(MID(H116,FIND("#",H116)+1,1))),""))</f>
        <v/>
      </c>
      <c r="E116" s="9" t="str" cm="1">
        <f t="array" ref="E116">IF(OR(H116="",M116),"",IFERROR(_xlfn.LET(_xlpm.t,SUBSTITUTE(UPPER(H116),"م","M"),_xlpm.u,SUBSTITUTE(_xlpm.t,"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16" s="12"/>
      <c r="G116" s="13" t="str">
        <f>IF(B116="","",IF(M116,"⚠ Duplicate (not counted)",IF(AND(I116="",D116="",E116=""),"— ignored",IF(C116="","⚠ Time",IF(D116="","⚠ Plant",IF(E116="","⚠ Quantity",IF(AND(ISNUMBER(L116),COUNTIF(L$1:L115,L116)&gt;0),"⚠ Same serial "&amp;L116,IF(AND(ISNUMBER(L116),L116&gt;MIN($L$2:$L$1001),COUNTIF($L$2:$L$1001,L116-1)=0,COUNTIF($L$2:$L$1001,L116-2)&lt;2),"⚠ Missing serial "&amp;(L116-1),IF(AND(MAX(K$1:K115)&gt;0,N(K116)-MAX(K$1:K115)&gt;180),"⚠ Gap &gt; 3h",IF(C116-I116&gt;=0.99,"next day",IF(C116-I116&gt;0.4,"12h → 24h","")))))))))))</f>
        <v/>
      </c>
      <c r="H116" s="4" t="str">
        <f t="shared" si="5"/>
        <v/>
      </c>
      <c r="I116" s="5" t="str">
        <f t="shared" si="6"/>
        <v/>
      </c>
      <c r="J116" s="6">
        <f t="shared" si="7"/>
        <v>0</v>
      </c>
      <c r="K116" s="4" t="str">
        <f t="shared" si="8"/>
        <v/>
      </c>
      <c r="L116" s="4" t="str">
        <f t="shared" si="9"/>
        <v/>
      </c>
      <c r="M116" s="4" t="b" cm="1">
        <f t="array" ref="M116">IF(H116="",FALSE,SUMPRODUCT(--(H$1:H115=H116))&gt;0)</f>
        <v>0</v>
      </c>
    </row>
    <row r="117" spans="1:13" x14ac:dyDescent="0.25">
      <c r="A117" s="9" t="str">
        <f>IF(OR(B117="",M117,G117="— ignored"),"",MAX(A$1:A116)+1)</f>
        <v/>
      </c>
      <c r="B117" s="10"/>
      <c r="C117" s="11" t="str">
        <f>IF(I117="","",ROUND((I117+0.5*MAX(0,CEILING(ROUND((MAX(C$1:C116)-1/48-I117)/0.5,6),1)))*1440,0)/1440)</f>
        <v/>
      </c>
      <c r="D117" s="9" t="str" cm="1">
        <f t="array" ref="D117">IF(H117="","",IFERROR(INDEX(Log!$C$19:$G$19,VALUE(MID(H117,FIND("#",H117)+1,1))),""))</f>
        <v/>
      </c>
      <c r="E117" s="9" t="str" cm="1">
        <f t="array" ref="E117">IF(OR(H117="",M117),"",IFERROR(_xlfn.LET(_xlpm.t,SUBSTITUTE(UPPER(H117),"م","M"),_xlpm.u,SUBSTITUTE(_xlpm.t,"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17" s="12"/>
      <c r="G117" s="13" t="str">
        <f>IF(B117="","",IF(M117,"⚠ Duplicate (not counted)",IF(AND(I117="",D117="",E117=""),"— ignored",IF(C117="","⚠ Time",IF(D117="","⚠ Plant",IF(E117="","⚠ Quantity",IF(AND(ISNUMBER(L117),COUNTIF(L$1:L116,L117)&gt;0),"⚠ Same serial "&amp;L117,IF(AND(ISNUMBER(L117),L117&gt;MIN($L$2:$L$1001),COUNTIF($L$2:$L$1001,L117-1)=0,COUNTIF($L$2:$L$1001,L117-2)&lt;2),"⚠ Missing serial "&amp;(L117-1),IF(AND(MAX(K$1:K116)&gt;0,N(K117)-MAX(K$1:K116)&gt;180),"⚠ Gap &gt; 3h",IF(C117-I117&gt;=0.99,"next day",IF(C117-I117&gt;0.4,"12h → 24h","")))))))))))</f>
        <v/>
      </c>
      <c r="H117" s="4" t="str">
        <f t="shared" si="5"/>
        <v/>
      </c>
      <c r="I117" s="5" t="str">
        <f t="shared" si="6"/>
        <v/>
      </c>
      <c r="J117" s="6">
        <f t="shared" si="7"/>
        <v>0</v>
      </c>
      <c r="K117" s="4" t="str">
        <f t="shared" si="8"/>
        <v/>
      </c>
      <c r="L117" s="4" t="str">
        <f t="shared" si="9"/>
        <v/>
      </c>
      <c r="M117" s="4" t="b" cm="1">
        <f t="array" ref="M117">IF(H117="",FALSE,SUMPRODUCT(--(H$1:H116=H117))&gt;0)</f>
        <v>0</v>
      </c>
    </row>
    <row r="118" spans="1:13" x14ac:dyDescent="0.25">
      <c r="A118" s="9" t="str">
        <f>IF(OR(B118="",M118,G118="— ignored"),"",MAX(A$1:A117)+1)</f>
        <v/>
      </c>
      <c r="B118" s="10"/>
      <c r="C118" s="11" t="str">
        <f>IF(I118="","",ROUND((I118+0.5*MAX(0,CEILING(ROUND((MAX(C$1:C117)-1/48-I118)/0.5,6),1)))*1440,0)/1440)</f>
        <v/>
      </c>
      <c r="D118" s="9" t="str" cm="1">
        <f t="array" ref="D118">IF(H118="","",IFERROR(INDEX(Log!$C$19:$G$19,VALUE(MID(H118,FIND("#",H118)+1,1))),""))</f>
        <v/>
      </c>
      <c r="E118" s="9" t="str" cm="1">
        <f t="array" ref="E118">IF(OR(H118="",M118),"",IFERROR(_xlfn.LET(_xlpm.t,SUBSTITUTE(UPPER(H118),"م","M"),_xlpm.u,SUBSTITUTE(_xlpm.t,"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18" s="12"/>
      <c r="G118" s="13" t="str">
        <f>IF(B118="","",IF(M118,"⚠ Duplicate (not counted)",IF(AND(I118="",D118="",E118=""),"— ignored",IF(C118="","⚠ Time",IF(D118="","⚠ Plant",IF(E118="","⚠ Quantity",IF(AND(ISNUMBER(L118),COUNTIF(L$1:L117,L118)&gt;0),"⚠ Same serial "&amp;L118,IF(AND(ISNUMBER(L118),L118&gt;MIN($L$2:$L$1001),COUNTIF($L$2:$L$1001,L118-1)=0,COUNTIF($L$2:$L$1001,L118-2)&lt;2),"⚠ Missing serial "&amp;(L118-1),IF(AND(MAX(K$1:K117)&gt;0,N(K118)-MAX(K$1:K117)&gt;180),"⚠ Gap &gt; 3h",IF(C118-I118&gt;=0.99,"next day",IF(C118-I118&gt;0.4,"12h → 24h","")))))))))))</f>
        <v/>
      </c>
      <c r="H118" s="4" t="str">
        <f t="shared" si="5"/>
        <v/>
      </c>
      <c r="I118" s="5" t="str">
        <f t="shared" si="6"/>
        <v/>
      </c>
      <c r="J118" s="6">
        <f t="shared" si="7"/>
        <v>0</v>
      </c>
      <c r="K118" s="4" t="str">
        <f t="shared" si="8"/>
        <v/>
      </c>
      <c r="L118" s="4" t="str">
        <f t="shared" si="9"/>
        <v/>
      </c>
      <c r="M118" s="4" t="b" cm="1">
        <f t="array" ref="M118">IF(H118="",FALSE,SUMPRODUCT(--(H$1:H117=H118))&gt;0)</f>
        <v>0</v>
      </c>
    </row>
    <row r="119" spans="1:13" x14ac:dyDescent="0.25">
      <c r="A119" s="9" t="str">
        <f>IF(OR(B119="",M119,G119="— ignored"),"",MAX(A$1:A118)+1)</f>
        <v/>
      </c>
      <c r="B119" s="10"/>
      <c r="C119" s="11" t="str">
        <f>IF(I119="","",ROUND((I119+0.5*MAX(0,CEILING(ROUND((MAX(C$1:C118)-1/48-I119)/0.5,6),1)))*1440,0)/1440)</f>
        <v/>
      </c>
      <c r="D119" s="9" t="str" cm="1">
        <f t="array" ref="D119">IF(H119="","",IFERROR(INDEX(Log!$C$19:$G$19,VALUE(MID(H119,FIND("#",H119)+1,1))),""))</f>
        <v/>
      </c>
      <c r="E119" s="9" t="str" cm="1">
        <f t="array" ref="E119">IF(OR(H119="",M119),"",IFERROR(_xlfn.LET(_xlpm.t,SUBSTITUTE(UPPER(H119),"م","M"),_xlpm.u,SUBSTITUTE(_xlpm.t,"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19" s="12"/>
      <c r="G119" s="13" t="str">
        <f>IF(B119="","",IF(M119,"⚠ Duplicate (not counted)",IF(AND(I119="",D119="",E119=""),"— ignored",IF(C119="","⚠ Time",IF(D119="","⚠ Plant",IF(E119="","⚠ Quantity",IF(AND(ISNUMBER(L119),COUNTIF(L$1:L118,L119)&gt;0),"⚠ Same serial "&amp;L119,IF(AND(ISNUMBER(L119),L119&gt;MIN($L$2:$L$1001),COUNTIF($L$2:$L$1001,L119-1)=0,COUNTIF($L$2:$L$1001,L119-2)&lt;2),"⚠ Missing serial "&amp;(L119-1),IF(AND(MAX(K$1:K118)&gt;0,N(K119)-MAX(K$1:K118)&gt;180),"⚠ Gap &gt; 3h",IF(C119-I119&gt;=0.99,"next day",IF(C119-I119&gt;0.4,"12h → 24h","")))))))))))</f>
        <v/>
      </c>
      <c r="H119" s="4" t="str">
        <f t="shared" si="5"/>
        <v/>
      </c>
      <c r="I119" s="5" t="str">
        <f t="shared" si="6"/>
        <v/>
      </c>
      <c r="J119" s="6">
        <f t="shared" si="7"/>
        <v>0</v>
      </c>
      <c r="K119" s="4" t="str">
        <f t="shared" si="8"/>
        <v/>
      </c>
      <c r="L119" s="4" t="str">
        <f t="shared" si="9"/>
        <v/>
      </c>
      <c r="M119" s="4" t="b" cm="1">
        <f t="array" ref="M119">IF(H119="",FALSE,SUMPRODUCT(--(H$1:H118=H119))&gt;0)</f>
        <v>0</v>
      </c>
    </row>
    <row r="120" spans="1:13" x14ac:dyDescent="0.25">
      <c r="A120" s="9" t="str">
        <f>IF(OR(B120="",M120,G120="— ignored"),"",MAX(A$1:A119)+1)</f>
        <v/>
      </c>
      <c r="B120" s="10"/>
      <c r="C120" s="11" t="str">
        <f>IF(I120="","",ROUND((I120+0.5*MAX(0,CEILING(ROUND((MAX(C$1:C119)-1/48-I120)/0.5,6),1)))*1440,0)/1440)</f>
        <v/>
      </c>
      <c r="D120" s="9" t="str" cm="1">
        <f t="array" ref="D120">IF(H120="","",IFERROR(INDEX(Log!$C$19:$G$19,VALUE(MID(H120,FIND("#",H120)+1,1))),""))</f>
        <v/>
      </c>
      <c r="E120" s="9" t="str" cm="1">
        <f t="array" ref="E120">IF(OR(H120="",M120),"",IFERROR(_xlfn.LET(_xlpm.t,SUBSTITUTE(UPPER(H120),"م","M"),_xlpm.u,SUBSTITUTE(_xlpm.t,"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20" s="12"/>
      <c r="G120" s="13" t="str">
        <f>IF(B120="","",IF(M120,"⚠ Duplicate (not counted)",IF(AND(I120="",D120="",E120=""),"— ignored",IF(C120="","⚠ Time",IF(D120="","⚠ Plant",IF(E120="","⚠ Quantity",IF(AND(ISNUMBER(L120),COUNTIF(L$1:L119,L120)&gt;0),"⚠ Same serial "&amp;L120,IF(AND(ISNUMBER(L120),L120&gt;MIN($L$2:$L$1001),COUNTIF($L$2:$L$1001,L120-1)=0,COUNTIF($L$2:$L$1001,L120-2)&lt;2),"⚠ Missing serial "&amp;(L120-1),IF(AND(MAX(K$1:K119)&gt;0,N(K120)-MAX(K$1:K119)&gt;180),"⚠ Gap &gt; 3h",IF(C120-I120&gt;=0.99,"next day",IF(C120-I120&gt;0.4,"12h → 24h","")))))))))))</f>
        <v/>
      </c>
      <c r="H120" s="4" t="str">
        <f t="shared" si="5"/>
        <v/>
      </c>
      <c r="I120" s="5" t="str">
        <f t="shared" si="6"/>
        <v/>
      </c>
      <c r="J120" s="6">
        <f t="shared" si="7"/>
        <v>0</v>
      </c>
      <c r="K120" s="4" t="str">
        <f t="shared" si="8"/>
        <v/>
      </c>
      <c r="L120" s="4" t="str">
        <f t="shared" si="9"/>
        <v/>
      </c>
      <c r="M120" s="4" t="b" cm="1">
        <f t="array" ref="M120">IF(H120="",FALSE,SUMPRODUCT(--(H$1:H119=H120))&gt;0)</f>
        <v>0</v>
      </c>
    </row>
    <row r="121" spans="1:13" x14ac:dyDescent="0.25">
      <c r="A121" s="9" t="str">
        <f>IF(OR(B121="",M121,G121="— ignored"),"",MAX(A$1:A120)+1)</f>
        <v/>
      </c>
      <c r="B121" s="10"/>
      <c r="C121" s="11" t="str">
        <f>IF(I121="","",ROUND((I121+0.5*MAX(0,CEILING(ROUND((MAX(C$1:C120)-1/48-I121)/0.5,6),1)))*1440,0)/1440)</f>
        <v/>
      </c>
      <c r="D121" s="9" t="str" cm="1">
        <f t="array" ref="D121">IF(H121="","",IFERROR(INDEX(Log!$C$19:$G$19,VALUE(MID(H121,FIND("#",H121)+1,1))),""))</f>
        <v/>
      </c>
      <c r="E121" s="9" t="str" cm="1">
        <f t="array" ref="E121">IF(OR(H121="",M121),"",IFERROR(_xlfn.LET(_xlpm.t,SUBSTITUTE(UPPER(H121),"م","M"),_xlpm.u,SUBSTITUTE(_xlpm.t,"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21" s="12"/>
      <c r="G121" s="13" t="str">
        <f>IF(B121="","",IF(M121,"⚠ Duplicate (not counted)",IF(AND(I121="",D121="",E121=""),"— ignored",IF(C121="","⚠ Time",IF(D121="","⚠ Plant",IF(E121="","⚠ Quantity",IF(AND(ISNUMBER(L121),COUNTIF(L$1:L120,L121)&gt;0),"⚠ Same serial "&amp;L121,IF(AND(ISNUMBER(L121),L121&gt;MIN($L$2:$L$1001),COUNTIF($L$2:$L$1001,L121-1)=0,COUNTIF($L$2:$L$1001,L121-2)&lt;2),"⚠ Missing serial "&amp;(L121-1),IF(AND(MAX(K$1:K120)&gt;0,N(K121)-MAX(K$1:K120)&gt;180),"⚠ Gap &gt; 3h",IF(C121-I121&gt;=0.99,"next day",IF(C121-I121&gt;0.4,"12h → 24h","")))))))))))</f>
        <v/>
      </c>
      <c r="H121" s="4" t="str">
        <f t="shared" si="5"/>
        <v/>
      </c>
      <c r="I121" s="5" t="str">
        <f t="shared" si="6"/>
        <v/>
      </c>
      <c r="J121" s="6">
        <f t="shared" si="7"/>
        <v>0</v>
      </c>
      <c r="K121" s="4" t="str">
        <f t="shared" si="8"/>
        <v/>
      </c>
      <c r="L121" s="4" t="str">
        <f t="shared" si="9"/>
        <v/>
      </c>
      <c r="M121" s="4" t="b" cm="1">
        <f t="array" ref="M121">IF(H121="",FALSE,SUMPRODUCT(--(H$1:H120=H121))&gt;0)</f>
        <v>0</v>
      </c>
    </row>
    <row r="122" spans="1:13" x14ac:dyDescent="0.25">
      <c r="A122" s="9" t="str">
        <f>IF(OR(B122="",M122,G122="— ignored"),"",MAX(A$1:A121)+1)</f>
        <v/>
      </c>
      <c r="B122" s="10"/>
      <c r="C122" s="11" t="str">
        <f>IF(I122="","",ROUND((I122+0.5*MAX(0,CEILING(ROUND((MAX(C$1:C121)-1/48-I122)/0.5,6),1)))*1440,0)/1440)</f>
        <v/>
      </c>
      <c r="D122" s="9" t="str" cm="1">
        <f t="array" ref="D122">IF(H122="","",IFERROR(INDEX(Log!$C$19:$G$19,VALUE(MID(H122,FIND("#",H122)+1,1))),""))</f>
        <v/>
      </c>
      <c r="E122" s="9" t="str" cm="1">
        <f t="array" ref="E122">IF(OR(H122="",M122),"",IFERROR(_xlfn.LET(_xlpm.t,SUBSTITUTE(UPPER(H122),"م","M"),_xlpm.u,SUBSTITUTE(_xlpm.t,"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22" s="12"/>
      <c r="G122" s="13" t="str">
        <f>IF(B122="","",IF(M122,"⚠ Duplicate (not counted)",IF(AND(I122="",D122="",E122=""),"— ignored",IF(C122="","⚠ Time",IF(D122="","⚠ Plant",IF(E122="","⚠ Quantity",IF(AND(ISNUMBER(L122),COUNTIF(L$1:L121,L122)&gt;0),"⚠ Same serial "&amp;L122,IF(AND(ISNUMBER(L122),L122&gt;MIN($L$2:$L$1001),COUNTIF($L$2:$L$1001,L122-1)=0,COUNTIF($L$2:$L$1001,L122-2)&lt;2),"⚠ Missing serial "&amp;(L122-1),IF(AND(MAX(K$1:K121)&gt;0,N(K122)-MAX(K$1:K121)&gt;180),"⚠ Gap &gt; 3h",IF(C122-I122&gt;=0.99,"next day",IF(C122-I122&gt;0.4,"12h → 24h","")))))))))))</f>
        <v/>
      </c>
      <c r="H122" s="4" t="str">
        <f t="shared" si="5"/>
        <v/>
      </c>
      <c r="I122" s="5" t="str">
        <f t="shared" si="6"/>
        <v/>
      </c>
      <c r="J122" s="6">
        <f t="shared" si="7"/>
        <v>0</v>
      </c>
      <c r="K122" s="4" t="str">
        <f t="shared" si="8"/>
        <v/>
      </c>
      <c r="L122" s="4" t="str">
        <f t="shared" si="9"/>
        <v/>
      </c>
      <c r="M122" s="4" t="b" cm="1">
        <f t="array" ref="M122">IF(H122="",FALSE,SUMPRODUCT(--(H$1:H121=H122))&gt;0)</f>
        <v>0</v>
      </c>
    </row>
    <row r="123" spans="1:13" x14ac:dyDescent="0.25">
      <c r="A123" s="9" t="str">
        <f>IF(OR(B123="",M123,G123="— ignored"),"",MAX(A$1:A122)+1)</f>
        <v/>
      </c>
      <c r="B123" s="10"/>
      <c r="C123" s="11" t="str">
        <f>IF(I123="","",ROUND((I123+0.5*MAX(0,CEILING(ROUND((MAX(C$1:C122)-1/48-I123)/0.5,6),1)))*1440,0)/1440)</f>
        <v/>
      </c>
      <c r="D123" s="9" t="str" cm="1">
        <f t="array" ref="D123">IF(H123="","",IFERROR(INDEX(Log!$C$19:$G$19,VALUE(MID(H123,FIND("#",H123)+1,1))),""))</f>
        <v/>
      </c>
      <c r="E123" s="9" t="str" cm="1">
        <f t="array" ref="E123">IF(OR(H123="",M123),"",IFERROR(_xlfn.LET(_xlpm.t,SUBSTITUTE(UPPER(H123),"م","M"),_xlpm.u,SUBSTITUTE(_xlpm.t,"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23" s="12"/>
      <c r="G123" s="13" t="str">
        <f>IF(B123="","",IF(M123,"⚠ Duplicate (not counted)",IF(AND(I123="",D123="",E123=""),"— ignored",IF(C123="","⚠ Time",IF(D123="","⚠ Plant",IF(E123="","⚠ Quantity",IF(AND(ISNUMBER(L123),COUNTIF(L$1:L122,L123)&gt;0),"⚠ Same serial "&amp;L123,IF(AND(ISNUMBER(L123),L123&gt;MIN($L$2:$L$1001),COUNTIF($L$2:$L$1001,L123-1)=0,COUNTIF($L$2:$L$1001,L123-2)&lt;2),"⚠ Missing serial "&amp;(L123-1),IF(AND(MAX(K$1:K122)&gt;0,N(K123)-MAX(K$1:K122)&gt;180),"⚠ Gap &gt; 3h",IF(C123-I123&gt;=0.99,"next day",IF(C123-I123&gt;0.4,"12h → 24h","")))))))))))</f>
        <v/>
      </c>
      <c r="H123" s="4" t="str">
        <f t="shared" si="5"/>
        <v/>
      </c>
      <c r="I123" s="5" t="str">
        <f t="shared" si="6"/>
        <v/>
      </c>
      <c r="J123" s="6">
        <f t="shared" si="7"/>
        <v>0</v>
      </c>
      <c r="K123" s="4" t="str">
        <f t="shared" si="8"/>
        <v/>
      </c>
      <c r="L123" s="4" t="str">
        <f t="shared" si="9"/>
        <v/>
      </c>
      <c r="M123" s="4" t="b" cm="1">
        <f t="array" ref="M123">IF(H123="",FALSE,SUMPRODUCT(--(H$1:H122=H123))&gt;0)</f>
        <v>0</v>
      </c>
    </row>
    <row r="124" spans="1:13" x14ac:dyDescent="0.25">
      <c r="A124" s="9" t="str">
        <f>IF(OR(B124="",M124,G124="— ignored"),"",MAX(A$1:A123)+1)</f>
        <v/>
      </c>
      <c r="B124" s="10"/>
      <c r="C124" s="11" t="str">
        <f>IF(I124="","",ROUND((I124+0.5*MAX(0,CEILING(ROUND((MAX(C$1:C123)-1/48-I124)/0.5,6),1)))*1440,0)/1440)</f>
        <v/>
      </c>
      <c r="D124" s="9" t="str" cm="1">
        <f t="array" ref="D124">IF(H124="","",IFERROR(INDEX(Log!$C$19:$G$19,VALUE(MID(H124,FIND("#",H124)+1,1))),""))</f>
        <v/>
      </c>
      <c r="E124" s="9" t="str" cm="1">
        <f t="array" ref="E124">IF(OR(H124="",M124),"",IFERROR(_xlfn.LET(_xlpm.t,SUBSTITUTE(UPPER(H124),"م","M"),_xlpm.u,SUBSTITUTE(_xlpm.t,"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24" s="12"/>
      <c r="G124" s="13" t="str">
        <f>IF(B124="","",IF(M124,"⚠ Duplicate (not counted)",IF(AND(I124="",D124="",E124=""),"— ignored",IF(C124="","⚠ Time",IF(D124="","⚠ Plant",IF(E124="","⚠ Quantity",IF(AND(ISNUMBER(L124),COUNTIF(L$1:L123,L124)&gt;0),"⚠ Same serial "&amp;L124,IF(AND(ISNUMBER(L124),L124&gt;MIN($L$2:$L$1001),COUNTIF($L$2:$L$1001,L124-1)=0,COUNTIF($L$2:$L$1001,L124-2)&lt;2),"⚠ Missing serial "&amp;(L124-1),IF(AND(MAX(K$1:K123)&gt;0,N(K124)-MAX(K$1:K123)&gt;180),"⚠ Gap &gt; 3h",IF(C124-I124&gt;=0.99,"next day",IF(C124-I124&gt;0.4,"12h → 24h","")))))))))))</f>
        <v/>
      </c>
      <c r="H124" s="4" t="str">
        <f t="shared" si="5"/>
        <v/>
      </c>
      <c r="I124" s="5" t="str">
        <f t="shared" si="6"/>
        <v/>
      </c>
      <c r="J124" s="6">
        <f t="shared" si="7"/>
        <v>0</v>
      </c>
      <c r="K124" s="4" t="str">
        <f t="shared" si="8"/>
        <v/>
      </c>
      <c r="L124" s="4" t="str">
        <f t="shared" si="9"/>
        <v/>
      </c>
      <c r="M124" s="4" t="b" cm="1">
        <f t="array" ref="M124">IF(H124="",FALSE,SUMPRODUCT(--(H$1:H123=H124))&gt;0)</f>
        <v>0</v>
      </c>
    </row>
    <row r="125" spans="1:13" x14ac:dyDescent="0.25">
      <c r="A125" s="9" t="str">
        <f>IF(OR(B125="",M125,G125="— ignored"),"",MAX(A$1:A124)+1)</f>
        <v/>
      </c>
      <c r="B125" s="10"/>
      <c r="C125" s="11" t="str">
        <f>IF(I125="","",ROUND((I125+0.5*MAX(0,CEILING(ROUND((MAX(C$1:C124)-1/48-I125)/0.5,6),1)))*1440,0)/1440)</f>
        <v/>
      </c>
      <c r="D125" s="9" t="str" cm="1">
        <f t="array" ref="D125">IF(H125="","",IFERROR(INDEX(Log!$C$19:$G$19,VALUE(MID(H125,FIND("#",H125)+1,1))),""))</f>
        <v/>
      </c>
      <c r="E125" s="9" t="str" cm="1">
        <f t="array" ref="E125">IF(OR(H125="",M125),"",IFERROR(_xlfn.LET(_xlpm.t,SUBSTITUTE(UPPER(H125),"م","M"),_xlpm.u,SUBSTITUTE(_xlpm.t,"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25" s="12"/>
      <c r="G125" s="13" t="str">
        <f>IF(B125="","",IF(M125,"⚠ Duplicate (not counted)",IF(AND(I125="",D125="",E125=""),"— ignored",IF(C125="","⚠ Time",IF(D125="","⚠ Plant",IF(E125="","⚠ Quantity",IF(AND(ISNUMBER(L125),COUNTIF(L$1:L124,L125)&gt;0),"⚠ Same serial "&amp;L125,IF(AND(ISNUMBER(L125),L125&gt;MIN($L$2:$L$1001),COUNTIF($L$2:$L$1001,L125-1)=0,COUNTIF($L$2:$L$1001,L125-2)&lt;2),"⚠ Missing serial "&amp;(L125-1),IF(AND(MAX(K$1:K124)&gt;0,N(K125)-MAX(K$1:K124)&gt;180),"⚠ Gap &gt; 3h",IF(C125-I125&gt;=0.99,"next day",IF(C125-I125&gt;0.4,"12h → 24h","")))))))))))</f>
        <v/>
      </c>
      <c r="H125" s="4" t="str">
        <f t="shared" si="5"/>
        <v/>
      </c>
      <c r="I125" s="5" t="str">
        <f t="shared" si="6"/>
        <v/>
      </c>
      <c r="J125" s="6">
        <f t="shared" si="7"/>
        <v>0</v>
      </c>
      <c r="K125" s="4" t="str">
        <f t="shared" si="8"/>
        <v/>
      </c>
      <c r="L125" s="4" t="str">
        <f t="shared" si="9"/>
        <v/>
      </c>
      <c r="M125" s="4" t="b" cm="1">
        <f t="array" ref="M125">IF(H125="",FALSE,SUMPRODUCT(--(H$1:H124=H125))&gt;0)</f>
        <v>0</v>
      </c>
    </row>
    <row r="126" spans="1:13" x14ac:dyDescent="0.25">
      <c r="A126" s="9" t="str">
        <f>IF(OR(B126="",M126,G126="— ignored"),"",MAX(A$1:A125)+1)</f>
        <v/>
      </c>
      <c r="B126" s="10"/>
      <c r="C126" s="11" t="str">
        <f>IF(I126="","",ROUND((I126+0.5*MAX(0,CEILING(ROUND((MAX(C$1:C125)-1/48-I126)/0.5,6),1)))*1440,0)/1440)</f>
        <v/>
      </c>
      <c r="D126" s="9" t="str" cm="1">
        <f t="array" ref="D126">IF(H126="","",IFERROR(INDEX(Log!$C$19:$G$19,VALUE(MID(H126,FIND("#",H126)+1,1))),""))</f>
        <v/>
      </c>
      <c r="E126" s="9" t="str" cm="1">
        <f t="array" ref="E126">IF(OR(H126="",M126),"",IFERROR(_xlfn.LET(_xlpm.t,SUBSTITUTE(UPPER(H126),"م","M"),_xlpm.u,SUBSTITUTE(_xlpm.t,"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26" s="12"/>
      <c r="G126" s="13" t="str">
        <f>IF(B126="","",IF(M126,"⚠ Duplicate (not counted)",IF(AND(I126="",D126="",E126=""),"— ignored",IF(C126="","⚠ Time",IF(D126="","⚠ Plant",IF(E126="","⚠ Quantity",IF(AND(ISNUMBER(L126),COUNTIF(L$1:L125,L126)&gt;0),"⚠ Same serial "&amp;L126,IF(AND(ISNUMBER(L126),L126&gt;MIN($L$2:$L$1001),COUNTIF($L$2:$L$1001,L126-1)=0,COUNTIF($L$2:$L$1001,L126-2)&lt;2),"⚠ Missing serial "&amp;(L126-1),IF(AND(MAX(K$1:K125)&gt;0,N(K126)-MAX(K$1:K125)&gt;180),"⚠ Gap &gt; 3h",IF(C126-I126&gt;=0.99,"next day",IF(C126-I126&gt;0.4,"12h → 24h","")))))))))))</f>
        <v/>
      </c>
      <c r="H126" s="4" t="str">
        <f t="shared" si="5"/>
        <v/>
      </c>
      <c r="I126" s="5" t="str">
        <f t="shared" si="6"/>
        <v/>
      </c>
      <c r="J126" s="6">
        <f t="shared" si="7"/>
        <v>0</v>
      </c>
      <c r="K126" s="4" t="str">
        <f t="shared" si="8"/>
        <v/>
      </c>
      <c r="L126" s="4" t="str">
        <f t="shared" si="9"/>
        <v/>
      </c>
      <c r="M126" s="4" t="b" cm="1">
        <f t="array" ref="M126">IF(H126="",FALSE,SUMPRODUCT(--(H$1:H125=H126))&gt;0)</f>
        <v>0</v>
      </c>
    </row>
    <row r="127" spans="1:13" x14ac:dyDescent="0.25">
      <c r="A127" s="9" t="str">
        <f>IF(OR(B127="",M127,G127="— ignored"),"",MAX(A$1:A126)+1)</f>
        <v/>
      </c>
      <c r="B127" s="10"/>
      <c r="C127" s="11" t="str">
        <f>IF(I127="","",ROUND((I127+0.5*MAX(0,CEILING(ROUND((MAX(C$1:C126)-1/48-I127)/0.5,6),1)))*1440,0)/1440)</f>
        <v/>
      </c>
      <c r="D127" s="9" t="str" cm="1">
        <f t="array" ref="D127">IF(H127="","",IFERROR(INDEX(Log!$C$19:$G$19,VALUE(MID(H127,FIND("#",H127)+1,1))),""))</f>
        <v/>
      </c>
      <c r="E127" s="9" t="str" cm="1">
        <f t="array" ref="E127">IF(OR(H127="",M127),"",IFERROR(_xlfn.LET(_xlpm.t,SUBSTITUTE(UPPER(H127),"م","M"),_xlpm.u,SUBSTITUTE(_xlpm.t,"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27" s="12"/>
      <c r="G127" s="13" t="str">
        <f>IF(B127="","",IF(M127,"⚠ Duplicate (not counted)",IF(AND(I127="",D127="",E127=""),"— ignored",IF(C127="","⚠ Time",IF(D127="","⚠ Plant",IF(E127="","⚠ Quantity",IF(AND(ISNUMBER(L127),COUNTIF(L$1:L126,L127)&gt;0),"⚠ Same serial "&amp;L127,IF(AND(ISNUMBER(L127),L127&gt;MIN($L$2:$L$1001),COUNTIF($L$2:$L$1001,L127-1)=0,COUNTIF($L$2:$L$1001,L127-2)&lt;2),"⚠ Missing serial "&amp;(L127-1),IF(AND(MAX(K$1:K126)&gt;0,N(K127)-MAX(K$1:K126)&gt;180),"⚠ Gap &gt; 3h",IF(C127-I127&gt;=0.99,"next day",IF(C127-I127&gt;0.4,"12h → 24h","")))))))))))</f>
        <v/>
      </c>
      <c r="H127" s="4" t="str">
        <f t="shared" si="5"/>
        <v/>
      </c>
      <c r="I127" s="5" t="str">
        <f t="shared" si="6"/>
        <v/>
      </c>
      <c r="J127" s="6">
        <f t="shared" si="7"/>
        <v>0</v>
      </c>
      <c r="K127" s="4" t="str">
        <f t="shared" si="8"/>
        <v/>
      </c>
      <c r="L127" s="4" t="str">
        <f t="shared" si="9"/>
        <v/>
      </c>
      <c r="M127" s="4" t="b" cm="1">
        <f t="array" ref="M127">IF(H127="",FALSE,SUMPRODUCT(--(H$1:H126=H127))&gt;0)</f>
        <v>0</v>
      </c>
    </row>
    <row r="128" spans="1:13" x14ac:dyDescent="0.25">
      <c r="A128" s="9" t="str">
        <f>IF(OR(B128="",M128,G128="— ignored"),"",MAX(A$1:A127)+1)</f>
        <v/>
      </c>
      <c r="B128" s="10"/>
      <c r="C128" s="11" t="str">
        <f>IF(I128="","",ROUND((I128+0.5*MAX(0,CEILING(ROUND((MAX(C$1:C127)-1/48-I128)/0.5,6),1)))*1440,0)/1440)</f>
        <v/>
      </c>
      <c r="D128" s="9" t="str" cm="1">
        <f t="array" ref="D128">IF(H128="","",IFERROR(INDEX(Log!$C$19:$G$19,VALUE(MID(H128,FIND("#",H128)+1,1))),""))</f>
        <v/>
      </c>
      <c r="E128" s="9" t="str" cm="1">
        <f t="array" ref="E128">IF(OR(H128="",M128),"",IFERROR(_xlfn.LET(_xlpm.t,SUBSTITUTE(UPPER(H128),"م","M"),_xlpm.u,SUBSTITUTE(_xlpm.t,"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28" s="12"/>
      <c r="G128" s="13" t="str">
        <f>IF(B128="","",IF(M128,"⚠ Duplicate (not counted)",IF(AND(I128="",D128="",E128=""),"— ignored",IF(C128="","⚠ Time",IF(D128="","⚠ Plant",IF(E128="","⚠ Quantity",IF(AND(ISNUMBER(L128),COUNTIF(L$1:L127,L128)&gt;0),"⚠ Same serial "&amp;L128,IF(AND(ISNUMBER(L128),L128&gt;MIN($L$2:$L$1001),COUNTIF($L$2:$L$1001,L128-1)=0,COUNTIF($L$2:$L$1001,L128-2)&lt;2),"⚠ Missing serial "&amp;(L128-1),IF(AND(MAX(K$1:K127)&gt;0,N(K128)-MAX(K$1:K127)&gt;180),"⚠ Gap &gt; 3h",IF(C128-I128&gt;=0.99,"next day",IF(C128-I128&gt;0.4,"12h → 24h","")))))))))))</f>
        <v/>
      </c>
      <c r="H128" s="4" t="str">
        <f t="shared" si="5"/>
        <v/>
      </c>
      <c r="I128" s="5" t="str">
        <f t="shared" si="6"/>
        <v/>
      </c>
      <c r="J128" s="6">
        <f t="shared" si="7"/>
        <v>0</v>
      </c>
      <c r="K128" s="4" t="str">
        <f t="shared" si="8"/>
        <v/>
      </c>
      <c r="L128" s="4" t="str">
        <f t="shared" si="9"/>
        <v/>
      </c>
      <c r="M128" s="4" t="b" cm="1">
        <f t="array" ref="M128">IF(H128="",FALSE,SUMPRODUCT(--(H$1:H127=H128))&gt;0)</f>
        <v>0</v>
      </c>
    </row>
    <row r="129" spans="1:13" x14ac:dyDescent="0.25">
      <c r="A129" s="9" t="str">
        <f>IF(OR(B129="",M129,G129="— ignored"),"",MAX(A$1:A128)+1)</f>
        <v/>
      </c>
      <c r="B129" s="10"/>
      <c r="C129" s="11" t="str">
        <f>IF(I129="","",ROUND((I129+0.5*MAX(0,CEILING(ROUND((MAX(C$1:C128)-1/48-I129)/0.5,6),1)))*1440,0)/1440)</f>
        <v/>
      </c>
      <c r="D129" s="9" t="str" cm="1">
        <f t="array" ref="D129">IF(H129="","",IFERROR(INDEX(Log!$C$19:$G$19,VALUE(MID(H129,FIND("#",H129)+1,1))),""))</f>
        <v/>
      </c>
      <c r="E129" s="9" t="str" cm="1">
        <f t="array" ref="E129">IF(OR(H129="",M129),"",IFERROR(_xlfn.LET(_xlpm.t,SUBSTITUTE(UPPER(H129),"م","M"),_xlpm.u,SUBSTITUTE(_xlpm.t,"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29" s="12"/>
      <c r="G129" s="13" t="str">
        <f>IF(B129="","",IF(M129,"⚠ Duplicate (not counted)",IF(AND(I129="",D129="",E129=""),"— ignored",IF(C129="","⚠ Time",IF(D129="","⚠ Plant",IF(E129="","⚠ Quantity",IF(AND(ISNUMBER(L129),COUNTIF(L$1:L128,L129)&gt;0),"⚠ Same serial "&amp;L129,IF(AND(ISNUMBER(L129),L129&gt;MIN($L$2:$L$1001),COUNTIF($L$2:$L$1001,L129-1)=0,COUNTIF($L$2:$L$1001,L129-2)&lt;2),"⚠ Missing serial "&amp;(L129-1),IF(AND(MAX(K$1:K128)&gt;0,N(K129)-MAX(K$1:K128)&gt;180),"⚠ Gap &gt; 3h",IF(C129-I129&gt;=0.99,"next day",IF(C129-I129&gt;0.4,"12h → 24h","")))))))))))</f>
        <v/>
      </c>
      <c r="H129" s="4" t="str">
        <f t="shared" si="5"/>
        <v/>
      </c>
      <c r="I129" s="5" t="str">
        <f t="shared" si="6"/>
        <v/>
      </c>
      <c r="J129" s="6">
        <f t="shared" si="7"/>
        <v>0</v>
      </c>
      <c r="K129" s="4" t="str">
        <f t="shared" si="8"/>
        <v/>
      </c>
      <c r="L129" s="4" t="str">
        <f t="shared" si="9"/>
        <v/>
      </c>
      <c r="M129" s="4" t="b" cm="1">
        <f t="array" ref="M129">IF(H129="",FALSE,SUMPRODUCT(--(H$1:H128=H129))&gt;0)</f>
        <v>0</v>
      </c>
    </row>
    <row r="130" spans="1:13" x14ac:dyDescent="0.25">
      <c r="A130" s="9" t="str">
        <f>IF(OR(B130="",M130,G130="— ignored"),"",MAX(A$1:A129)+1)</f>
        <v/>
      </c>
      <c r="B130" s="10"/>
      <c r="C130" s="11" t="str">
        <f>IF(I130="","",ROUND((I130+0.5*MAX(0,CEILING(ROUND((MAX(C$1:C129)-1/48-I130)/0.5,6),1)))*1440,0)/1440)</f>
        <v/>
      </c>
      <c r="D130" s="9" t="str" cm="1">
        <f t="array" ref="D130">IF(H130="","",IFERROR(INDEX(Log!$C$19:$G$19,VALUE(MID(H130,FIND("#",H130)+1,1))),""))</f>
        <v/>
      </c>
      <c r="E130" s="9" t="str" cm="1">
        <f t="array" ref="E130">IF(OR(H130="",M130),"",IFERROR(_xlfn.LET(_xlpm.t,SUBSTITUTE(UPPER(H130),"م","M"),_xlpm.u,SUBSTITUTE(_xlpm.t,"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30" s="12"/>
      <c r="G130" s="13" t="str">
        <f>IF(B130="","",IF(M130,"⚠ Duplicate (not counted)",IF(AND(I130="",D130="",E130=""),"— ignored",IF(C130="","⚠ Time",IF(D130="","⚠ Plant",IF(E130="","⚠ Quantity",IF(AND(ISNUMBER(L130),COUNTIF(L$1:L129,L130)&gt;0),"⚠ Same serial "&amp;L130,IF(AND(ISNUMBER(L130),L130&gt;MIN($L$2:$L$1001),COUNTIF($L$2:$L$1001,L130-1)=0,COUNTIF($L$2:$L$1001,L130-2)&lt;2),"⚠ Missing serial "&amp;(L130-1),IF(AND(MAX(K$1:K129)&gt;0,N(K130)-MAX(K$1:K129)&gt;180),"⚠ Gap &gt; 3h",IF(C130-I130&gt;=0.99,"next day",IF(C130-I130&gt;0.4,"12h → 24h","")))))))))))</f>
        <v/>
      </c>
      <c r="H130" s="4" t="str">
        <f t="shared" ref="H130:H193" si="10">IF(B130="","",_xlfn.LET(_xlpm.t,TRIM(B130),IF(LEFT(_xlpm.t,1)="[",IFERROR(TRIM(MID(_xlpm.t,FIND(": ",_xlpm.t,FIND("]",_xlpm.t))+2,500)),_xlpm.t),_xlpm.t)))</f>
        <v/>
      </c>
      <c r="I130" s="5" t="str">
        <f t="shared" ref="I130:I193" si="11">IF(H130="","",IFERROR(TIMEVALUE(TRIM(SUBSTITUTE(SUBSTITUTE(MID(H130,SEARCH(":",H130)-2,5),".",""),"*",""))),""))</f>
        <v/>
      </c>
      <c r="J130" s="6">
        <f t="shared" ref="J130:J193" si="12">IF(OR(B130="",F130="",M130),0,IF(ISNUMBER(F130),F130,N(E130)))</f>
        <v>0</v>
      </c>
      <c r="K130" s="4" t="str">
        <f t="shared" ref="K130:K193" si="13">IF(OR(C130="",M130),"",ROUND(C130*1440,0))</f>
        <v/>
      </c>
      <c r="L130" s="4" t="str">
        <f t="shared" ref="L130:L193" si="14">IF(OR(H130="",AND(I130="",D130="")),"",IFERROR(_xlfn.LET(_xlpm.t,TRIM(SUBSTITUTE(SUBSTITUTE(H130,"*",""),"_","")),VALUE(SUBSTITUTE(LEFT(_xlpm.t,FIND(" ",_xlpm.t&amp;" ")-1),".",""))),""))</f>
        <v/>
      </c>
      <c r="M130" s="4" t="b" cm="1">
        <f t="array" ref="M130">IF(H130="",FALSE,SUMPRODUCT(--(H$1:H129=H130))&gt;0)</f>
        <v>0</v>
      </c>
    </row>
    <row r="131" spans="1:13" x14ac:dyDescent="0.25">
      <c r="A131" s="9" t="str">
        <f>IF(OR(B131="",M131,G131="— ignored"),"",MAX(A$1:A130)+1)</f>
        <v/>
      </c>
      <c r="B131" s="10"/>
      <c r="C131" s="11" t="str">
        <f>IF(I131="","",ROUND((I131+0.5*MAX(0,CEILING(ROUND((MAX(C$1:C130)-1/48-I131)/0.5,6),1)))*1440,0)/1440)</f>
        <v/>
      </c>
      <c r="D131" s="9" t="str" cm="1">
        <f t="array" ref="D131">IF(H131="","",IFERROR(INDEX(Log!$C$19:$G$19,VALUE(MID(H131,FIND("#",H131)+1,1))),""))</f>
        <v/>
      </c>
      <c r="E131" s="9" t="str" cm="1">
        <f t="array" ref="E131">IF(OR(H131="",M131),"",IFERROR(_xlfn.LET(_xlpm.t,SUBSTITUTE(UPPER(H131),"م","M"),_xlpm.u,SUBSTITUTE(_xlpm.t,"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31" s="12"/>
      <c r="G131" s="13" t="str">
        <f>IF(B131="","",IF(M131,"⚠ Duplicate (not counted)",IF(AND(I131="",D131="",E131=""),"— ignored",IF(C131="","⚠ Time",IF(D131="","⚠ Plant",IF(E131="","⚠ Quantity",IF(AND(ISNUMBER(L131),COUNTIF(L$1:L130,L131)&gt;0),"⚠ Same serial "&amp;L131,IF(AND(ISNUMBER(L131),L131&gt;MIN($L$2:$L$1001),COUNTIF($L$2:$L$1001,L131-1)=0,COUNTIF($L$2:$L$1001,L131-2)&lt;2),"⚠ Missing serial "&amp;(L131-1),IF(AND(MAX(K$1:K130)&gt;0,N(K131)-MAX(K$1:K130)&gt;180),"⚠ Gap &gt; 3h",IF(C131-I131&gt;=0.99,"next day",IF(C131-I131&gt;0.4,"12h → 24h","")))))))))))</f>
        <v/>
      </c>
      <c r="H131" s="4" t="str">
        <f t="shared" si="10"/>
        <v/>
      </c>
      <c r="I131" s="5" t="str">
        <f t="shared" si="11"/>
        <v/>
      </c>
      <c r="J131" s="6">
        <f t="shared" si="12"/>
        <v>0</v>
      </c>
      <c r="K131" s="4" t="str">
        <f t="shared" si="13"/>
        <v/>
      </c>
      <c r="L131" s="4" t="str">
        <f t="shared" si="14"/>
        <v/>
      </c>
      <c r="M131" s="4" t="b" cm="1">
        <f t="array" ref="M131">IF(H131="",FALSE,SUMPRODUCT(--(H$1:H130=H131))&gt;0)</f>
        <v>0</v>
      </c>
    </row>
    <row r="132" spans="1:13" x14ac:dyDescent="0.25">
      <c r="A132" s="9" t="str">
        <f>IF(OR(B132="",M132,G132="— ignored"),"",MAX(A$1:A131)+1)</f>
        <v/>
      </c>
      <c r="B132" s="10"/>
      <c r="C132" s="11" t="str">
        <f>IF(I132="","",ROUND((I132+0.5*MAX(0,CEILING(ROUND((MAX(C$1:C131)-1/48-I132)/0.5,6),1)))*1440,0)/1440)</f>
        <v/>
      </c>
      <c r="D132" s="9" t="str" cm="1">
        <f t="array" ref="D132">IF(H132="","",IFERROR(INDEX(Log!$C$19:$G$19,VALUE(MID(H132,FIND("#",H132)+1,1))),""))</f>
        <v/>
      </c>
      <c r="E132" s="9" t="str" cm="1">
        <f t="array" ref="E132">IF(OR(H132="",M132),"",IFERROR(_xlfn.LET(_xlpm.t,SUBSTITUTE(UPPER(H132),"م","M"),_xlpm.u,SUBSTITUTE(_xlpm.t,"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32" s="12"/>
      <c r="G132" s="13" t="str">
        <f>IF(B132="","",IF(M132,"⚠ Duplicate (not counted)",IF(AND(I132="",D132="",E132=""),"— ignored",IF(C132="","⚠ Time",IF(D132="","⚠ Plant",IF(E132="","⚠ Quantity",IF(AND(ISNUMBER(L132),COUNTIF(L$1:L131,L132)&gt;0),"⚠ Same serial "&amp;L132,IF(AND(ISNUMBER(L132),L132&gt;MIN($L$2:$L$1001),COUNTIF($L$2:$L$1001,L132-1)=0,COUNTIF($L$2:$L$1001,L132-2)&lt;2),"⚠ Missing serial "&amp;(L132-1),IF(AND(MAX(K$1:K131)&gt;0,N(K132)-MAX(K$1:K131)&gt;180),"⚠ Gap &gt; 3h",IF(C132-I132&gt;=0.99,"next day",IF(C132-I132&gt;0.4,"12h → 24h","")))))))))))</f>
        <v/>
      </c>
      <c r="H132" s="4" t="str">
        <f t="shared" si="10"/>
        <v/>
      </c>
      <c r="I132" s="5" t="str">
        <f t="shared" si="11"/>
        <v/>
      </c>
      <c r="J132" s="6">
        <f t="shared" si="12"/>
        <v>0</v>
      </c>
      <c r="K132" s="4" t="str">
        <f t="shared" si="13"/>
        <v/>
      </c>
      <c r="L132" s="4" t="str">
        <f t="shared" si="14"/>
        <v/>
      </c>
      <c r="M132" s="4" t="b" cm="1">
        <f t="array" ref="M132">IF(H132="",FALSE,SUMPRODUCT(--(H$1:H131=H132))&gt;0)</f>
        <v>0</v>
      </c>
    </row>
    <row r="133" spans="1:13" x14ac:dyDescent="0.25">
      <c r="A133" s="9" t="str">
        <f>IF(OR(B133="",M133,G133="— ignored"),"",MAX(A$1:A132)+1)</f>
        <v/>
      </c>
      <c r="B133" s="10"/>
      <c r="C133" s="11" t="str">
        <f>IF(I133="","",ROUND((I133+0.5*MAX(0,CEILING(ROUND((MAX(C$1:C132)-1/48-I133)/0.5,6),1)))*1440,0)/1440)</f>
        <v/>
      </c>
      <c r="D133" s="9" t="str" cm="1">
        <f t="array" ref="D133">IF(H133="","",IFERROR(INDEX(Log!$C$19:$G$19,VALUE(MID(H133,FIND("#",H133)+1,1))),""))</f>
        <v/>
      </c>
      <c r="E133" s="9" t="str" cm="1">
        <f t="array" ref="E133">IF(OR(H133="",M133),"",IFERROR(_xlfn.LET(_xlpm.t,SUBSTITUTE(UPPER(H133),"م","M"),_xlpm.u,SUBSTITUTE(_xlpm.t,"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33" s="12"/>
      <c r="G133" s="13" t="str">
        <f>IF(B133="","",IF(M133,"⚠ Duplicate (not counted)",IF(AND(I133="",D133="",E133=""),"— ignored",IF(C133="","⚠ Time",IF(D133="","⚠ Plant",IF(E133="","⚠ Quantity",IF(AND(ISNUMBER(L133),COUNTIF(L$1:L132,L133)&gt;0),"⚠ Same serial "&amp;L133,IF(AND(ISNUMBER(L133),L133&gt;MIN($L$2:$L$1001),COUNTIF($L$2:$L$1001,L133-1)=0,COUNTIF($L$2:$L$1001,L133-2)&lt;2),"⚠ Missing serial "&amp;(L133-1),IF(AND(MAX(K$1:K132)&gt;0,N(K133)-MAX(K$1:K132)&gt;180),"⚠ Gap &gt; 3h",IF(C133-I133&gt;=0.99,"next day",IF(C133-I133&gt;0.4,"12h → 24h","")))))))))))</f>
        <v/>
      </c>
      <c r="H133" s="4" t="str">
        <f t="shared" si="10"/>
        <v/>
      </c>
      <c r="I133" s="5" t="str">
        <f t="shared" si="11"/>
        <v/>
      </c>
      <c r="J133" s="6">
        <f t="shared" si="12"/>
        <v>0</v>
      </c>
      <c r="K133" s="4" t="str">
        <f t="shared" si="13"/>
        <v/>
      </c>
      <c r="L133" s="4" t="str">
        <f t="shared" si="14"/>
        <v/>
      </c>
      <c r="M133" s="4" t="b" cm="1">
        <f t="array" ref="M133">IF(H133="",FALSE,SUMPRODUCT(--(H$1:H132=H133))&gt;0)</f>
        <v>0</v>
      </c>
    </row>
    <row r="134" spans="1:13" x14ac:dyDescent="0.25">
      <c r="A134" s="9" t="str">
        <f>IF(OR(B134="",M134,G134="— ignored"),"",MAX(A$1:A133)+1)</f>
        <v/>
      </c>
      <c r="B134" s="10"/>
      <c r="C134" s="11" t="str">
        <f>IF(I134="","",ROUND((I134+0.5*MAX(0,CEILING(ROUND((MAX(C$1:C133)-1/48-I134)/0.5,6),1)))*1440,0)/1440)</f>
        <v/>
      </c>
      <c r="D134" s="9" t="str" cm="1">
        <f t="array" ref="D134">IF(H134="","",IFERROR(INDEX(Log!$C$19:$G$19,VALUE(MID(H134,FIND("#",H134)+1,1))),""))</f>
        <v/>
      </c>
      <c r="E134" s="9" t="str" cm="1">
        <f t="array" ref="E134">IF(OR(H134="",M134),"",IFERROR(_xlfn.LET(_xlpm.t,SUBSTITUTE(UPPER(H134),"م","M"),_xlpm.u,SUBSTITUTE(_xlpm.t,"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34" s="12"/>
      <c r="G134" s="13" t="str">
        <f>IF(B134="","",IF(M134,"⚠ Duplicate (not counted)",IF(AND(I134="",D134="",E134=""),"— ignored",IF(C134="","⚠ Time",IF(D134="","⚠ Plant",IF(E134="","⚠ Quantity",IF(AND(ISNUMBER(L134),COUNTIF(L$1:L133,L134)&gt;0),"⚠ Same serial "&amp;L134,IF(AND(ISNUMBER(L134),L134&gt;MIN($L$2:$L$1001),COUNTIF($L$2:$L$1001,L134-1)=0,COUNTIF($L$2:$L$1001,L134-2)&lt;2),"⚠ Missing serial "&amp;(L134-1),IF(AND(MAX(K$1:K133)&gt;0,N(K134)-MAX(K$1:K133)&gt;180),"⚠ Gap &gt; 3h",IF(C134-I134&gt;=0.99,"next day",IF(C134-I134&gt;0.4,"12h → 24h","")))))))))))</f>
        <v/>
      </c>
      <c r="H134" s="4" t="str">
        <f t="shared" si="10"/>
        <v/>
      </c>
      <c r="I134" s="5" t="str">
        <f t="shared" si="11"/>
        <v/>
      </c>
      <c r="J134" s="6">
        <f t="shared" si="12"/>
        <v>0</v>
      </c>
      <c r="K134" s="4" t="str">
        <f t="shared" si="13"/>
        <v/>
      </c>
      <c r="L134" s="4" t="str">
        <f t="shared" si="14"/>
        <v/>
      </c>
      <c r="M134" s="4" t="b" cm="1">
        <f t="array" ref="M134">IF(H134="",FALSE,SUMPRODUCT(--(H$1:H133=H134))&gt;0)</f>
        <v>0</v>
      </c>
    </row>
    <row r="135" spans="1:13" x14ac:dyDescent="0.25">
      <c r="A135" s="9" t="str">
        <f>IF(OR(B135="",M135,G135="— ignored"),"",MAX(A$1:A134)+1)</f>
        <v/>
      </c>
      <c r="B135" s="10"/>
      <c r="C135" s="11" t="str">
        <f>IF(I135="","",ROUND((I135+0.5*MAX(0,CEILING(ROUND((MAX(C$1:C134)-1/48-I135)/0.5,6),1)))*1440,0)/1440)</f>
        <v/>
      </c>
      <c r="D135" s="9" t="str" cm="1">
        <f t="array" ref="D135">IF(H135="","",IFERROR(INDEX(Log!$C$19:$G$19,VALUE(MID(H135,FIND("#",H135)+1,1))),""))</f>
        <v/>
      </c>
      <c r="E135" s="9" t="str" cm="1">
        <f t="array" ref="E135">IF(OR(H135="",M135),"",IFERROR(_xlfn.LET(_xlpm.t,SUBSTITUTE(UPPER(H135),"م","M"),_xlpm.u,SUBSTITUTE(_xlpm.t,"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35" s="12"/>
      <c r="G135" s="13" t="str">
        <f>IF(B135="","",IF(M135,"⚠ Duplicate (not counted)",IF(AND(I135="",D135="",E135=""),"— ignored",IF(C135="","⚠ Time",IF(D135="","⚠ Plant",IF(E135="","⚠ Quantity",IF(AND(ISNUMBER(L135),COUNTIF(L$1:L134,L135)&gt;0),"⚠ Same serial "&amp;L135,IF(AND(ISNUMBER(L135),L135&gt;MIN($L$2:$L$1001),COUNTIF($L$2:$L$1001,L135-1)=0,COUNTIF($L$2:$L$1001,L135-2)&lt;2),"⚠ Missing serial "&amp;(L135-1),IF(AND(MAX(K$1:K134)&gt;0,N(K135)-MAX(K$1:K134)&gt;180),"⚠ Gap &gt; 3h",IF(C135-I135&gt;=0.99,"next day",IF(C135-I135&gt;0.4,"12h → 24h","")))))))))))</f>
        <v/>
      </c>
      <c r="H135" s="4" t="str">
        <f t="shared" si="10"/>
        <v/>
      </c>
      <c r="I135" s="5" t="str">
        <f t="shared" si="11"/>
        <v/>
      </c>
      <c r="J135" s="6">
        <f t="shared" si="12"/>
        <v>0</v>
      </c>
      <c r="K135" s="4" t="str">
        <f t="shared" si="13"/>
        <v/>
      </c>
      <c r="L135" s="4" t="str">
        <f t="shared" si="14"/>
        <v/>
      </c>
      <c r="M135" s="4" t="b" cm="1">
        <f t="array" ref="M135">IF(H135="",FALSE,SUMPRODUCT(--(H$1:H134=H135))&gt;0)</f>
        <v>0</v>
      </c>
    </row>
    <row r="136" spans="1:13" x14ac:dyDescent="0.25">
      <c r="A136" s="9" t="str">
        <f>IF(OR(B136="",M136,G136="— ignored"),"",MAX(A$1:A135)+1)</f>
        <v/>
      </c>
      <c r="B136" s="10"/>
      <c r="C136" s="11" t="str">
        <f>IF(I136="","",ROUND((I136+0.5*MAX(0,CEILING(ROUND((MAX(C$1:C135)-1/48-I136)/0.5,6),1)))*1440,0)/1440)</f>
        <v/>
      </c>
      <c r="D136" s="9" t="str" cm="1">
        <f t="array" ref="D136">IF(H136="","",IFERROR(INDEX(Log!$C$19:$G$19,VALUE(MID(H136,FIND("#",H136)+1,1))),""))</f>
        <v/>
      </c>
      <c r="E136" s="9" t="str" cm="1">
        <f t="array" ref="E136">IF(OR(H136="",M136),"",IFERROR(_xlfn.LET(_xlpm.t,SUBSTITUTE(UPPER(H136),"م","M"),_xlpm.u,SUBSTITUTE(_xlpm.t,"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36" s="12"/>
      <c r="G136" s="13" t="str">
        <f>IF(B136="","",IF(M136,"⚠ Duplicate (not counted)",IF(AND(I136="",D136="",E136=""),"— ignored",IF(C136="","⚠ Time",IF(D136="","⚠ Plant",IF(E136="","⚠ Quantity",IF(AND(ISNUMBER(L136),COUNTIF(L$1:L135,L136)&gt;0),"⚠ Same serial "&amp;L136,IF(AND(ISNUMBER(L136),L136&gt;MIN($L$2:$L$1001),COUNTIF($L$2:$L$1001,L136-1)=0,COUNTIF($L$2:$L$1001,L136-2)&lt;2),"⚠ Missing serial "&amp;(L136-1),IF(AND(MAX(K$1:K135)&gt;0,N(K136)-MAX(K$1:K135)&gt;180),"⚠ Gap &gt; 3h",IF(C136-I136&gt;=0.99,"next day",IF(C136-I136&gt;0.4,"12h → 24h","")))))))))))</f>
        <v/>
      </c>
      <c r="H136" s="4" t="str">
        <f t="shared" si="10"/>
        <v/>
      </c>
      <c r="I136" s="5" t="str">
        <f t="shared" si="11"/>
        <v/>
      </c>
      <c r="J136" s="6">
        <f t="shared" si="12"/>
        <v>0</v>
      </c>
      <c r="K136" s="4" t="str">
        <f t="shared" si="13"/>
        <v/>
      </c>
      <c r="L136" s="4" t="str">
        <f t="shared" si="14"/>
        <v/>
      </c>
      <c r="M136" s="4" t="b" cm="1">
        <f t="array" ref="M136">IF(H136="",FALSE,SUMPRODUCT(--(H$1:H135=H136))&gt;0)</f>
        <v>0</v>
      </c>
    </row>
    <row r="137" spans="1:13" x14ac:dyDescent="0.25">
      <c r="A137" s="9" t="str">
        <f>IF(OR(B137="",M137,G137="— ignored"),"",MAX(A$1:A136)+1)</f>
        <v/>
      </c>
      <c r="B137" s="10"/>
      <c r="C137" s="11" t="str">
        <f>IF(I137="","",ROUND((I137+0.5*MAX(0,CEILING(ROUND((MAX(C$1:C136)-1/48-I137)/0.5,6),1)))*1440,0)/1440)</f>
        <v/>
      </c>
      <c r="D137" s="9" t="str" cm="1">
        <f t="array" ref="D137">IF(H137="","",IFERROR(INDEX(Log!$C$19:$G$19,VALUE(MID(H137,FIND("#",H137)+1,1))),""))</f>
        <v/>
      </c>
      <c r="E137" s="9" t="str" cm="1">
        <f t="array" ref="E137">IF(OR(H137="",M137),"",IFERROR(_xlfn.LET(_xlpm.t,SUBSTITUTE(UPPER(H137),"م","M"),_xlpm.u,SUBSTITUTE(_xlpm.t,"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37" s="12"/>
      <c r="G137" s="13" t="str">
        <f>IF(B137="","",IF(M137,"⚠ Duplicate (not counted)",IF(AND(I137="",D137="",E137=""),"— ignored",IF(C137="","⚠ Time",IF(D137="","⚠ Plant",IF(E137="","⚠ Quantity",IF(AND(ISNUMBER(L137),COUNTIF(L$1:L136,L137)&gt;0),"⚠ Same serial "&amp;L137,IF(AND(ISNUMBER(L137),L137&gt;MIN($L$2:$L$1001),COUNTIF($L$2:$L$1001,L137-1)=0,COUNTIF($L$2:$L$1001,L137-2)&lt;2),"⚠ Missing serial "&amp;(L137-1),IF(AND(MAX(K$1:K136)&gt;0,N(K137)-MAX(K$1:K136)&gt;180),"⚠ Gap &gt; 3h",IF(C137-I137&gt;=0.99,"next day",IF(C137-I137&gt;0.4,"12h → 24h","")))))))))))</f>
        <v/>
      </c>
      <c r="H137" s="4" t="str">
        <f t="shared" si="10"/>
        <v/>
      </c>
      <c r="I137" s="5" t="str">
        <f t="shared" si="11"/>
        <v/>
      </c>
      <c r="J137" s="6">
        <f t="shared" si="12"/>
        <v>0</v>
      </c>
      <c r="K137" s="4" t="str">
        <f t="shared" si="13"/>
        <v/>
      </c>
      <c r="L137" s="4" t="str">
        <f t="shared" si="14"/>
        <v/>
      </c>
      <c r="M137" s="4" t="b" cm="1">
        <f t="array" ref="M137">IF(H137="",FALSE,SUMPRODUCT(--(H$1:H136=H137))&gt;0)</f>
        <v>0</v>
      </c>
    </row>
    <row r="138" spans="1:13" x14ac:dyDescent="0.25">
      <c r="A138" s="9" t="str">
        <f>IF(OR(B138="",M138,G138="— ignored"),"",MAX(A$1:A137)+1)</f>
        <v/>
      </c>
      <c r="B138" s="10"/>
      <c r="C138" s="11" t="str">
        <f>IF(I138="","",ROUND((I138+0.5*MAX(0,CEILING(ROUND((MAX(C$1:C137)-1/48-I138)/0.5,6),1)))*1440,0)/1440)</f>
        <v/>
      </c>
      <c r="D138" s="9" t="str" cm="1">
        <f t="array" ref="D138">IF(H138="","",IFERROR(INDEX(Log!$C$19:$G$19,VALUE(MID(H138,FIND("#",H138)+1,1))),""))</f>
        <v/>
      </c>
      <c r="E138" s="9" t="str" cm="1">
        <f t="array" ref="E138">IF(OR(H138="",M138),"",IFERROR(_xlfn.LET(_xlpm.t,SUBSTITUTE(UPPER(H138),"م","M"),_xlpm.u,SUBSTITUTE(_xlpm.t,"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38" s="12"/>
      <c r="G138" s="13" t="str">
        <f>IF(B138="","",IF(M138,"⚠ Duplicate (not counted)",IF(AND(I138="",D138="",E138=""),"— ignored",IF(C138="","⚠ Time",IF(D138="","⚠ Plant",IF(E138="","⚠ Quantity",IF(AND(ISNUMBER(L138),COUNTIF(L$1:L137,L138)&gt;0),"⚠ Same serial "&amp;L138,IF(AND(ISNUMBER(L138),L138&gt;MIN($L$2:$L$1001),COUNTIF($L$2:$L$1001,L138-1)=0,COUNTIF($L$2:$L$1001,L138-2)&lt;2),"⚠ Missing serial "&amp;(L138-1),IF(AND(MAX(K$1:K137)&gt;0,N(K138)-MAX(K$1:K137)&gt;180),"⚠ Gap &gt; 3h",IF(C138-I138&gt;=0.99,"next day",IF(C138-I138&gt;0.4,"12h → 24h","")))))))))))</f>
        <v/>
      </c>
      <c r="H138" s="4" t="str">
        <f t="shared" si="10"/>
        <v/>
      </c>
      <c r="I138" s="5" t="str">
        <f t="shared" si="11"/>
        <v/>
      </c>
      <c r="J138" s="6">
        <f t="shared" si="12"/>
        <v>0</v>
      </c>
      <c r="K138" s="4" t="str">
        <f t="shared" si="13"/>
        <v/>
      </c>
      <c r="L138" s="4" t="str">
        <f t="shared" si="14"/>
        <v/>
      </c>
      <c r="M138" s="4" t="b" cm="1">
        <f t="array" ref="M138">IF(H138="",FALSE,SUMPRODUCT(--(H$1:H137=H138))&gt;0)</f>
        <v>0</v>
      </c>
    </row>
    <row r="139" spans="1:13" x14ac:dyDescent="0.25">
      <c r="A139" s="9" t="str">
        <f>IF(OR(B139="",M139,G139="— ignored"),"",MAX(A$1:A138)+1)</f>
        <v/>
      </c>
      <c r="B139" s="10"/>
      <c r="C139" s="11" t="str">
        <f>IF(I139="","",ROUND((I139+0.5*MAX(0,CEILING(ROUND((MAX(C$1:C138)-1/48-I139)/0.5,6),1)))*1440,0)/1440)</f>
        <v/>
      </c>
      <c r="D139" s="9" t="str" cm="1">
        <f t="array" ref="D139">IF(H139="","",IFERROR(INDEX(Log!$C$19:$G$19,VALUE(MID(H139,FIND("#",H139)+1,1))),""))</f>
        <v/>
      </c>
      <c r="E139" s="9" t="str" cm="1">
        <f t="array" ref="E139">IF(OR(H139="",M139),"",IFERROR(_xlfn.LET(_xlpm.t,SUBSTITUTE(UPPER(H139),"م","M"),_xlpm.u,SUBSTITUTE(_xlpm.t,"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39" s="12"/>
      <c r="G139" s="13" t="str">
        <f>IF(B139="","",IF(M139,"⚠ Duplicate (not counted)",IF(AND(I139="",D139="",E139=""),"— ignored",IF(C139="","⚠ Time",IF(D139="","⚠ Plant",IF(E139="","⚠ Quantity",IF(AND(ISNUMBER(L139),COUNTIF(L$1:L138,L139)&gt;0),"⚠ Same serial "&amp;L139,IF(AND(ISNUMBER(L139),L139&gt;MIN($L$2:$L$1001),COUNTIF($L$2:$L$1001,L139-1)=0,COUNTIF($L$2:$L$1001,L139-2)&lt;2),"⚠ Missing serial "&amp;(L139-1),IF(AND(MAX(K$1:K138)&gt;0,N(K139)-MAX(K$1:K138)&gt;180),"⚠ Gap &gt; 3h",IF(C139-I139&gt;=0.99,"next day",IF(C139-I139&gt;0.4,"12h → 24h","")))))))))))</f>
        <v/>
      </c>
      <c r="H139" s="4" t="str">
        <f t="shared" si="10"/>
        <v/>
      </c>
      <c r="I139" s="5" t="str">
        <f t="shared" si="11"/>
        <v/>
      </c>
      <c r="J139" s="6">
        <f t="shared" si="12"/>
        <v>0</v>
      </c>
      <c r="K139" s="4" t="str">
        <f t="shared" si="13"/>
        <v/>
      </c>
      <c r="L139" s="4" t="str">
        <f t="shared" si="14"/>
        <v/>
      </c>
      <c r="M139" s="4" t="b" cm="1">
        <f t="array" ref="M139">IF(H139="",FALSE,SUMPRODUCT(--(H$1:H138=H139))&gt;0)</f>
        <v>0</v>
      </c>
    </row>
    <row r="140" spans="1:13" x14ac:dyDescent="0.25">
      <c r="A140" s="9" t="str">
        <f>IF(OR(B140="",M140,G140="— ignored"),"",MAX(A$1:A139)+1)</f>
        <v/>
      </c>
      <c r="B140" s="10"/>
      <c r="C140" s="11" t="str">
        <f>IF(I140="","",ROUND((I140+0.5*MAX(0,CEILING(ROUND((MAX(C$1:C139)-1/48-I140)/0.5,6),1)))*1440,0)/1440)</f>
        <v/>
      </c>
      <c r="D140" s="9" t="str" cm="1">
        <f t="array" ref="D140">IF(H140="","",IFERROR(INDEX(Log!$C$19:$G$19,VALUE(MID(H140,FIND("#",H140)+1,1))),""))</f>
        <v/>
      </c>
      <c r="E140" s="9" t="str" cm="1">
        <f t="array" ref="E140">IF(OR(H140="",M140),"",IFERROR(_xlfn.LET(_xlpm.t,SUBSTITUTE(UPPER(H140),"م","M"),_xlpm.u,SUBSTITUTE(_xlpm.t,"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40" s="12"/>
      <c r="G140" s="13" t="str">
        <f>IF(B140="","",IF(M140,"⚠ Duplicate (not counted)",IF(AND(I140="",D140="",E140=""),"— ignored",IF(C140="","⚠ Time",IF(D140="","⚠ Plant",IF(E140="","⚠ Quantity",IF(AND(ISNUMBER(L140),COUNTIF(L$1:L139,L140)&gt;0),"⚠ Same serial "&amp;L140,IF(AND(ISNUMBER(L140),L140&gt;MIN($L$2:$L$1001),COUNTIF($L$2:$L$1001,L140-1)=0,COUNTIF($L$2:$L$1001,L140-2)&lt;2),"⚠ Missing serial "&amp;(L140-1),IF(AND(MAX(K$1:K139)&gt;0,N(K140)-MAX(K$1:K139)&gt;180),"⚠ Gap &gt; 3h",IF(C140-I140&gt;=0.99,"next day",IF(C140-I140&gt;0.4,"12h → 24h","")))))))))))</f>
        <v/>
      </c>
      <c r="H140" s="4" t="str">
        <f t="shared" si="10"/>
        <v/>
      </c>
      <c r="I140" s="5" t="str">
        <f t="shared" si="11"/>
        <v/>
      </c>
      <c r="J140" s="6">
        <f t="shared" si="12"/>
        <v>0</v>
      </c>
      <c r="K140" s="4" t="str">
        <f t="shared" si="13"/>
        <v/>
      </c>
      <c r="L140" s="4" t="str">
        <f t="shared" si="14"/>
        <v/>
      </c>
      <c r="M140" s="4" t="b" cm="1">
        <f t="array" ref="M140">IF(H140="",FALSE,SUMPRODUCT(--(H$1:H139=H140))&gt;0)</f>
        <v>0</v>
      </c>
    </row>
    <row r="141" spans="1:13" x14ac:dyDescent="0.25">
      <c r="A141" s="9" t="str">
        <f>IF(OR(B141="",M141,G141="— ignored"),"",MAX(A$1:A140)+1)</f>
        <v/>
      </c>
      <c r="B141" s="10"/>
      <c r="C141" s="11" t="str">
        <f>IF(I141="","",ROUND((I141+0.5*MAX(0,CEILING(ROUND((MAX(C$1:C140)-1/48-I141)/0.5,6),1)))*1440,0)/1440)</f>
        <v/>
      </c>
      <c r="D141" s="9" t="str" cm="1">
        <f t="array" ref="D141">IF(H141="","",IFERROR(INDEX(Log!$C$19:$G$19,VALUE(MID(H141,FIND("#",H141)+1,1))),""))</f>
        <v/>
      </c>
      <c r="E141" s="9" t="str" cm="1">
        <f t="array" ref="E141">IF(OR(H141="",M141),"",IFERROR(_xlfn.LET(_xlpm.t,SUBSTITUTE(UPPER(H141),"م","M"),_xlpm.u,SUBSTITUTE(_xlpm.t,"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41" s="12"/>
      <c r="G141" s="13" t="str">
        <f>IF(B141="","",IF(M141,"⚠ Duplicate (not counted)",IF(AND(I141="",D141="",E141=""),"— ignored",IF(C141="","⚠ Time",IF(D141="","⚠ Plant",IF(E141="","⚠ Quantity",IF(AND(ISNUMBER(L141),COUNTIF(L$1:L140,L141)&gt;0),"⚠ Same serial "&amp;L141,IF(AND(ISNUMBER(L141),L141&gt;MIN($L$2:$L$1001),COUNTIF($L$2:$L$1001,L141-1)=0,COUNTIF($L$2:$L$1001,L141-2)&lt;2),"⚠ Missing serial "&amp;(L141-1),IF(AND(MAX(K$1:K140)&gt;0,N(K141)-MAX(K$1:K140)&gt;180),"⚠ Gap &gt; 3h",IF(C141-I141&gt;=0.99,"next day",IF(C141-I141&gt;0.4,"12h → 24h","")))))))))))</f>
        <v/>
      </c>
      <c r="H141" s="4" t="str">
        <f t="shared" si="10"/>
        <v/>
      </c>
      <c r="I141" s="5" t="str">
        <f t="shared" si="11"/>
        <v/>
      </c>
      <c r="J141" s="6">
        <f t="shared" si="12"/>
        <v>0</v>
      </c>
      <c r="K141" s="4" t="str">
        <f t="shared" si="13"/>
        <v/>
      </c>
      <c r="L141" s="4" t="str">
        <f t="shared" si="14"/>
        <v/>
      </c>
      <c r="M141" s="4" t="b" cm="1">
        <f t="array" ref="M141">IF(H141="",FALSE,SUMPRODUCT(--(H$1:H140=H141))&gt;0)</f>
        <v>0</v>
      </c>
    </row>
    <row r="142" spans="1:13" x14ac:dyDescent="0.25">
      <c r="A142" s="9" t="str">
        <f>IF(OR(B142="",M142,G142="— ignored"),"",MAX(A$1:A141)+1)</f>
        <v/>
      </c>
      <c r="B142" s="10"/>
      <c r="C142" s="11" t="str">
        <f>IF(I142="","",ROUND((I142+0.5*MAX(0,CEILING(ROUND((MAX(C$1:C141)-1/48-I142)/0.5,6),1)))*1440,0)/1440)</f>
        <v/>
      </c>
      <c r="D142" s="9" t="str" cm="1">
        <f t="array" ref="D142">IF(H142="","",IFERROR(INDEX(Log!$C$19:$G$19,VALUE(MID(H142,FIND("#",H142)+1,1))),""))</f>
        <v/>
      </c>
      <c r="E142" s="9" t="str" cm="1">
        <f t="array" ref="E142">IF(OR(H142="",M142),"",IFERROR(_xlfn.LET(_xlpm.t,SUBSTITUTE(UPPER(H142),"م","M"),_xlpm.u,SUBSTITUTE(_xlpm.t,"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42" s="12"/>
      <c r="G142" s="13" t="str">
        <f>IF(B142="","",IF(M142,"⚠ Duplicate (not counted)",IF(AND(I142="",D142="",E142=""),"— ignored",IF(C142="","⚠ Time",IF(D142="","⚠ Plant",IF(E142="","⚠ Quantity",IF(AND(ISNUMBER(L142),COUNTIF(L$1:L141,L142)&gt;0),"⚠ Same serial "&amp;L142,IF(AND(ISNUMBER(L142),L142&gt;MIN($L$2:$L$1001),COUNTIF($L$2:$L$1001,L142-1)=0,COUNTIF($L$2:$L$1001,L142-2)&lt;2),"⚠ Missing serial "&amp;(L142-1),IF(AND(MAX(K$1:K141)&gt;0,N(K142)-MAX(K$1:K141)&gt;180),"⚠ Gap &gt; 3h",IF(C142-I142&gt;=0.99,"next day",IF(C142-I142&gt;0.4,"12h → 24h","")))))))))))</f>
        <v/>
      </c>
      <c r="H142" s="4" t="str">
        <f t="shared" si="10"/>
        <v/>
      </c>
      <c r="I142" s="5" t="str">
        <f t="shared" si="11"/>
        <v/>
      </c>
      <c r="J142" s="6">
        <f t="shared" si="12"/>
        <v>0</v>
      </c>
      <c r="K142" s="4" t="str">
        <f t="shared" si="13"/>
        <v/>
      </c>
      <c r="L142" s="4" t="str">
        <f t="shared" si="14"/>
        <v/>
      </c>
      <c r="M142" s="4" t="b" cm="1">
        <f t="array" ref="M142">IF(H142="",FALSE,SUMPRODUCT(--(H$1:H141=H142))&gt;0)</f>
        <v>0</v>
      </c>
    </row>
    <row r="143" spans="1:13" x14ac:dyDescent="0.25">
      <c r="A143" s="9" t="str">
        <f>IF(OR(B143="",M143,G143="— ignored"),"",MAX(A$1:A142)+1)</f>
        <v/>
      </c>
      <c r="B143" s="10"/>
      <c r="C143" s="11" t="str">
        <f>IF(I143="","",ROUND((I143+0.5*MAX(0,CEILING(ROUND((MAX(C$1:C142)-1/48-I143)/0.5,6),1)))*1440,0)/1440)</f>
        <v/>
      </c>
      <c r="D143" s="9" t="str" cm="1">
        <f t="array" ref="D143">IF(H143="","",IFERROR(INDEX(Log!$C$19:$G$19,VALUE(MID(H143,FIND("#",H143)+1,1))),""))</f>
        <v/>
      </c>
      <c r="E143" s="9" t="str" cm="1">
        <f t="array" ref="E143">IF(OR(H143="",M143),"",IFERROR(_xlfn.LET(_xlpm.t,SUBSTITUTE(UPPER(H143),"م","M"),_xlpm.u,SUBSTITUTE(_xlpm.t,"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43" s="12"/>
      <c r="G143" s="13" t="str">
        <f>IF(B143="","",IF(M143,"⚠ Duplicate (not counted)",IF(AND(I143="",D143="",E143=""),"— ignored",IF(C143="","⚠ Time",IF(D143="","⚠ Plant",IF(E143="","⚠ Quantity",IF(AND(ISNUMBER(L143),COUNTIF(L$1:L142,L143)&gt;0),"⚠ Same serial "&amp;L143,IF(AND(ISNUMBER(L143),L143&gt;MIN($L$2:$L$1001),COUNTIF($L$2:$L$1001,L143-1)=0,COUNTIF($L$2:$L$1001,L143-2)&lt;2),"⚠ Missing serial "&amp;(L143-1),IF(AND(MAX(K$1:K142)&gt;0,N(K143)-MAX(K$1:K142)&gt;180),"⚠ Gap &gt; 3h",IF(C143-I143&gt;=0.99,"next day",IF(C143-I143&gt;0.4,"12h → 24h","")))))))))))</f>
        <v/>
      </c>
      <c r="H143" s="4" t="str">
        <f t="shared" si="10"/>
        <v/>
      </c>
      <c r="I143" s="5" t="str">
        <f t="shared" si="11"/>
        <v/>
      </c>
      <c r="J143" s="6">
        <f t="shared" si="12"/>
        <v>0</v>
      </c>
      <c r="K143" s="4" t="str">
        <f t="shared" si="13"/>
        <v/>
      </c>
      <c r="L143" s="4" t="str">
        <f t="shared" si="14"/>
        <v/>
      </c>
      <c r="M143" s="4" t="b" cm="1">
        <f t="array" ref="M143">IF(H143="",FALSE,SUMPRODUCT(--(H$1:H142=H143))&gt;0)</f>
        <v>0</v>
      </c>
    </row>
    <row r="144" spans="1:13" x14ac:dyDescent="0.25">
      <c r="A144" s="9" t="str">
        <f>IF(OR(B144="",M144,G144="— ignored"),"",MAX(A$1:A143)+1)</f>
        <v/>
      </c>
      <c r="B144" s="10"/>
      <c r="C144" s="11" t="str">
        <f>IF(I144="","",ROUND((I144+0.5*MAX(0,CEILING(ROUND((MAX(C$1:C143)-1/48-I144)/0.5,6),1)))*1440,0)/1440)</f>
        <v/>
      </c>
      <c r="D144" s="9" t="str" cm="1">
        <f t="array" ref="D144">IF(H144="","",IFERROR(INDEX(Log!$C$19:$G$19,VALUE(MID(H144,FIND("#",H144)+1,1))),""))</f>
        <v/>
      </c>
      <c r="E144" s="9" t="str" cm="1">
        <f t="array" ref="E144">IF(OR(H144="",M144),"",IFERROR(_xlfn.LET(_xlpm.t,SUBSTITUTE(UPPER(H144),"م","M"),_xlpm.u,SUBSTITUTE(_xlpm.t,"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44" s="12"/>
      <c r="G144" s="13" t="str">
        <f>IF(B144="","",IF(M144,"⚠ Duplicate (not counted)",IF(AND(I144="",D144="",E144=""),"— ignored",IF(C144="","⚠ Time",IF(D144="","⚠ Plant",IF(E144="","⚠ Quantity",IF(AND(ISNUMBER(L144),COUNTIF(L$1:L143,L144)&gt;0),"⚠ Same serial "&amp;L144,IF(AND(ISNUMBER(L144),L144&gt;MIN($L$2:$L$1001),COUNTIF($L$2:$L$1001,L144-1)=0,COUNTIF($L$2:$L$1001,L144-2)&lt;2),"⚠ Missing serial "&amp;(L144-1),IF(AND(MAX(K$1:K143)&gt;0,N(K144)-MAX(K$1:K143)&gt;180),"⚠ Gap &gt; 3h",IF(C144-I144&gt;=0.99,"next day",IF(C144-I144&gt;0.4,"12h → 24h","")))))))))))</f>
        <v/>
      </c>
      <c r="H144" s="4" t="str">
        <f t="shared" si="10"/>
        <v/>
      </c>
      <c r="I144" s="5" t="str">
        <f t="shared" si="11"/>
        <v/>
      </c>
      <c r="J144" s="6">
        <f t="shared" si="12"/>
        <v>0</v>
      </c>
      <c r="K144" s="4" t="str">
        <f t="shared" si="13"/>
        <v/>
      </c>
      <c r="L144" s="4" t="str">
        <f t="shared" si="14"/>
        <v/>
      </c>
      <c r="M144" s="4" t="b" cm="1">
        <f t="array" ref="M144">IF(H144="",FALSE,SUMPRODUCT(--(H$1:H143=H144))&gt;0)</f>
        <v>0</v>
      </c>
    </row>
    <row r="145" spans="1:13" x14ac:dyDescent="0.25">
      <c r="A145" s="9" t="str">
        <f>IF(OR(B145="",M145,G145="— ignored"),"",MAX(A$1:A144)+1)</f>
        <v/>
      </c>
      <c r="B145" s="10"/>
      <c r="C145" s="11" t="str">
        <f>IF(I145="","",ROUND((I145+0.5*MAX(0,CEILING(ROUND((MAX(C$1:C144)-1/48-I145)/0.5,6),1)))*1440,0)/1440)</f>
        <v/>
      </c>
      <c r="D145" s="9" t="str" cm="1">
        <f t="array" ref="D145">IF(H145="","",IFERROR(INDEX(Log!$C$19:$G$19,VALUE(MID(H145,FIND("#",H145)+1,1))),""))</f>
        <v/>
      </c>
      <c r="E145" s="9" t="str" cm="1">
        <f t="array" ref="E145">IF(OR(H145="",M145),"",IFERROR(_xlfn.LET(_xlpm.t,SUBSTITUTE(UPPER(H145),"م","M"),_xlpm.u,SUBSTITUTE(_xlpm.t,"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45" s="12"/>
      <c r="G145" s="13" t="str">
        <f>IF(B145="","",IF(M145,"⚠ Duplicate (not counted)",IF(AND(I145="",D145="",E145=""),"— ignored",IF(C145="","⚠ Time",IF(D145="","⚠ Plant",IF(E145="","⚠ Quantity",IF(AND(ISNUMBER(L145),COUNTIF(L$1:L144,L145)&gt;0),"⚠ Same serial "&amp;L145,IF(AND(ISNUMBER(L145),L145&gt;MIN($L$2:$L$1001),COUNTIF($L$2:$L$1001,L145-1)=0,COUNTIF($L$2:$L$1001,L145-2)&lt;2),"⚠ Missing serial "&amp;(L145-1),IF(AND(MAX(K$1:K144)&gt;0,N(K145)-MAX(K$1:K144)&gt;180),"⚠ Gap &gt; 3h",IF(C145-I145&gt;=0.99,"next day",IF(C145-I145&gt;0.4,"12h → 24h","")))))))))))</f>
        <v/>
      </c>
      <c r="H145" s="4" t="str">
        <f t="shared" si="10"/>
        <v/>
      </c>
      <c r="I145" s="5" t="str">
        <f t="shared" si="11"/>
        <v/>
      </c>
      <c r="J145" s="6">
        <f t="shared" si="12"/>
        <v>0</v>
      </c>
      <c r="K145" s="4" t="str">
        <f t="shared" si="13"/>
        <v/>
      </c>
      <c r="L145" s="4" t="str">
        <f t="shared" si="14"/>
        <v/>
      </c>
      <c r="M145" s="4" t="b" cm="1">
        <f t="array" ref="M145">IF(H145="",FALSE,SUMPRODUCT(--(H$1:H144=H145))&gt;0)</f>
        <v>0</v>
      </c>
    </row>
    <row r="146" spans="1:13" x14ac:dyDescent="0.25">
      <c r="A146" s="9" t="str">
        <f>IF(OR(B146="",M146,G146="— ignored"),"",MAX(A$1:A145)+1)</f>
        <v/>
      </c>
      <c r="B146" s="10"/>
      <c r="C146" s="11" t="str">
        <f>IF(I146="","",ROUND((I146+0.5*MAX(0,CEILING(ROUND((MAX(C$1:C145)-1/48-I146)/0.5,6),1)))*1440,0)/1440)</f>
        <v/>
      </c>
      <c r="D146" s="9" t="str" cm="1">
        <f t="array" ref="D146">IF(H146="","",IFERROR(INDEX(Log!$C$19:$G$19,VALUE(MID(H146,FIND("#",H146)+1,1))),""))</f>
        <v/>
      </c>
      <c r="E146" s="9" t="str" cm="1">
        <f t="array" ref="E146">IF(OR(H146="",M146),"",IFERROR(_xlfn.LET(_xlpm.t,SUBSTITUTE(UPPER(H146),"م","M"),_xlpm.u,SUBSTITUTE(_xlpm.t,"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46" s="12"/>
      <c r="G146" s="13" t="str">
        <f>IF(B146="","",IF(M146,"⚠ Duplicate (not counted)",IF(AND(I146="",D146="",E146=""),"— ignored",IF(C146="","⚠ Time",IF(D146="","⚠ Plant",IF(E146="","⚠ Quantity",IF(AND(ISNUMBER(L146),COUNTIF(L$1:L145,L146)&gt;0),"⚠ Same serial "&amp;L146,IF(AND(ISNUMBER(L146),L146&gt;MIN($L$2:$L$1001),COUNTIF($L$2:$L$1001,L146-1)=0,COUNTIF($L$2:$L$1001,L146-2)&lt;2),"⚠ Missing serial "&amp;(L146-1),IF(AND(MAX(K$1:K145)&gt;0,N(K146)-MAX(K$1:K145)&gt;180),"⚠ Gap &gt; 3h",IF(C146-I146&gt;=0.99,"next day",IF(C146-I146&gt;0.4,"12h → 24h","")))))))))))</f>
        <v/>
      </c>
      <c r="H146" s="4" t="str">
        <f t="shared" si="10"/>
        <v/>
      </c>
      <c r="I146" s="5" t="str">
        <f t="shared" si="11"/>
        <v/>
      </c>
      <c r="J146" s="6">
        <f t="shared" si="12"/>
        <v>0</v>
      </c>
      <c r="K146" s="4" t="str">
        <f t="shared" si="13"/>
        <v/>
      </c>
      <c r="L146" s="4" t="str">
        <f t="shared" si="14"/>
        <v/>
      </c>
      <c r="M146" s="4" t="b" cm="1">
        <f t="array" ref="M146">IF(H146="",FALSE,SUMPRODUCT(--(H$1:H145=H146))&gt;0)</f>
        <v>0</v>
      </c>
    </row>
    <row r="147" spans="1:13" x14ac:dyDescent="0.25">
      <c r="A147" s="9" t="str">
        <f>IF(OR(B147="",M147,G147="— ignored"),"",MAX(A$1:A146)+1)</f>
        <v/>
      </c>
      <c r="B147" s="10"/>
      <c r="C147" s="11" t="str">
        <f>IF(I147="","",ROUND((I147+0.5*MAX(0,CEILING(ROUND((MAX(C$1:C146)-1/48-I147)/0.5,6),1)))*1440,0)/1440)</f>
        <v/>
      </c>
      <c r="D147" s="9" t="str" cm="1">
        <f t="array" ref="D147">IF(H147="","",IFERROR(INDEX(Log!$C$19:$G$19,VALUE(MID(H147,FIND("#",H147)+1,1))),""))</f>
        <v/>
      </c>
      <c r="E147" s="9" t="str" cm="1">
        <f t="array" ref="E147">IF(OR(H147="",M147),"",IFERROR(_xlfn.LET(_xlpm.t,SUBSTITUTE(UPPER(H147),"م","M"),_xlpm.u,SUBSTITUTE(_xlpm.t,"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47" s="12"/>
      <c r="G147" s="13" t="str">
        <f>IF(B147="","",IF(M147,"⚠ Duplicate (not counted)",IF(AND(I147="",D147="",E147=""),"— ignored",IF(C147="","⚠ Time",IF(D147="","⚠ Plant",IF(E147="","⚠ Quantity",IF(AND(ISNUMBER(L147),COUNTIF(L$1:L146,L147)&gt;0),"⚠ Same serial "&amp;L147,IF(AND(ISNUMBER(L147),L147&gt;MIN($L$2:$L$1001),COUNTIF($L$2:$L$1001,L147-1)=0,COUNTIF($L$2:$L$1001,L147-2)&lt;2),"⚠ Missing serial "&amp;(L147-1),IF(AND(MAX(K$1:K146)&gt;0,N(K147)-MAX(K$1:K146)&gt;180),"⚠ Gap &gt; 3h",IF(C147-I147&gt;=0.99,"next day",IF(C147-I147&gt;0.4,"12h → 24h","")))))))))))</f>
        <v/>
      </c>
      <c r="H147" s="4" t="str">
        <f t="shared" si="10"/>
        <v/>
      </c>
      <c r="I147" s="5" t="str">
        <f t="shared" si="11"/>
        <v/>
      </c>
      <c r="J147" s="6">
        <f t="shared" si="12"/>
        <v>0</v>
      </c>
      <c r="K147" s="4" t="str">
        <f t="shared" si="13"/>
        <v/>
      </c>
      <c r="L147" s="4" t="str">
        <f t="shared" si="14"/>
        <v/>
      </c>
      <c r="M147" s="4" t="b" cm="1">
        <f t="array" ref="M147">IF(H147="",FALSE,SUMPRODUCT(--(H$1:H146=H147))&gt;0)</f>
        <v>0</v>
      </c>
    </row>
    <row r="148" spans="1:13" x14ac:dyDescent="0.25">
      <c r="A148" s="9" t="str">
        <f>IF(OR(B148="",M148,G148="— ignored"),"",MAX(A$1:A147)+1)</f>
        <v/>
      </c>
      <c r="B148" s="10"/>
      <c r="C148" s="11" t="str">
        <f>IF(I148="","",ROUND((I148+0.5*MAX(0,CEILING(ROUND((MAX(C$1:C147)-1/48-I148)/0.5,6),1)))*1440,0)/1440)</f>
        <v/>
      </c>
      <c r="D148" s="9" t="str" cm="1">
        <f t="array" ref="D148">IF(H148="","",IFERROR(INDEX(Log!$C$19:$G$19,VALUE(MID(H148,FIND("#",H148)+1,1))),""))</f>
        <v/>
      </c>
      <c r="E148" s="9" t="str" cm="1">
        <f t="array" ref="E148">IF(OR(H148="",M148),"",IFERROR(_xlfn.LET(_xlpm.t,SUBSTITUTE(UPPER(H148),"م","M"),_xlpm.u,SUBSTITUTE(_xlpm.t,"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48" s="12"/>
      <c r="G148" s="13" t="str">
        <f>IF(B148="","",IF(M148,"⚠ Duplicate (not counted)",IF(AND(I148="",D148="",E148=""),"— ignored",IF(C148="","⚠ Time",IF(D148="","⚠ Plant",IF(E148="","⚠ Quantity",IF(AND(ISNUMBER(L148),COUNTIF(L$1:L147,L148)&gt;0),"⚠ Same serial "&amp;L148,IF(AND(ISNUMBER(L148),L148&gt;MIN($L$2:$L$1001),COUNTIF($L$2:$L$1001,L148-1)=0,COUNTIF($L$2:$L$1001,L148-2)&lt;2),"⚠ Missing serial "&amp;(L148-1),IF(AND(MAX(K$1:K147)&gt;0,N(K148)-MAX(K$1:K147)&gt;180),"⚠ Gap &gt; 3h",IF(C148-I148&gt;=0.99,"next day",IF(C148-I148&gt;0.4,"12h → 24h","")))))))))))</f>
        <v/>
      </c>
      <c r="H148" s="4" t="str">
        <f t="shared" si="10"/>
        <v/>
      </c>
      <c r="I148" s="5" t="str">
        <f t="shared" si="11"/>
        <v/>
      </c>
      <c r="J148" s="6">
        <f t="shared" si="12"/>
        <v>0</v>
      </c>
      <c r="K148" s="4" t="str">
        <f t="shared" si="13"/>
        <v/>
      </c>
      <c r="L148" s="4" t="str">
        <f t="shared" si="14"/>
        <v/>
      </c>
      <c r="M148" s="4" t="b" cm="1">
        <f t="array" ref="M148">IF(H148="",FALSE,SUMPRODUCT(--(H$1:H147=H148))&gt;0)</f>
        <v>0</v>
      </c>
    </row>
    <row r="149" spans="1:13" x14ac:dyDescent="0.25">
      <c r="A149" s="9" t="str">
        <f>IF(OR(B149="",M149,G149="— ignored"),"",MAX(A$1:A148)+1)</f>
        <v/>
      </c>
      <c r="B149" s="10"/>
      <c r="C149" s="11" t="str">
        <f>IF(I149="","",ROUND((I149+0.5*MAX(0,CEILING(ROUND((MAX(C$1:C148)-1/48-I149)/0.5,6),1)))*1440,0)/1440)</f>
        <v/>
      </c>
      <c r="D149" s="9" t="str" cm="1">
        <f t="array" ref="D149">IF(H149="","",IFERROR(INDEX(Log!$C$19:$G$19,VALUE(MID(H149,FIND("#",H149)+1,1))),""))</f>
        <v/>
      </c>
      <c r="E149" s="9" t="str" cm="1">
        <f t="array" ref="E149">IF(OR(H149="",M149),"",IFERROR(_xlfn.LET(_xlpm.t,SUBSTITUTE(UPPER(H149),"م","M"),_xlpm.u,SUBSTITUTE(_xlpm.t,"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49" s="12"/>
      <c r="G149" s="13" t="str">
        <f>IF(B149="","",IF(M149,"⚠ Duplicate (not counted)",IF(AND(I149="",D149="",E149=""),"— ignored",IF(C149="","⚠ Time",IF(D149="","⚠ Plant",IF(E149="","⚠ Quantity",IF(AND(ISNUMBER(L149),COUNTIF(L$1:L148,L149)&gt;0),"⚠ Same serial "&amp;L149,IF(AND(ISNUMBER(L149),L149&gt;MIN($L$2:$L$1001),COUNTIF($L$2:$L$1001,L149-1)=0,COUNTIF($L$2:$L$1001,L149-2)&lt;2),"⚠ Missing serial "&amp;(L149-1),IF(AND(MAX(K$1:K148)&gt;0,N(K149)-MAX(K$1:K148)&gt;180),"⚠ Gap &gt; 3h",IF(C149-I149&gt;=0.99,"next day",IF(C149-I149&gt;0.4,"12h → 24h","")))))))))))</f>
        <v/>
      </c>
      <c r="H149" s="4" t="str">
        <f t="shared" si="10"/>
        <v/>
      </c>
      <c r="I149" s="5" t="str">
        <f t="shared" si="11"/>
        <v/>
      </c>
      <c r="J149" s="6">
        <f t="shared" si="12"/>
        <v>0</v>
      </c>
      <c r="K149" s="4" t="str">
        <f t="shared" si="13"/>
        <v/>
      </c>
      <c r="L149" s="4" t="str">
        <f t="shared" si="14"/>
        <v/>
      </c>
      <c r="M149" s="4" t="b" cm="1">
        <f t="array" ref="M149">IF(H149="",FALSE,SUMPRODUCT(--(H$1:H148=H149))&gt;0)</f>
        <v>0</v>
      </c>
    </row>
    <row r="150" spans="1:13" x14ac:dyDescent="0.25">
      <c r="A150" s="9" t="str">
        <f>IF(OR(B150="",M150,G150="— ignored"),"",MAX(A$1:A149)+1)</f>
        <v/>
      </c>
      <c r="B150" s="10"/>
      <c r="C150" s="11" t="str">
        <f>IF(I150="","",ROUND((I150+0.5*MAX(0,CEILING(ROUND((MAX(C$1:C149)-1/48-I150)/0.5,6),1)))*1440,0)/1440)</f>
        <v/>
      </c>
      <c r="D150" s="9" t="str" cm="1">
        <f t="array" ref="D150">IF(H150="","",IFERROR(INDEX(Log!$C$19:$G$19,VALUE(MID(H150,FIND("#",H150)+1,1))),""))</f>
        <v/>
      </c>
      <c r="E150" s="9" t="str" cm="1">
        <f t="array" ref="E150">IF(OR(H150="",M150),"",IFERROR(_xlfn.LET(_xlpm.t,SUBSTITUTE(UPPER(H150),"م","M"),_xlpm.u,SUBSTITUTE(_xlpm.t,"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50" s="12"/>
      <c r="G150" s="13" t="str">
        <f>IF(B150="","",IF(M150,"⚠ Duplicate (not counted)",IF(AND(I150="",D150="",E150=""),"— ignored",IF(C150="","⚠ Time",IF(D150="","⚠ Plant",IF(E150="","⚠ Quantity",IF(AND(ISNUMBER(L150),COUNTIF(L$1:L149,L150)&gt;0),"⚠ Same serial "&amp;L150,IF(AND(ISNUMBER(L150),L150&gt;MIN($L$2:$L$1001),COUNTIF($L$2:$L$1001,L150-1)=0,COUNTIF($L$2:$L$1001,L150-2)&lt;2),"⚠ Missing serial "&amp;(L150-1),IF(AND(MAX(K$1:K149)&gt;0,N(K150)-MAX(K$1:K149)&gt;180),"⚠ Gap &gt; 3h",IF(C150-I150&gt;=0.99,"next day",IF(C150-I150&gt;0.4,"12h → 24h","")))))))))))</f>
        <v/>
      </c>
      <c r="H150" s="4" t="str">
        <f t="shared" si="10"/>
        <v/>
      </c>
      <c r="I150" s="5" t="str">
        <f t="shared" si="11"/>
        <v/>
      </c>
      <c r="J150" s="6">
        <f t="shared" si="12"/>
        <v>0</v>
      </c>
      <c r="K150" s="4" t="str">
        <f t="shared" si="13"/>
        <v/>
      </c>
      <c r="L150" s="4" t="str">
        <f t="shared" si="14"/>
        <v/>
      </c>
      <c r="M150" s="4" t="b" cm="1">
        <f t="array" ref="M150">IF(H150="",FALSE,SUMPRODUCT(--(H$1:H149=H150))&gt;0)</f>
        <v>0</v>
      </c>
    </row>
    <row r="151" spans="1:13" x14ac:dyDescent="0.25">
      <c r="A151" s="9" t="str">
        <f>IF(OR(B151="",M151,G151="— ignored"),"",MAX(A$1:A150)+1)</f>
        <v/>
      </c>
      <c r="B151" s="10"/>
      <c r="C151" s="11" t="str">
        <f>IF(I151="","",ROUND((I151+0.5*MAX(0,CEILING(ROUND((MAX(C$1:C150)-1/48-I151)/0.5,6),1)))*1440,0)/1440)</f>
        <v/>
      </c>
      <c r="D151" s="9" t="str" cm="1">
        <f t="array" ref="D151">IF(H151="","",IFERROR(INDEX(Log!$C$19:$G$19,VALUE(MID(H151,FIND("#",H151)+1,1))),""))</f>
        <v/>
      </c>
      <c r="E151" s="9" t="str" cm="1">
        <f t="array" ref="E151">IF(OR(H151="",M151),"",IFERROR(_xlfn.LET(_xlpm.t,SUBSTITUTE(UPPER(H151),"م","M"),_xlpm.u,SUBSTITUTE(_xlpm.t,"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51" s="12"/>
      <c r="G151" s="13" t="str">
        <f>IF(B151="","",IF(M151,"⚠ Duplicate (not counted)",IF(AND(I151="",D151="",E151=""),"— ignored",IF(C151="","⚠ Time",IF(D151="","⚠ Plant",IF(E151="","⚠ Quantity",IF(AND(ISNUMBER(L151),COUNTIF(L$1:L150,L151)&gt;0),"⚠ Same serial "&amp;L151,IF(AND(ISNUMBER(L151),L151&gt;MIN($L$2:$L$1001),COUNTIF($L$2:$L$1001,L151-1)=0,COUNTIF($L$2:$L$1001,L151-2)&lt;2),"⚠ Missing serial "&amp;(L151-1),IF(AND(MAX(K$1:K150)&gt;0,N(K151)-MAX(K$1:K150)&gt;180),"⚠ Gap &gt; 3h",IF(C151-I151&gt;=0.99,"next day",IF(C151-I151&gt;0.4,"12h → 24h","")))))))))))</f>
        <v/>
      </c>
      <c r="H151" s="4" t="str">
        <f t="shared" si="10"/>
        <v/>
      </c>
      <c r="I151" s="5" t="str">
        <f t="shared" si="11"/>
        <v/>
      </c>
      <c r="J151" s="6">
        <f t="shared" si="12"/>
        <v>0</v>
      </c>
      <c r="K151" s="4" t="str">
        <f t="shared" si="13"/>
        <v/>
      </c>
      <c r="L151" s="4" t="str">
        <f t="shared" si="14"/>
        <v/>
      </c>
      <c r="M151" s="4" t="b" cm="1">
        <f t="array" ref="M151">IF(H151="",FALSE,SUMPRODUCT(--(H$1:H150=H151))&gt;0)</f>
        <v>0</v>
      </c>
    </row>
    <row r="152" spans="1:13" x14ac:dyDescent="0.25">
      <c r="A152" s="9" t="str">
        <f>IF(OR(B152="",M152,G152="— ignored"),"",MAX(A$1:A151)+1)</f>
        <v/>
      </c>
      <c r="B152" s="10"/>
      <c r="C152" s="11" t="str">
        <f>IF(I152="","",ROUND((I152+0.5*MAX(0,CEILING(ROUND((MAX(C$1:C151)-1/48-I152)/0.5,6),1)))*1440,0)/1440)</f>
        <v/>
      </c>
      <c r="D152" s="9" t="str" cm="1">
        <f t="array" ref="D152">IF(H152="","",IFERROR(INDEX(Log!$C$19:$G$19,VALUE(MID(H152,FIND("#",H152)+1,1))),""))</f>
        <v/>
      </c>
      <c r="E152" s="9" t="str" cm="1">
        <f t="array" ref="E152">IF(OR(H152="",M152),"",IFERROR(_xlfn.LET(_xlpm.t,SUBSTITUTE(UPPER(H152),"م","M"),_xlpm.u,SUBSTITUTE(_xlpm.t,"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52" s="12"/>
      <c r="G152" s="13" t="str">
        <f>IF(B152="","",IF(M152,"⚠ Duplicate (not counted)",IF(AND(I152="",D152="",E152=""),"— ignored",IF(C152="","⚠ Time",IF(D152="","⚠ Plant",IF(E152="","⚠ Quantity",IF(AND(ISNUMBER(L152),COUNTIF(L$1:L151,L152)&gt;0),"⚠ Same serial "&amp;L152,IF(AND(ISNUMBER(L152),L152&gt;MIN($L$2:$L$1001),COUNTIF($L$2:$L$1001,L152-1)=0,COUNTIF($L$2:$L$1001,L152-2)&lt;2),"⚠ Missing serial "&amp;(L152-1),IF(AND(MAX(K$1:K151)&gt;0,N(K152)-MAX(K$1:K151)&gt;180),"⚠ Gap &gt; 3h",IF(C152-I152&gt;=0.99,"next day",IF(C152-I152&gt;0.4,"12h → 24h","")))))))))))</f>
        <v/>
      </c>
      <c r="H152" s="4" t="str">
        <f t="shared" si="10"/>
        <v/>
      </c>
      <c r="I152" s="5" t="str">
        <f t="shared" si="11"/>
        <v/>
      </c>
      <c r="J152" s="6">
        <f t="shared" si="12"/>
        <v>0</v>
      </c>
      <c r="K152" s="4" t="str">
        <f t="shared" si="13"/>
        <v/>
      </c>
      <c r="L152" s="4" t="str">
        <f t="shared" si="14"/>
        <v/>
      </c>
      <c r="M152" s="4" t="b" cm="1">
        <f t="array" ref="M152">IF(H152="",FALSE,SUMPRODUCT(--(H$1:H151=H152))&gt;0)</f>
        <v>0</v>
      </c>
    </row>
    <row r="153" spans="1:13" x14ac:dyDescent="0.25">
      <c r="A153" s="9" t="str">
        <f>IF(OR(B153="",M153,G153="— ignored"),"",MAX(A$1:A152)+1)</f>
        <v/>
      </c>
      <c r="B153" s="10"/>
      <c r="C153" s="11" t="str">
        <f>IF(I153="","",ROUND((I153+0.5*MAX(0,CEILING(ROUND((MAX(C$1:C152)-1/48-I153)/0.5,6),1)))*1440,0)/1440)</f>
        <v/>
      </c>
      <c r="D153" s="9" t="str" cm="1">
        <f t="array" ref="D153">IF(H153="","",IFERROR(INDEX(Log!$C$19:$G$19,VALUE(MID(H153,FIND("#",H153)+1,1))),""))</f>
        <v/>
      </c>
      <c r="E153" s="9" t="str" cm="1">
        <f t="array" ref="E153">IF(OR(H153="",M153),"",IFERROR(_xlfn.LET(_xlpm.t,SUBSTITUTE(UPPER(H153),"م","M"),_xlpm.u,SUBSTITUTE(_xlpm.t,"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53" s="12"/>
      <c r="G153" s="13" t="str">
        <f>IF(B153="","",IF(M153,"⚠ Duplicate (not counted)",IF(AND(I153="",D153="",E153=""),"— ignored",IF(C153="","⚠ Time",IF(D153="","⚠ Plant",IF(E153="","⚠ Quantity",IF(AND(ISNUMBER(L153),COUNTIF(L$1:L152,L153)&gt;0),"⚠ Same serial "&amp;L153,IF(AND(ISNUMBER(L153),L153&gt;MIN($L$2:$L$1001),COUNTIF($L$2:$L$1001,L153-1)=0,COUNTIF($L$2:$L$1001,L153-2)&lt;2),"⚠ Missing serial "&amp;(L153-1),IF(AND(MAX(K$1:K152)&gt;0,N(K153)-MAX(K$1:K152)&gt;180),"⚠ Gap &gt; 3h",IF(C153-I153&gt;=0.99,"next day",IF(C153-I153&gt;0.4,"12h → 24h","")))))))))))</f>
        <v/>
      </c>
      <c r="H153" s="4" t="str">
        <f t="shared" si="10"/>
        <v/>
      </c>
      <c r="I153" s="5" t="str">
        <f t="shared" si="11"/>
        <v/>
      </c>
      <c r="J153" s="6">
        <f t="shared" si="12"/>
        <v>0</v>
      </c>
      <c r="K153" s="4" t="str">
        <f t="shared" si="13"/>
        <v/>
      </c>
      <c r="L153" s="4" t="str">
        <f t="shared" si="14"/>
        <v/>
      </c>
      <c r="M153" s="4" t="b" cm="1">
        <f t="array" ref="M153">IF(H153="",FALSE,SUMPRODUCT(--(H$1:H152=H153))&gt;0)</f>
        <v>0</v>
      </c>
    </row>
    <row r="154" spans="1:13" x14ac:dyDescent="0.25">
      <c r="A154" s="9" t="str">
        <f>IF(OR(B154="",M154,G154="— ignored"),"",MAX(A$1:A153)+1)</f>
        <v/>
      </c>
      <c r="B154" s="10"/>
      <c r="C154" s="11" t="str">
        <f>IF(I154="","",ROUND((I154+0.5*MAX(0,CEILING(ROUND((MAX(C$1:C153)-1/48-I154)/0.5,6),1)))*1440,0)/1440)</f>
        <v/>
      </c>
      <c r="D154" s="9" t="str" cm="1">
        <f t="array" ref="D154">IF(H154="","",IFERROR(INDEX(Log!$C$19:$G$19,VALUE(MID(H154,FIND("#",H154)+1,1))),""))</f>
        <v/>
      </c>
      <c r="E154" s="9" t="str" cm="1">
        <f t="array" ref="E154">IF(OR(H154="",M154),"",IFERROR(_xlfn.LET(_xlpm.t,SUBSTITUTE(UPPER(H154),"م","M"),_xlpm.u,SUBSTITUTE(_xlpm.t,"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54" s="12"/>
      <c r="G154" s="13" t="str">
        <f>IF(B154="","",IF(M154,"⚠ Duplicate (not counted)",IF(AND(I154="",D154="",E154=""),"— ignored",IF(C154="","⚠ Time",IF(D154="","⚠ Plant",IF(E154="","⚠ Quantity",IF(AND(ISNUMBER(L154),COUNTIF(L$1:L153,L154)&gt;0),"⚠ Same serial "&amp;L154,IF(AND(ISNUMBER(L154),L154&gt;MIN($L$2:$L$1001),COUNTIF($L$2:$L$1001,L154-1)=0,COUNTIF($L$2:$L$1001,L154-2)&lt;2),"⚠ Missing serial "&amp;(L154-1),IF(AND(MAX(K$1:K153)&gt;0,N(K154)-MAX(K$1:K153)&gt;180),"⚠ Gap &gt; 3h",IF(C154-I154&gt;=0.99,"next day",IF(C154-I154&gt;0.4,"12h → 24h","")))))))))))</f>
        <v/>
      </c>
      <c r="H154" s="4" t="str">
        <f t="shared" si="10"/>
        <v/>
      </c>
      <c r="I154" s="5" t="str">
        <f t="shared" si="11"/>
        <v/>
      </c>
      <c r="J154" s="6">
        <f t="shared" si="12"/>
        <v>0</v>
      </c>
      <c r="K154" s="4" t="str">
        <f t="shared" si="13"/>
        <v/>
      </c>
      <c r="L154" s="4" t="str">
        <f t="shared" si="14"/>
        <v/>
      </c>
      <c r="M154" s="4" t="b" cm="1">
        <f t="array" ref="M154">IF(H154="",FALSE,SUMPRODUCT(--(H$1:H153=H154))&gt;0)</f>
        <v>0</v>
      </c>
    </row>
    <row r="155" spans="1:13" x14ac:dyDescent="0.25">
      <c r="A155" s="9" t="str">
        <f>IF(OR(B155="",M155,G155="— ignored"),"",MAX(A$1:A154)+1)</f>
        <v/>
      </c>
      <c r="B155" s="10"/>
      <c r="C155" s="11" t="str">
        <f>IF(I155="","",ROUND((I155+0.5*MAX(0,CEILING(ROUND((MAX(C$1:C154)-1/48-I155)/0.5,6),1)))*1440,0)/1440)</f>
        <v/>
      </c>
      <c r="D155" s="9" t="str" cm="1">
        <f t="array" ref="D155">IF(H155="","",IFERROR(INDEX(Log!$C$19:$G$19,VALUE(MID(H155,FIND("#",H155)+1,1))),""))</f>
        <v/>
      </c>
      <c r="E155" s="9" t="str" cm="1">
        <f t="array" ref="E155">IF(OR(H155="",M155),"",IFERROR(_xlfn.LET(_xlpm.t,SUBSTITUTE(UPPER(H155),"م","M"),_xlpm.u,SUBSTITUTE(_xlpm.t,"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55" s="12"/>
      <c r="G155" s="13" t="str">
        <f>IF(B155="","",IF(M155,"⚠ Duplicate (not counted)",IF(AND(I155="",D155="",E155=""),"— ignored",IF(C155="","⚠ Time",IF(D155="","⚠ Plant",IF(E155="","⚠ Quantity",IF(AND(ISNUMBER(L155),COUNTIF(L$1:L154,L155)&gt;0),"⚠ Same serial "&amp;L155,IF(AND(ISNUMBER(L155),L155&gt;MIN($L$2:$L$1001),COUNTIF($L$2:$L$1001,L155-1)=0,COUNTIF($L$2:$L$1001,L155-2)&lt;2),"⚠ Missing serial "&amp;(L155-1),IF(AND(MAX(K$1:K154)&gt;0,N(K155)-MAX(K$1:K154)&gt;180),"⚠ Gap &gt; 3h",IF(C155-I155&gt;=0.99,"next day",IF(C155-I155&gt;0.4,"12h → 24h","")))))))))))</f>
        <v/>
      </c>
      <c r="H155" s="4" t="str">
        <f t="shared" si="10"/>
        <v/>
      </c>
      <c r="I155" s="5" t="str">
        <f t="shared" si="11"/>
        <v/>
      </c>
      <c r="J155" s="6">
        <f t="shared" si="12"/>
        <v>0</v>
      </c>
      <c r="K155" s="4" t="str">
        <f t="shared" si="13"/>
        <v/>
      </c>
      <c r="L155" s="4" t="str">
        <f t="shared" si="14"/>
        <v/>
      </c>
      <c r="M155" s="4" t="b" cm="1">
        <f t="array" ref="M155">IF(H155="",FALSE,SUMPRODUCT(--(H$1:H154=H155))&gt;0)</f>
        <v>0</v>
      </c>
    </row>
    <row r="156" spans="1:13" x14ac:dyDescent="0.25">
      <c r="A156" s="9" t="str">
        <f>IF(OR(B156="",M156,G156="— ignored"),"",MAX(A$1:A155)+1)</f>
        <v/>
      </c>
      <c r="B156" s="10"/>
      <c r="C156" s="11" t="str">
        <f>IF(I156="","",ROUND((I156+0.5*MAX(0,CEILING(ROUND((MAX(C$1:C155)-1/48-I156)/0.5,6),1)))*1440,0)/1440)</f>
        <v/>
      </c>
      <c r="D156" s="9" t="str" cm="1">
        <f t="array" ref="D156">IF(H156="","",IFERROR(INDEX(Log!$C$19:$G$19,VALUE(MID(H156,FIND("#",H156)+1,1))),""))</f>
        <v/>
      </c>
      <c r="E156" s="9" t="str" cm="1">
        <f t="array" ref="E156">IF(OR(H156="",M156),"",IFERROR(_xlfn.LET(_xlpm.t,SUBSTITUTE(UPPER(H156),"م","M"),_xlpm.u,SUBSTITUTE(_xlpm.t,"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56" s="12"/>
      <c r="G156" s="13" t="str">
        <f>IF(B156="","",IF(M156,"⚠ Duplicate (not counted)",IF(AND(I156="",D156="",E156=""),"— ignored",IF(C156="","⚠ Time",IF(D156="","⚠ Plant",IF(E156="","⚠ Quantity",IF(AND(ISNUMBER(L156),COUNTIF(L$1:L155,L156)&gt;0),"⚠ Same serial "&amp;L156,IF(AND(ISNUMBER(L156),L156&gt;MIN($L$2:$L$1001),COUNTIF($L$2:$L$1001,L156-1)=0,COUNTIF($L$2:$L$1001,L156-2)&lt;2),"⚠ Missing serial "&amp;(L156-1),IF(AND(MAX(K$1:K155)&gt;0,N(K156)-MAX(K$1:K155)&gt;180),"⚠ Gap &gt; 3h",IF(C156-I156&gt;=0.99,"next day",IF(C156-I156&gt;0.4,"12h → 24h","")))))))))))</f>
        <v/>
      </c>
      <c r="H156" s="4" t="str">
        <f t="shared" si="10"/>
        <v/>
      </c>
      <c r="I156" s="5" t="str">
        <f t="shared" si="11"/>
        <v/>
      </c>
      <c r="J156" s="6">
        <f t="shared" si="12"/>
        <v>0</v>
      </c>
      <c r="K156" s="4" t="str">
        <f t="shared" si="13"/>
        <v/>
      </c>
      <c r="L156" s="4" t="str">
        <f t="shared" si="14"/>
        <v/>
      </c>
      <c r="M156" s="4" t="b" cm="1">
        <f t="array" ref="M156">IF(H156="",FALSE,SUMPRODUCT(--(H$1:H155=H156))&gt;0)</f>
        <v>0</v>
      </c>
    </row>
    <row r="157" spans="1:13" x14ac:dyDescent="0.25">
      <c r="A157" s="9" t="str">
        <f>IF(OR(B157="",M157,G157="— ignored"),"",MAX(A$1:A156)+1)</f>
        <v/>
      </c>
      <c r="B157" s="10"/>
      <c r="C157" s="11" t="str">
        <f>IF(I157="","",ROUND((I157+0.5*MAX(0,CEILING(ROUND((MAX(C$1:C156)-1/48-I157)/0.5,6),1)))*1440,0)/1440)</f>
        <v/>
      </c>
      <c r="D157" s="9" t="str" cm="1">
        <f t="array" ref="D157">IF(H157="","",IFERROR(INDEX(Log!$C$19:$G$19,VALUE(MID(H157,FIND("#",H157)+1,1))),""))</f>
        <v/>
      </c>
      <c r="E157" s="9" t="str" cm="1">
        <f t="array" ref="E157">IF(OR(H157="",M157),"",IFERROR(_xlfn.LET(_xlpm.t,SUBSTITUTE(UPPER(H157),"م","M"),_xlpm.u,SUBSTITUTE(_xlpm.t,"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57" s="12"/>
      <c r="G157" s="13" t="str">
        <f>IF(B157="","",IF(M157,"⚠ Duplicate (not counted)",IF(AND(I157="",D157="",E157=""),"— ignored",IF(C157="","⚠ Time",IF(D157="","⚠ Plant",IF(E157="","⚠ Quantity",IF(AND(ISNUMBER(L157),COUNTIF(L$1:L156,L157)&gt;0),"⚠ Same serial "&amp;L157,IF(AND(ISNUMBER(L157),L157&gt;MIN($L$2:$L$1001),COUNTIF($L$2:$L$1001,L157-1)=0,COUNTIF($L$2:$L$1001,L157-2)&lt;2),"⚠ Missing serial "&amp;(L157-1),IF(AND(MAX(K$1:K156)&gt;0,N(K157)-MAX(K$1:K156)&gt;180),"⚠ Gap &gt; 3h",IF(C157-I157&gt;=0.99,"next day",IF(C157-I157&gt;0.4,"12h → 24h","")))))))))))</f>
        <v/>
      </c>
      <c r="H157" s="4" t="str">
        <f t="shared" si="10"/>
        <v/>
      </c>
      <c r="I157" s="5" t="str">
        <f t="shared" si="11"/>
        <v/>
      </c>
      <c r="J157" s="6">
        <f t="shared" si="12"/>
        <v>0</v>
      </c>
      <c r="K157" s="4" t="str">
        <f t="shared" si="13"/>
        <v/>
      </c>
      <c r="L157" s="4" t="str">
        <f t="shared" si="14"/>
        <v/>
      </c>
      <c r="M157" s="4" t="b" cm="1">
        <f t="array" ref="M157">IF(H157="",FALSE,SUMPRODUCT(--(H$1:H156=H157))&gt;0)</f>
        <v>0</v>
      </c>
    </row>
    <row r="158" spans="1:13" x14ac:dyDescent="0.25">
      <c r="A158" s="9" t="str">
        <f>IF(OR(B158="",M158,G158="— ignored"),"",MAX(A$1:A157)+1)</f>
        <v/>
      </c>
      <c r="B158" s="10"/>
      <c r="C158" s="11" t="str">
        <f>IF(I158="","",ROUND((I158+0.5*MAX(0,CEILING(ROUND((MAX(C$1:C157)-1/48-I158)/0.5,6),1)))*1440,0)/1440)</f>
        <v/>
      </c>
      <c r="D158" s="9" t="str" cm="1">
        <f t="array" ref="D158">IF(H158="","",IFERROR(INDEX(Log!$C$19:$G$19,VALUE(MID(H158,FIND("#",H158)+1,1))),""))</f>
        <v/>
      </c>
      <c r="E158" s="9" t="str" cm="1">
        <f t="array" ref="E158">IF(OR(H158="",M158),"",IFERROR(_xlfn.LET(_xlpm.t,SUBSTITUTE(UPPER(H158),"م","M"),_xlpm.u,SUBSTITUTE(_xlpm.t,"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58" s="12"/>
      <c r="G158" s="13" t="str">
        <f>IF(B158="","",IF(M158,"⚠ Duplicate (not counted)",IF(AND(I158="",D158="",E158=""),"— ignored",IF(C158="","⚠ Time",IF(D158="","⚠ Plant",IF(E158="","⚠ Quantity",IF(AND(ISNUMBER(L158),COUNTIF(L$1:L157,L158)&gt;0),"⚠ Same serial "&amp;L158,IF(AND(ISNUMBER(L158),L158&gt;MIN($L$2:$L$1001),COUNTIF($L$2:$L$1001,L158-1)=0,COUNTIF($L$2:$L$1001,L158-2)&lt;2),"⚠ Missing serial "&amp;(L158-1),IF(AND(MAX(K$1:K157)&gt;0,N(K158)-MAX(K$1:K157)&gt;180),"⚠ Gap &gt; 3h",IF(C158-I158&gt;=0.99,"next day",IF(C158-I158&gt;0.4,"12h → 24h","")))))))))))</f>
        <v/>
      </c>
      <c r="H158" s="4" t="str">
        <f t="shared" si="10"/>
        <v/>
      </c>
      <c r="I158" s="5" t="str">
        <f t="shared" si="11"/>
        <v/>
      </c>
      <c r="J158" s="6">
        <f t="shared" si="12"/>
        <v>0</v>
      </c>
      <c r="K158" s="4" t="str">
        <f t="shared" si="13"/>
        <v/>
      </c>
      <c r="L158" s="4" t="str">
        <f t="shared" si="14"/>
        <v/>
      </c>
      <c r="M158" s="4" t="b" cm="1">
        <f t="array" ref="M158">IF(H158="",FALSE,SUMPRODUCT(--(H$1:H157=H158))&gt;0)</f>
        <v>0</v>
      </c>
    </row>
    <row r="159" spans="1:13" x14ac:dyDescent="0.25">
      <c r="A159" s="9" t="str">
        <f>IF(OR(B159="",M159,G159="— ignored"),"",MAX(A$1:A158)+1)</f>
        <v/>
      </c>
      <c r="B159" s="10"/>
      <c r="C159" s="11" t="str">
        <f>IF(I159="","",ROUND((I159+0.5*MAX(0,CEILING(ROUND((MAX(C$1:C158)-1/48-I159)/0.5,6),1)))*1440,0)/1440)</f>
        <v/>
      </c>
      <c r="D159" s="9" t="str" cm="1">
        <f t="array" ref="D159">IF(H159="","",IFERROR(INDEX(Log!$C$19:$G$19,VALUE(MID(H159,FIND("#",H159)+1,1))),""))</f>
        <v/>
      </c>
      <c r="E159" s="9" t="str" cm="1">
        <f t="array" ref="E159">IF(OR(H159="",M159),"",IFERROR(_xlfn.LET(_xlpm.t,SUBSTITUTE(UPPER(H159),"م","M"),_xlpm.u,SUBSTITUTE(_xlpm.t,"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59" s="12"/>
      <c r="G159" s="13" t="str">
        <f>IF(B159="","",IF(M159,"⚠ Duplicate (not counted)",IF(AND(I159="",D159="",E159=""),"— ignored",IF(C159="","⚠ Time",IF(D159="","⚠ Plant",IF(E159="","⚠ Quantity",IF(AND(ISNUMBER(L159),COUNTIF(L$1:L158,L159)&gt;0),"⚠ Same serial "&amp;L159,IF(AND(ISNUMBER(L159),L159&gt;MIN($L$2:$L$1001),COUNTIF($L$2:$L$1001,L159-1)=0,COUNTIF($L$2:$L$1001,L159-2)&lt;2),"⚠ Missing serial "&amp;(L159-1),IF(AND(MAX(K$1:K158)&gt;0,N(K159)-MAX(K$1:K158)&gt;180),"⚠ Gap &gt; 3h",IF(C159-I159&gt;=0.99,"next day",IF(C159-I159&gt;0.4,"12h → 24h","")))))))))))</f>
        <v/>
      </c>
      <c r="H159" s="4" t="str">
        <f t="shared" si="10"/>
        <v/>
      </c>
      <c r="I159" s="5" t="str">
        <f t="shared" si="11"/>
        <v/>
      </c>
      <c r="J159" s="6">
        <f t="shared" si="12"/>
        <v>0</v>
      </c>
      <c r="K159" s="4" t="str">
        <f t="shared" si="13"/>
        <v/>
      </c>
      <c r="L159" s="4" t="str">
        <f t="shared" si="14"/>
        <v/>
      </c>
      <c r="M159" s="4" t="b" cm="1">
        <f t="array" ref="M159">IF(H159="",FALSE,SUMPRODUCT(--(H$1:H158=H159))&gt;0)</f>
        <v>0</v>
      </c>
    </row>
    <row r="160" spans="1:13" x14ac:dyDescent="0.25">
      <c r="A160" s="9" t="str">
        <f>IF(OR(B160="",M160,G160="— ignored"),"",MAX(A$1:A159)+1)</f>
        <v/>
      </c>
      <c r="B160" s="10"/>
      <c r="C160" s="11" t="str">
        <f>IF(I160="","",ROUND((I160+0.5*MAX(0,CEILING(ROUND((MAX(C$1:C159)-1/48-I160)/0.5,6),1)))*1440,0)/1440)</f>
        <v/>
      </c>
      <c r="D160" s="9" t="str" cm="1">
        <f t="array" ref="D160">IF(H160="","",IFERROR(INDEX(Log!$C$19:$G$19,VALUE(MID(H160,FIND("#",H160)+1,1))),""))</f>
        <v/>
      </c>
      <c r="E160" s="9" t="str" cm="1">
        <f t="array" ref="E160">IF(OR(H160="",M160),"",IFERROR(_xlfn.LET(_xlpm.t,SUBSTITUTE(UPPER(H160),"م","M"),_xlpm.u,SUBSTITUTE(_xlpm.t,"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60" s="12"/>
      <c r="G160" s="13" t="str">
        <f>IF(B160="","",IF(M160,"⚠ Duplicate (not counted)",IF(AND(I160="",D160="",E160=""),"— ignored",IF(C160="","⚠ Time",IF(D160="","⚠ Plant",IF(E160="","⚠ Quantity",IF(AND(ISNUMBER(L160),COUNTIF(L$1:L159,L160)&gt;0),"⚠ Same serial "&amp;L160,IF(AND(ISNUMBER(L160),L160&gt;MIN($L$2:$L$1001),COUNTIF($L$2:$L$1001,L160-1)=0,COUNTIF($L$2:$L$1001,L160-2)&lt;2),"⚠ Missing serial "&amp;(L160-1),IF(AND(MAX(K$1:K159)&gt;0,N(K160)-MAX(K$1:K159)&gt;180),"⚠ Gap &gt; 3h",IF(C160-I160&gt;=0.99,"next day",IF(C160-I160&gt;0.4,"12h → 24h","")))))))))))</f>
        <v/>
      </c>
      <c r="H160" s="4" t="str">
        <f t="shared" si="10"/>
        <v/>
      </c>
      <c r="I160" s="5" t="str">
        <f t="shared" si="11"/>
        <v/>
      </c>
      <c r="J160" s="6">
        <f t="shared" si="12"/>
        <v>0</v>
      </c>
      <c r="K160" s="4" t="str">
        <f t="shared" si="13"/>
        <v/>
      </c>
      <c r="L160" s="4" t="str">
        <f t="shared" si="14"/>
        <v/>
      </c>
      <c r="M160" s="4" t="b" cm="1">
        <f t="array" ref="M160">IF(H160="",FALSE,SUMPRODUCT(--(H$1:H159=H160))&gt;0)</f>
        <v>0</v>
      </c>
    </row>
    <row r="161" spans="1:13" x14ac:dyDescent="0.25">
      <c r="A161" s="9" t="str">
        <f>IF(OR(B161="",M161,G161="— ignored"),"",MAX(A$1:A160)+1)</f>
        <v/>
      </c>
      <c r="B161" s="10"/>
      <c r="C161" s="11" t="str">
        <f>IF(I161="","",ROUND((I161+0.5*MAX(0,CEILING(ROUND((MAX(C$1:C160)-1/48-I161)/0.5,6),1)))*1440,0)/1440)</f>
        <v/>
      </c>
      <c r="D161" s="9" t="str" cm="1">
        <f t="array" ref="D161">IF(H161="","",IFERROR(INDEX(Log!$C$19:$G$19,VALUE(MID(H161,FIND("#",H161)+1,1))),""))</f>
        <v/>
      </c>
      <c r="E161" s="9" t="str" cm="1">
        <f t="array" ref="E161">IF(OR(H161="",M161),"",IFERROR(_xlfn.LET(_xlpm.t,SUBSTITUTE(UPPER(H161),"م","M"),_xlpm.u,SUBSTITUTE(_xlpm.t,"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61" s="12"/>
      <c r="G161" s="13" t="str">
        <f>IF(B161="","",IF(M161,"⚠ Duplicate (not counted)",IF(AND(I161="",D161="",E161=""),"— ignored",IF(C161="","⚠ Time",IF(D161="","⚠ Plant",IF(E161="","⚠ Quantity",IF(AND(ISNUMBER(L161),COUNTIF(L$1:L160,L161)&gt;0),"⚠ Same serial "&amp;L161,IF(AND(ISNUMBER(L161),L161&gt;MIN($L$2:$L$1001),COUNTIF($L$2:$L$1001,L161-1)=0,COUNTIF($L$2:$L$1001,L161-2)&lt;2),"⚠ Missing serial "&amp;(L161-1),IF(AND(MAX(K$1:K160)&gt;0,N(K161)-MAX(K$1:K160)&gt;180),"⚠ Gap &gt; 3h",IF(C161-I161&gt;=0.99,"next day",IF(C161-I161&gt;0.4,"12h → 24h","")))))))))))</f>
        <v/>
      </c>
      <c r="H161" s="4" t="str">
        <f t="shared" si="10"/>
        <v/>
      </c>
      <c r="I161" s="5" t="str">
        <f t="shared" si="11"/>
        <v/>
      </c>
      <c r="J161" s="6">
        <f t="shared" si="12"/>
        <v>0</v>
      </c>
      <c r="K161" s="4" t="str">
        <f t="shared" si="13"/>
        <v/>
      </c>
      <c r="L161" s="4" t="str">
        <f t="shared" si="14"/>
        <v/>
      </c>
      <c r="M161" s="4" t="b" cm="1">
        <f t="array" ref="M161">IF(H161="",FALSE,SUMPRODUCT(--(H$1:H160=H161))&gt;0)</f>
        <v>0</v>
      </c>
    </row>
    <row r="162" spans="1:13" x14ac:dyDescent="0.25">
      <c r="A162" s="9" t="str">
        <f>IF(OR(B162="",M162,G162="— ignored"),"",MAX(A$1:A161)+1)</f>
        <v/>
      </c>
      <c r="B162" s="10"/>
      <c r="C162" s="11" t="str">
        <f>IF(I162="","",ROUND((I162+0.5*MAX(0,CEILING(ROUND((MAX(C$1:C161)-1/48-I162)/0.5,6),1)))*1440,0)/1440)</f>
        <v/>
      </c>
      <c r="D162" s="9" t="str" cm="1">
        <f t="array" ref="D162">IF(H162="","",IFERROR(INDEX(Log!$C$19:$G$19,VALUE(MID(H162,FIND("#",H162)+1,1))),""))</f>
        <v/>
      </c>
      <c r="E162" s="9" t="str" cm="1">
        <f t="array" ref="E162">IF(OR(H162="",M162),"",IFERROR(_xlfn.LET(_xlpm.t,SUBSTITUTE(UPPER(H162),"م","M"),_xlpm.u,SUBSTITUTE(_xlpm.t,"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62" s="12"/>
      <c r="G162" s="13" t="str">
        <f>IF(B162="","",IF(M162,"⚠ Duplicate (not counted)",IF(AND(I162="",D162="",E162=""),"— ignored",IF(C162="","⚠ Time",IF(D162="","⚠ Plant",IF(E162="","⚠ Quantity",IF(AND(ISNUMBER(L162),COUNTIF(L$1:L161,L162)&gt;0),"⚠ Same serial "&amp;L162,IF(AND(ISNUMBER(L162),L162&gt;MIN($L$2:$L$1001),COUNTIF($L$2:$L$1001,L162-1)=0,COUNTIF($L$2:$L$1001,L162-2)&lt;2),"⚠ Missing serial "&amp;(L162-1),IF(AND(MAX(K$1:K161)&gt;0,N(K162)-MAX(K$1:K161)&gt;180),"⚠ Gap &gt; 3h",IF(C162-I162&gt;=0.99,"next day",IF(C162-I162&gt;0.4,"12h → 24h","")))))))))))</f>
        <v/>
      </c>
      <c r="H162" s="4" t="str">
        <f t="shared" si="10"/>
        <v/>
      </c>
      <c r="I162" s="5" t="str">
        <f t="shared" si="11"/>
        <v/>
      </c>
      <c r="J162" s="6">
        <f t="shared" si="12"/>
        <v>0</v>
      </c>
      <c r="K162" s="4" t="str">
        <f t="shared" si="13"/>
        <v/>
      </c>
      <c r="L162" s="4" t="str">
        <f t="shared" si="14"/>
        <v/>
      </c>
      <c r="M162" s="4" t="b" cm="1">
        <f t="array" ref="M162">IF(H162="",FALSE,SUMPRODUCT(--(H$1:H161=H162))&gt;0)</f>
        <v>0</v>
      </c>
    </row>
    <row r="163" spans="1:13" x14ac:dyDescent="0.25">
      <c r="A163" s="9" t="str">
        <f>IF(OR(B163="",M163,G163="— ignored"),"",MAX(A$1:A162)+1)</f>
        <v/>
      </c>
      <c r="B163" s="10"/>
      <c r="C163" s="11" t="str">
        <f>IF(I163="","",ROUND((I163+0.5*MAX(0,CEILING(ROUND((MAX(C$1:C162)-1/48-I163)/0.5,6),1)))*1440,0)/1440)</f>
        <v/>
      </c>
      <c r="D163" s="9" t="str" cm="1">
        <f t="array" ref="D163">IF(H163="","",IFERROR(INDEX(Log!$C$19:$G$19,VALUE(MID(H163,FIND("#",H163)+1,1))),""))</f>
        <v/>
      </c>
      <c r="E163" s="9" t="str" cm="1">
        <f t="array" ref="E163">IF(OR(H163="",M163),"",IFERROR(_xlfn.LET(_xlpm.t,SUBSTITUTE(UPPER(H163),"م","M"),_xlpm.u,SUBSTITUTE(_xlpm.t,"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63" s="12"/>
      <c r="G163" s="13" t="str">
        <f>IF(B163="","",IF(M163,"⚠ Duplicate (not counted)",IF(AND(I163="",D163="",E163=""),"— ignored",IF(C163="","⚠ Time",IF(D163="","⚠ Plant",IF(E163="","⚠ Quantity",IF(AND(ISNUMBER(L163),COUNTIF(L$1:L162,L163)&gt;0),"⚠ Same serial "&amp;L163,IF(AND(ISNUMBER(L163),L163&gt;MIN($L$2:$L$1001),COUNTIF($L$2:$L$1001,L163-1)=0,COUNTIF($L$2:$L$1001,L163-2)&lt;2),"⚠ Missing serial "&amp;(L163-1),IF(AND(MAX(K$1:K162)&gt;0,N(K163)-MAX(K$1:K162)&gt;180),"⚠ Gap &gt; 3h",IF(C163-I163&gt;=0.99,"next day",IF(C163-I163&gt;0.4,"12h → 24h","")))))))))))</f>
        <v/>
      </c>
      <c r="H163" s="4" t="str">
        <f t="shared" si="10"/>
        <v/>
      </c>
      <c r="I163" s="5" t="str">
        <f t="shared" si="11"/>
        <v/>
      </c>
      <c r="J163" s="6">
        <f t="shared" si="12"/>
        <v>0</v>
      </c>
      <c r="K163" s="4" t="str">
        <f t="shared" si="13"/>
        <v/>
      </c>
      <c r="L163" s="4" t="str">
        <f t="shared" si="14"/>
        <v/>
      </c>
      <c r="M163" s="4" t="b" cm="1">
        <f t="array" ref="M163">IF(H163="",FALSE,SUMPRODUCT(--(H$1:H162=H163))&gt;0)</f>
        <v>0</v>
      </c>
    </row>
    <row r="164" spans="1:13" x14ac:dyDescent="0.25">
      <c r="A164" s="9" t="str">
        <f>IF(OR(B164="",M164,G164="— ignored"),"",MAX(A$1:A163)+1)</f>
        <v/>
      </c>
      <c r="B164" s="10"/>
      <c r="C164" s="11" t="str">
        <f>IF(I164="","",ROUND((I164+0.5*MAX(0,CEILING(ROUND((MAX(C$1:C163)-1/48-I164)/0.5,6),1)))*1440,0)/1440)</f>
        <v/>
      </c>
      <c r="D164" s="9" t="str" cm="1">
        <f t="array" ref="D164">IF(H164="","",IFERROR(INDEX(Log!$C$19:$G$19,VALUE(MID(H164,FIND("#",H164)+1,1))),""))</f>
        <v/>
      </c>
      <c r="E164" s="9" t="str" cm="1">
        <f t="array" ref="E164">IF(OR(H164="",M164),"",IFERROR(_xlfn.LET(_xlpm.t,SUBSTITUTE(UPPER(H164),"م","M"),_xlpm.u,SUBSTITUTE(_xlpm.t,"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64" s="12"/>
      <c r="G164" s="13" t="str">
        <f>IF(B164="","",IF(M164,"⚠ Duplicate (not counted)",IF(AND(I164="",D164="",E164=""),"— ignored",IF(C164="","⚠ Time",IF(D164="","⚠ Plant",IF(E164="","⚠ Quantity",IF(AND(ISNUMBER(L164),COUNTIF(L$1:L163,L164)&gt;0),"⚠ Same serial "&amp;L164,IF(AND(ISNUMBER(L164),L164&gt;MIN($L$2:$L$1001),COUNTIF($L$2:$L$1001,L164-1)=0,COUNTIF($L$2:$L$1001,L164-2)&lt;2),"⚠ Missing serial "&amp;(L164-1),IF(AND(MAX(K$1:K163)&gt;0,N(K164)-MAX(K$1:K163)&gt;180),"⚠ Gap &gt; 3h",IF(C164-I164&gt;=0.99,"next day",IF(C164-I164&gt;0.4,"12h → 24h","")))))))))))</f>
        <v/>
      </c>
      <c r="H164" s="4" t="str">
        <f t="shared" si="10"/>
        <v/>
      </c>
      <c r="I164" s="5" t="str">
        <f t="shared" si="11"/>
        <v/>
      </c>
      <c r="J164" s="6">
        <f t="shared" si="12"/>
        <v>0</v>
      </c>
      <c r="K164" s="4" t="str">
        <f t="shared" si="13"/>
        <v/>
      </c>
      <c r="L164" s="4" t="str">
        <f t="shared" si="14"/>
        <v/>
      </c>
      <c r="M164" s="4" t="b" cm="1">
        <f t="array" ref="M164">IF(H164="",FALSE,SUMPRODUCT(--(H$1:H163=H164))&gt;0)</f>
        <v>0</v>
      </c>
    </row>
    <row r="165" spans="1:13" x14ac:dyDescent="0.25">
      <c r="A165" s="9" t="str">
        <f>IF(OR(B165="",M165,G165="— ignored"),"",MAX(A$1:A164)+1)</f>
        <v/>
      </c>
      <c r="B165" s="10"/>
      <c r="C165" s="11" t="str">
        <f>IF(I165="","",ROUND((I165+0.5*MAX(0,CEILING(ROUND((MAX(C$1:C164)-1/48-I165)/0.5,6),1)))*1440,0)/1440)</f>
        <v/>
      </c>
      <c r="D165" s="9" t="str" cm="1">
        <f t="array" ref="D165">IF(H165="","",IFERROR(INDEX(Log!$C$19:$G$19,VALUE(MID(H165,FIND("#",H165)+1,1))),""))</f>
        <v/>
      </c>
      <c r="E165" s="9" t="str" cm="1">
        <f t="array" ref="E165">IF(OR(H165="",M165),"",IFERROR(_xlfn.LET(_xlpm.t,SUBSTITUTE(UPPER(H165),"م","M"),_xlpm.u,SUBSTITUTE(_xlpm.t,"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65" s="12"/>
      <c r="G165" s="13" t="str">
        <f>IF(B165="","",IF(M165,"⚠ Duplicate (not counted)",IF(AND(I165="",D165="",E165=""),"— ignored",IF(C165="","⚠ Time",IF(D165="","⚠ Plant",IF(E165="","⚠ Quantity",IF(AND(ISNUMBER(L165),COUNTIF(L$1:L164,L165)&gt;0),"⚠ Same serial "&amp;L165,IF(AND(ISNUMBER(L165),L165&gt;MIN($L$2:$L$1001),COUNTIF($L$2:$L$1001,L165-1)=0,COUNTIF($L$2:$L$1001,L165-2)&lt;2),"⚠ Missing serial "&amp;(L165-1),IF(AND(MAX(K$1:K164)&gt;0,N(K165)-MAX(K$1:K164)&gt;180),"⚠ Gap &gt; 3h",IF(C165-I165&gt;=0.99,"next day",IF(C165-I165&gt;0.4,"12h → 24h","")))))))))))</f>
        <v/>
      </c>
      <c r="H165" s="4" t="str">
        <f t="shared" si="10"/>
        <v/>
      </c>
      <c r="I165" s="5" t="str">
        <f t="shared" si="11"/>
        <v/>
      </c>
      <c r="J165" s="6">
        <f t="shared" si="12"/>
        <v>0</v>
      </c>
      <c r="K165" s="4" t="str">
        <f t="shared" si="13"/>
        <v/>
      </c>
      <c r="L165" s="4" t="str">
        <f t="shared" si="14"/>
        <v/>
      </c>
      <c r="M165" s="4" t="b" cm="1">
        <f t="array" ref="M165">IF(H165="",FALSE,SUMPRODUCT(--(H$1:H164=H165))&gt;0)</f>
        <v>0</v>
      </c>
    </row>
    <row r="166" spans="1:13" x14ac:dyDescent="0.25">
      <c r="A166" s="9" t="str">
        <f>IF(OR(B166="",M166,G166="— ignored"),"",MAX(A$1:A165)+1)</f>
        <v/>
      </c>
      <c r="B166" s="10"/>
      <c r="C166" s="11" t="str">
        <f>IF(I166="","",ROUND((I166+0.5*MAX(0,CEILING(ROUND((MAX(C$1:C165)-1/48-I166)/0.5,6),1)))*1440,0)/1440)</f>
        <v/>
      </c>
      <c r="D166" s="9" t="str" cm="1">
        <f t="array" ref="D166">IF(H166="","",IFERROR(INDEX(Log!$C$19:$G$19,VALUE(MID(H166,FIND("#",H166)+1,1))),""))</f>
        <v/>
      </c>
      <c r="E166" s="9" t="str" cm="1">
        <f t="array" ref="E166">IF(OR(H166="",M166),"",IFERROR(_xlfn.LET(_xlpm.t,SUBSTITUTE(UPPER(H166),"م","M"),_xlpm.u,SUBSTITUTE(_xlpm.t,"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66" s="12"/>
      <c r="G166" s="13" t="str">
        <f>IF(B166="","",IF(M166,"⚠ Duplicate (not counted)",IF(AND(I166="",D166="",E166=""),"— ignored",IF(C166="","⚠ Time",IF(D166="","⚠ Plant",IF(E166="","⚠ Quantity",IF(AND(ISNUMBER(L166),COUNTIF(L$1:L165,L166)&gt;0),"⚠ Same serial "&amp;L166,IF(AND(ISNUMBER(L166),L166&gt;MIN($L$2:$L$1001),COUNTIF($L$2:$L$1001,L166-1)=0,COUNTIF($L$2:$L$1001,L166-2)&lt;2),"⚠ Missing serial "&amp;(L166-1),IF(AND(MAX(K$1:K165)&gt;0,N(K166)-MAX(K$1:K165)&gt;180),"⚠ Gap &gt; 3h",IF(C166-I166&gt;=0.99,"next day",IF(C166-I166&gt;0.4,"12h → 24h","")))))))))))</f>
        <v/>
      </c>
      <c r="H166" s="4" t="str">
        <f t="shared" si="10"/>
        <v/>
      </c>
      <c r="I166" s="5" t="str">
        <f t="shared" si="11"/>
        <v/>
      </c>
      <c r="J166" s="6">
        <f t="shared" si="12"/>
        <v>0</v>
      </c>
      <c r="K166" s="4" t="str">
        <f t="shared" si="13"/>
        <v/>
      </c>
      <c r="L166" s="4" t="str">
        <f t="shared" si="14"/>
        <v/>
      </c>
      <c r="M166" s="4" t="b" cm="1">
        <f t="array" ref="M166">IF(H166="",FALSE,SUMPRODUCT(--(H$1:H165=H166))&gt;0)</f>
        <v>0</v>
      </c>
    </row>
    <row r="167" spans="1:13" x14ac:dyDescent="0.25">
      <c r="A167" s="9" t="str">
        <f>IF(OR(B167="",M167,G167="— ignored"),"",MAX(A$1:A166)+1)</f>
        <v/>
      </c>
      <c r="B167" s="10"/>
      <c r="C167" s="11" t="str">
        <f>IF(I167="","",ROUND((I167+0.5*MAX(0,CEILING(ROUND((MAX(C$1:C166)-1/48-I167)/0.5,6),1)))*1440,0)/1440)</f>
        <v/>
      </c>
      <c r="D167" s="9" t="str" cm="1">
        <f t="array" ref="D167">IF(H167="","",IFERROR(INDEX(Log!$C$19:$G$19,VALUE(MID(H167,FIND("#",H167)+1,1))),""))</f>
        <v/>
      </c>
      <c r="E167" s="9" t="str" cm="1">
        <f t="array" ref="E167">IF(OR(H167="",M167),"",IFERROR(_xlfn.LET(_xlpm.t,SUBSTITUTE(UPPER(H167),"م","M"),_xlpm.u,SUBSTITUTE(_xlpm.t,"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67" s="12"/>
      <c r="G167" s="13" t="str">
        <f>IF(B167="","",IF(M167,"⚠ Duplicate (not counted)",IF(AND(I167="",D167="",E167=""),"— ignored",IF(C167="","⚠ Time",IF(D167="","⚠ Plant",IF(E167="","⚠ Quantity",IF(AND(ISNUMBER(L167),COUNTIF(L$1:L166,L167)&gt;0),"⚠ Same serial "&amp;L167,IF(AND(ISNUMBER(L167),L167&gt;MIN($L$2:$L$1001),COUNTIF($L$2:$L$1001,L167-1)=0,COUNTIF($L$2:$L$1001,L167-2)&lt;2),"⚠ Missing serial "&amp;(L167-1),IF(AND(MAX(K$1:K166)&gt;0,N(K167)-MAX(K$1:K166)&gt;180),"⚠ Gap &gt; 3h",IF(C167-I167&gt;=0.99,"next day",IF(C167-I167&gt;0.4,"12h → 24h","")))))))))))</f>
        <v/>
      </c>
      <c r="H167" s="4" t="str">
        <f t="shared" si="10"/>
        <v/>
      </c>
      <c r="I167" s="5" t="str">
        <f t="shared" si="11"/>
        <v/>
      </c>
      <c r="J167" s="6">
        <f t="shared" si="12"/>
        <v>0</v>
      </c>
      <c r="K167" s="4" t="str">
        <f t="shared" si="13"/>
        <v/>
      </c>
      <c r="L167" s="4" t="str">
        <f t="shared" si="14"/>
        <v/>
      </c>
      <c r="M167" s="4" t="b" cm="1">
        <f t="array" ref="M167">IF(H167="",FALSE,SUMPRODUCT(--(H$1:H166=H167))&gt;0)</f>
        <v>0</v>
      </c>
    </row>
    <row r="168" spans="1:13" x14ac:dyDescent="0.25">
      <c r="A168" s="9" t="str">
        <f>IF(OR(B168="",M168,G168="— ignored"),"",MAX(A$1:A167)+1)</f>
        <v/>
      </c>
      <c r="B168" s="10"/>
      <c r="C168" s="11" t="str">
        <f>IF(I168="","",ROUND((I168+0.5*MAX(0,CEILING(ROUND((MAX(C$1:C167)-1/48-I168)/0.5,6),1)))*1440,0)/1440)</f>
        <v/>
      </c>
      <c r="D168" s="9" t="str" cm="1">
        <f t="array" ref="D168">IF(H168="","",IFERROR(INDEX(Log!$C$19:$G$19,VALUE(MID(H168,FIND("#",H168)+1,1))),""))</f>
        <v/>
      </c>
      <c r="E168" s="9" t="str" cm="1">
        <f t="array" ref="E168">IF(OR(H168="",M168),"",IFERROR(_xlfn.LET(_xlpm.t,SUBSTITUTE(UPPER(H168),"م","M"),_xlpm.u,SUBSTITUTE(_xlpm.t,"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68" s="12"/>
      <c r="G168" s="13" t="str">
        <f>IF(B168="","",IF(M168,"⚠ Duplicate (not counted)",IF(AND(I168="",D168="",E168=""),"— ignored",IF(C168="","⚠ Time",IF(D168="","⚠ Plant",IF(E168="","⚠ Quantity",IF(AND(ISNUMBER(L168),COUNTIF(L$1:L167,L168)&gt;0),"⚠ Same serial "&amp;L168,IF(AND(ISNUMBER(L168),L168&gt;MIN($L$2:$L$1001),COUNTIF($L$2:$L$1001,L168-1)=0,COUNTIF($L$2:$L$1001,L168-2)&lt;2),"⚠ Missing serial "&amp;(L168-1),IF(AND(MAX(K$1:K167)&gt;0,N(K168)-MAX(K$1:K167)&gt;180),"⚠ Gap &gt; 3h",IF(C168-I168&gt;=0.99,"next day",IF(C168-I168&gt;0.4,"12h → 24h","")))))))))))</f>
        <v/>
      </c>
      <c r="H168" s="4" t="str">
        <f t="shared" si="10"/>
        <v/>
      </c>
      <c r="I168" s="5" t="str">
        <f t="shared" si="11"/>
        <v/>
      </c>
      <c r="J168" s="6">
        <f t="shared" si="12"/>
        <v>0</v>
      </c>
      <c r="K168" s="4" t="str">
        <f t="shared" si="13"/>
        <v/>
      </c>
      <c r="L168" s="4" t="str">
        <f t="shared" si="14"/>
        <v/>
      </c>
      <c r="M168" s="4" t="b" cm="1">
        <f t="array" ref="M168">IF(H168="",FALSE,SUMPRODUCT(--(H$1:H167=H168))&gt;0)</f>
        <v>0</v>
      </c>
    </row>
    <row r="169" spans="1:13" x14ac:dyDescent="0.25">
      <c r="A169" s="9" t="str">
        <f>IF(OR(B169="",M169,G169="— ignored"),"",MAX(A$1:A168)+1)</f>
        <v/>
      </c>
      <c r="B169" s="10"/>
      <c r="C169" s="11" t="str">
        <f>IF(I169="","",ROUND((I169+0.5*MAX(0,CEILING(ROUND((MAX(C$1:C168)-1/48-I169)/0.5,6),1)))*1440,0)/1440)</f>
        <v/>
      </c>
      <c r="D169" s="9" t="str" cm="1">
        <f t="array" ref="D169">IF(H169="","",IFERROR(INDEX(Log!$C$19:$G$19,VALUE(MID(H169,FIND("#",H169)+1,1))),""))</f>
        <v/>
      </c>
      <c r="E169" s="9" t="str" cm="1">
        <f t="array" ref="E169">IF(OR(H169="",M169),"",IFERROR(_xlfn.LET(_xlpm.t,SUBSTITUTE(UPPER(H169),"م","M"),_xlpm.u,SUBSTITUTE(_xlpm.t,"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69" s="12"/>
      <c r="G169" s="13" t="str">
        <f>IF(B169="","",IF(M169,"⚠ Duplicate (not counted)",IF(AND(I169="",D169="",E169=""),"— ignored",IF(C169="","⚠ Time",IF(D169="","⚠ Plant",IF(E169="","⚠ Quantity",IF(AND(ISNUMBER(L169),COUNTIF(L$1:L168,L169)&gt;0),"⚠ Same serial "&amp;L169,IF(AND(ISNUMBER(L169),L169&gt;MIN($L$2:$L$1001),COUNTIF($L$2:$L$1001,L169-1)=0,COUNTIF($L$2:$L$1001,L169-2)&lt;2),"⚠ Missing serial "&amp;(L169-1),IF(AND(MAX(K$1:K168)&gt;0,N(K169)-MAX(K$1:K168)&gt;180),"⚠ Gap &gt; 3h",IF(C169-I169&gt;=0.99,"next day",IF(C169-I169&gt;0.4,"12h → 24h","")))))))))))</f>
        <v/>
      </c>
      <c r="H169" s="4" t="str">
        <f t="shared" si="10"/>
        <v/>
      </c>
      <c r="I169" s="5" t="str">
        <f t="shared" si="11"/>
        <v/>
      </c>
      <c r="J169" s="6">
        <f t="shared" si="12"/>
        <v>0</v>
      </c>
      <c r="K169" s="4" t="str">
        <f t="shared" si="13"/>
        <v/>
      </c>
      <c r="L169" s="4" t="str">
        <f t="shared" si="14"/>
        <v/>
      </c>
      <c r="M169" s="4" t="b" cm="1">
        <f t="array" ref="M169">IF(H169="",FALSE,SUMPRODUCT(--(H$1:H168=H169))&gt;0)</f>
        <v>0</v>
      </c>
    </row>
    <row r="170" spans="1:13" x14ac:dyDescent="0.25">
      <c r="A170" s="9" t="str">
        <f>IF(OR(B170="",M170,G170="— ignored"),"",MAX(A$1:A169)+1)</f>
        <v/>
      </c>
      <c r="B170" s="10"/>
      <c r="C170" s="11" t="str">
        <f>IF(I170="","",ROUND((I170+0.5*MAX(0,CEILING(ROUND((MAX(C$1:C169)-1/48-I170)/0.5,6),1)))*1440,0)/1440)</f>
        <v/>
      </c>
      <c r="D170" s="9" t="str" cm="1">
        <f t="array" ref="D170">IF(H170="","",IFERROR(INDEX(Log!$C$19:$G$19,VALUE(MID(H170,FIND("#",H170)+1,1))),""))</f>
        <v/>
      </c>
      <c r="E170" s="9" t="str" cm="1">
        <f t="array" ref="E170">IF(OR(H170="",M170),"",IFERROR(_xlfn.LET(_xlpm.t,SUBSTITUTE(UPPER(H170),"م","M"),_xlpm.u,SUBSTITUTE(_xlpm.t,"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70" s="12"/>
      <c r="G170" s="13" t="str">
        <f>IF(B170="","",IF(M170,"⚠ Duplicate (not counted)",IF(AND(I170="",D170="",E170=""),"— ignored",IF(C170="","⚠ Time",IF(D170="","⚠ Plant",IF(E170="","⚠ Quantity",IF(AND(ISNUMBER(L170),COUNTIF(L$1:L169,L170)&gt;0),"⚠ Same serial "&amp;L170,IF(AND(ISNUMBER(L170),L170&gt;MIN($L$2:$L$1001),COUNTIF($L$2:$L$1001,L170-1)=0,COUNTIF($L$2:$L$1001,L170-2)&lt;2),"⚠ Missing serial "&amp;(L170-1),IF(AND(MAX(K$1:K169)&gt;0,N(K170)-MAX(K$1:K169)&gt;180),"⚠ Gap &gt; 3h",IF(C170-I170&gt;=0.99,"next day",IF(C170-I170&gt;0.4,"12h → 24h","")))))))))))</f>
        <v/>
      </c>
      <c r="H170" s="4" t="str">
        <f t="shared" si="10"/>
        <v/>
      </c>
      <c r="I170" s="5" t="str">
        <f t="shared" si="11"/>
        <v/>
      </c>
      <c r="J170" s="6">
        <f t="shared" si="12"/>
        <v>0</v>
      </c>
      <c r="K170" s="4" t="str">
        <f t="shared" si="13"/>
        <v/>
      </c>
      <c r="L170" s="4" t="str">
        <f t="shared" si="14"/>
        <v/>
      </c>
      <c r="M170" s="4" t="b" cm="1">
        <f t="array" ref="M170">IF(H170="",FALSE,SUMPRODUCT(--(H$1:H169=H170))&gt;0)</f>
        <v>0</v>
      </c>
    </row>
    <row r="171" spans="1:13" x14ac:dyDescent="0.25">
      <c r="A171" s="9" t="str">
        <f>IF(OR(B171="",M171,G171="— ignored"),"",MAX(A$1:A170)+1)</f>
        <v/>
      </c>
      <c r="B171" s="10"/>
      <c r="C171" s="11" t="str">
        <f>IF(I171="","",ROUND((I171+0.5*MAX(0,CEILING(ROUND((MAX(C$1:C170)-1/48-I171)/0.5,6),1)))*1440,0)/1440)</f>
        <v/>
      </c>
      <c r="D171" s="9" t="str" cm="1">
        <f t="array" ref="D171">IF(H171="","",IFERROR(INDEX(Log!$C$19:$G$19,VALUE(MID(H171,FIND("#",H171)+1,1))),""))</f>
        <v/>
      </c>
      <c r="E171" s="9" t="str" cm="1">
        <f t="array" ref="E171">IF(OR(H171="",M171),"",IFERROR(_xlfn.LET(_xlpm.t,SUBSTITUTE(UPPER(H171),"م","M"),_xlpm.u,SUBSTITUTE(_xlpm.t,"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71" s="12"/>
      <c r="G171" s="13" t="str">
        <f>IF(B171="","",IF(M171,"⚠ Duplicate (not counted)",IF(AND(I171="",D171="",E171=""),"— ignored",IF(C171="","⚠ Time",IF(D171="","⚠ Plant",IF(E171="","⚠ Quantity",IF(AND(ISNUMBER(L171),COUNTIF(L$1:L170,L171)&gt;0),"⚠ Same serial "&amp;L171,IF(AND(ISNUMBER(L171),L171&gt;MIN($L$2:$L$1001),COUNTIF($L$2:$L$1001,L171-1)=0,COUNTIF($L$2:$L$1001,L171-2)&lt;2),"⚠ Missing serial "&amp;(L171-1),IF(AND(MAX(K$1:K170)&gt;0,N(K171)-MAX(K$1:K170)&gt;180),"⚠ Gap &gt; 3h",IF(C171-I171&gt;=0.99,"next day",IF(C171-I171&gt;0.4,"12h → 24h","")))))))))))</f>
        <v/>
      </c>
      <c r="H171" s="4" t="str">
        <f t="shared" si="10"/>
        <v/>
      </c>
      <c r="I171" s="5" t="str">
        <f t="shared" si="11"/>
        <v/>
      </c>
      <c r="J171" s="6">
        <f t="shared" si="12"/>
        <v>0</v>
      </c>
      <c r="K171" s="4" t="str">
        <f t="shared" si="13"/>
        <v/>
      </c>
      <c r="L171" s="4" t="str">
        <f t="shared" si="14"/>
        <v/>
      </c>
      <c r="M171" s="4" t="b" cm="1">
        <f t="array" ref="M171">IF(H171="",FALSE,SUMPRODUCT(--(H$1:H170=H171))&gt;0)</f>
        <v>0</v>
      </c>
    </row>
    <row r="172" spans="1:13" x14ac:dyDescent="0.25">
      <c r="A172" s="9" t="str">
        <f>IF(OR(B172="",M172,G172="— ignored"),"",MAX(A$1:A171)+1)</f>
        <v/>
      </c>
      <c r="B172" s="10"/>
      <c r="C172" s="11" t="str">
        <f>IF(I172="","",ROUND((I172+0.5*MAX(0,CEILING(ROUND((MAX(C$1:C171)-1/48-I172)/0.5,6),1)))*1440,0)/1440)</f>
        <v/>
      </c>
      <c r="D172" s="9" t="str" cm="1">
        <f t="array" ref="D172">IF(H172="","",IFERROR(INDEX(Log!$C$19:$G$19,VALUE(MID(H172,FIND("#",H172)+1,1))),""))</f>
        <v/>
      </c>
      <c r="E172" s="9" t="str" cm="1">
        <f t="array" ref="E172">IF(OR(H172="",M172),"",IFERROR(_xlfn.LET(_xlpm.t,SUBSTITUTE(UPPER(H172),"م","M"),_xlpm.u,SUBSTITUTE(_xlpm.t,"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72" s="12"/>
      <c r="G172" s="13" t="str">
        <f>IF(B172="","",IF(M172,"⚠ Duplicate (not counted)",IF(AND(I172="",D172="",E172=""),"— ignored",IF(C172="","⚠ Time",IF(D172="","⚠ Plant",IF(E172="","⚠ Quantity",IF(AND(ISNUMBER(L172),COUNTIF(L$1:L171,L172)&gt;0),"⚠ Same serial "&amp;L172,IF(AND(ISNUMBER(L172),L172&gt;MIN($L$2:$L$1001),COUNTIF($L$2:$L$1001,L172-1)=0,COUNTIF($L$2:$L$1001,L172-2)&lt;2),"⚠ Missing serial "&amp;(L172-1),IF(AND(MAX(K$1:K171)&gt;0,N(K172)-MAX(K$1:K171)&gt;180),"⚠ Gap &gt; 3h",IF(C172-I172&gt;=0.99,"next day",IF(C172-I172&gt;0.4,"12h → 24h","")))))))))))</f>
        <v/>
      </c>
      <c r="H172" s="4" t="str">
        <f t="shared" si="10"/>
        <v/>
      </c>
      <c r="I172" s="5" t="str">
        <f t="shared" si="11"/>
        <v/>
      </c>
      <c r="J172" s="6">
        <f t="shared" si="12"/>
        <v>0</v>
      </c>
      <c r="K172" s="4" t="str">
        <f t="shared" si="13"/>
        <v/>
      </c>
      <c r="L172" s="4" t="str">
        <f t="shared" si="14"/>
        <v/>
      </c>
      <c r="M172" s="4" t="b" cm="1">
        <f t="array" ref="M172">IF(H172="",FALSE,SUMPRODUCT(--(H$1:H171=H172))&gt;0)</f>
        <v>0</v>
      </c>
    </row>
    <row r="173" spans="1:13" x14ac:dyDescent="0.25">
      <c r="A173" s="9" t="str">
        <f>IF(OR(B173="",M173,G173="— ignored"),"",MAX(A$1:A172)+1)</f>
        <v/>
      </c>
      <c r="B173" s="10"/>
      <c r="C173" s="11" t="str">
        <f>IF(I173="","",ROUND((I173+0.5*MAX(0,CEILING(ROUND((MAX(C$1:C172)-1/48-I173)/0.5,6),1)))*1440,0)/1440)</f>
        <v/>
      </c>
      <c r="D173" s="9" t="str" cm="1">
        <f t="array" ref="D173">IF(H173="","",IFERROR(INDEX(Log!$C$19:$G$19,VALUE(MID(H173,FIND("#",H173)+1,1))),""))</f>
        <v/>
      </c>
      <c r="E173" s="9" t="str" cm="1">
        <f t="array" ref="E173">IF(OR(H173="",M173),"",IFERROR(_xlfn.LET(_xlpm.t,SUBSTITUTE(UPPER(H173),"م","M"),_xlpm.u,SUBSTITUTE(_xlpm.t,"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73" s="12"/>
      <c r="G173" s="13" t="str">
        <f>IF(B173="","",IF(M173,"⚠ Duplicate (not counted)",IF(AND(I173="",D173="",E173=""),"— ignored",IF(C173="","⚠ Time",IF(D173="","⚠ Plant",IF(E173="","⚠ Quantity",IF(AND(ISNUMBER(L173),COUNTIF(L$1:L172,L173)&gt;0),"⚠ Same serial "&amp;L173,IF(AND(ISNUMBER(L173),L173&gt;MIN($L$2:$L$1001),COUNTIF($L$2:$L$1001,L173-1)=0,COUNTIF($L$2:$L$1001,L173-2)&lt;2),"⚠ Missing serial "&amp;(L173-1),IF(AND(MAX(K$1:K172)&gt;0,N(K173)-MAX(K$1:K172)&gt;180),"⚠ Gap &gt; 3h",IF(C173-I173&gt;=0.99,"next day",IF(C173-I173&gt;0.4,"12h → 24h","")))))))))))</f>
        <v/>
      </c>
      <c r="H173" s="4" t="str">
        <f t="shared" si="10"/>
        <v/>
      </c>
      <c r="I173" s="5" t="str">
        <f t="shared" si="11"/>
        <v/>
      </c>
      <c r="J173" s="6">
        <f t="shared" si="12"/>
        <v>0</v>
      </c>
      <c r="K173" s="4" t="str">
        <f t="shared" si="13"/>
        <v/>
      </c>
      <c r="L173" s="4" t="str">
        <f t="shared" si="14"/>
        <v/>
      </c>
      <c r="M173" s="4" t="b" cm="1">
        <f t="array" ref="M173">IF(H173="",FALSE,SUMPRODUCT(--(H$1:H172=H173))&gt;0)</f>
        <v>0</v>
      </c>
    </row>
    <row r="174" spans="1:13" x14ac:dyDescent="0.25">
      <c r="A174" s="9" t="str">
        <f>IF(OR(B174="",M174,G174="— ignored"),"",MAX(A$1:A173)+1)</f>
        <v/>
      </c>
      <c r="B174" s="10"/>
      <c r="C174" s="11" t="str">
        <f>IF(I174="","",ROUND((I174+0.5*MAX(0,CEILING(ROUND((MAX(C$1:C173)-1/48-I174)/0.5,6),1)))*1440,0)/1440)</f>
        <v/>
      </c>
      <c r="D174" s="9" t="str" cm="1">
        <f t="array" ref="D174">IF(H174="","",IFERROR(INDEX(Log!$C$19:$G$19,VALUE(MID(H174,FIND("#",H174)+1,1))),""))</f>
        <v/>
      </c>
      <c r="E174" s="9" t="str" cm="1">
        <f t="array" ref="E174">IF(OR(H174="",M174),"",IFERROR(_xlfn.LET(_xlpm.t,SUBSTITUTE(UPPER(H174),"م","M"),_xlpm.u,SUBSTITUTE(_xlpm.t,"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74" s="12"/>
      <c r="G174" s="13" t="str">
        <f>IF(B174="","",IF(M174,"⚠ Duplicate (not counted)",IF(AND(I174="",D174="",E174=""),"— ignored",IF(C174="","⚠ Time",IF(D174="","⚠ Plant",IF(E174="","⚠ Quantity",IF(AND(ISNUMBER(L174),COUNTIF(L$1:L173,L174)&gt;0),"⚠ Same serial "&amp;L174,IF(AND(ISNUMBER(L174),L174&gt;MIN($L$2:$L$1001),COUNTIF($L$2:$L$1001,L174-1)=0,COUNTIF($L$2:$L$1001,L174-2)&lt;2),"⚠ Missing serial "&amp;(L174-1),IF(AND(MAX(K$1:K173)&gt;0,N(K174)-MAX(K$1:K173)&gt;180),"⚠ Gap &gt; 3h",IF(C174-I174&gt;=0.99,"next day",IF(C174-I174&gt;0.4,"12h → 24h","")))))))))))</f>
        <v/>
      </c>
      <c r="H174" s="4" t="str">
        <f t="shared" si="10"/>
        <v/>
      </c>
      <c r="I174" s="5" t="str">
        <f t="shared" si="11"/>
        <v/>
      </c>
      <c r="J174" s="6">
        <f t="shared" si="12"/>
        <v>0</v>
      </c>
      <c r="K174" s="4" t="str">
        <f t="shared" si="13"/>
        <v/>
      </c>
      <c r="L174" s="4" t="str">
        <f t="shared" si="14"/>
        <v/>
      </c>
      <c r="M174" s="4" t="b" cm="1">
        <f t="array" ref="M174">IF(H174="",FALSE,SUMPRODUCT(--(H$1:H173=H174))&gt;0)</f>
        <v>0</v>
      </c>
    </row>
    <row r="175" spans="1:13" x14ac:dyDescent="0.25">
      <c r="A175" s="9" t="str">
        <f>IF(OR(B175="",M175,G175="— ignored"),"",MAX(A$1:A174)+1)</f>
        <v/>
      </c>
      <c r="B175" s="10"/>
      <c r="C175" s="11" t="str">
        <f>IF(I175="","",ROUND((I175+0.5*MAX(0,CEILING(ROUND((MAX(C$1:C174)-1/48-I175)/0.5,6),1)))*1440,0)/1440)</f>
        <v/>
      </c>
      <c r="D175" s="9" t="str" cm="1">
        <f t="array" ref="D175">IF(H175="","",IFERROR(INDEX(Log!$C$19:$G$19,VALUE(MID(H175,FIND("#",H175)+1,1))),""))</f>
        <v/>
      </c>
      <c r="E175" s="9" t="str" cm="1">
        <f t="array" ref="E175">IF(OR(H175="",M175),"",IFERROR(_xlfn.LET(_xlpm.t,SUBSTITUTE(UPPER(H175),"م","M"),_xlpm.u,SUBSTITUTE(_xlpm.t,"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75" s="12"/>
      <c r="G175" s="13" t="str">
        <f>IF(B175="","",IF(M175,"⚠ Duplicate (not counted)",IF(AND(I175="",D175="",E175=""),"— ignored",IF(C175="","⚠ Time",IF(D175="","⚠ Plant",IF(E175="","⚠ Quantity",IF(AND(ISNUMBER(L175),COUNTIF(L$1:L174,L175)&gt;0),"⚠ Same serial "&amp;L175,IF(AND(ISNUMBER(L175),L175&gt;MIN($L$2:$L$1001),COUNTIF($L$2:$L$1001,L175-1)=0,COUNTIF($L$2:$L$1001,L175-2)&lt;2),"⚠ Missing serial "&amp;(L175-1),IF(AND(MAX(K$1:K174)&gt;0,N(K175)-MAX(K$1:K174)&gt;180),"⚠ Gap &gt; 3h",IF(C175-I175&gt;=0.99,"next day",IF(C175-I175&gt;0.4,"12h → 24h","")))))))))))</f>
        <v/>
      </c>
      <c r="H175" s="4" t="str">
        <f t="shared" si="10"/>
        <v/>
      </c>
      <c r="I175" s="5" t="str">
        <f t="shared" si="11"/>
        <v/>
      </c>
      <c r="J175" s="6">
        <f t="shared" si="12"/>
        <v>0</v>
      </c>
      <c r="K175" s="4" t="str">
        <f t="shared" si="13"/>
        <v/>
      </c>
      <c r="L175" s="4" t="str">
        <f t="shared" si="14"/>
        <v/>
      </c>
      <c r="M175" s="4" t="b" cm="1">
        <f t="array" ref="M175">IF(H175="",FALSE,SUMPRODUCT(--(H$1:H174=H175))&gt;0)</f>
        <v>0</v>
      </c>
    </row>
    <row r="176" spans="1:13" x14ac:dyDescent="0.25">
      <c r="A176" s="9" t="str">
        <f>IF(OR(B176="",M176,G176="— ignored"),"",MAX(A$1:A175)+1)</f>
        <v/>
      </c>
      <c r="B176" s="10"/>
      <c r="C176" s="11" t="str">
        <f>IF(I176="","",ROUND((I176+0.5*MAX(0,CEILING(ROUND((MAX(C$1:C175)-1/48-I176)/0.5,6),1)))*1440,0)/1440)</f>
        <v/>
      </c>
      <c r="D176" s="9" t="str" cm="1">
        <f t="array" ref="D176">IF(H176="","",IFERROR(INDEX(Log!$C$19:$G$19,VALUE(MID(H176,FIND("#",H176)+1,1))),""))</f>
        <v/>
      </c>
      <c r="E176" s="9" t="str" cm="1">
        <f t="array" ref="E176">IF(OR(H176="",M176),"",IFERROR(_xlfn.LET(_xlpm.t,SUBSTITUTE(UPPER(H176),"م","M"),_xlpm.u,SUBSTITUTE(_xlpm.t,"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76" s="12"/>
      <c r="G176" s="13" t="str">
        <f>IF(B176="","",IF(M176,"⚠ Duplicate (not counted)",IF(AND(I176="",D176="",E176=""),"— ignored",IF(C176="","⚠ Time",IF(D176="","⚠ Plant",IF(E176="","⚠ Quantity",IF(AND(ISNUMBER(L176),COUNTIF(L$1:L175,L176)&gt;0),"⚠ Same serial "&amp;L176,IF(AND(ISNUMBER(L176),L176&gt;MIN($L$2:$L$1001),COUNTIF($L$2:$L$1001,L176-1)=0,COUNTIF($L$2:$L$1001,L176-2)&lt;2),"⚠ Missing serial "&amp;(L176-1),IF(AND(MAX(K$1:K175)&gt;0,N(K176)-MAX(K$1:K175)&gt;180),"⚠ Gap &gt; 3h",IF(C176-I176&gt;=0.99,"next day",IF(C176-I176&gt;0.4,"12h → 24h","")))))))))))</f>
        <v/>
      </c>
      <c r="H176" s="4" t="str">
        <f t="shared" si="10"/>
        <v/>
      </c>
      <c r="I176" s="5" t="str">
        <f t="shared" si="11"/>
        <v/>
      </c>
      <c r="J176" s="6">
        <f t="shared" si="12"/>
        <v>0</v>
      </c>
      <c r="K176" s="4" t="str">
        <f t="shared" si="13"/>
        <v/>
      </c>
      <c r="L176" s="4" t="str">
        <f t="shared" si="14"/>
        <v/>
      </c>
      <c r="M176" s="4" t="b" cm="1">
        <f t="array" ref="M176">IF(H176="",FALSE,SUMPRODUCT(--(H$1:H175=H176))&gt;0)</f>
        <v>0</v>
      </c>
    </row>
    <row r="177" spans="1:13" x14ac:dyDescent="0.25">
      <c r="A177" s="9" t="str">
        <f>IF(OR(B177="",M177,G177="— ignored"),"",MAX(A$1:A176)+1)</f>
        <v/>
      </c>
      <c r="B177" s="10"/>
      <c r="C177" s="11" t="str">
        <f>IF(I177="","",ROUND((I177+0.5*MAX(0,CEILING(ROUND((MAX(C$1:C176)-1/48-I177)/0.5,6),1)))*1440,0)/1440)</f>
        <v/>
      </c>
      <c r="D177" s="9" t="str" cm="1">
        <f t="array" ref="D177">IF(H177="","",IFERROR(INDEX(Log!$C$19:$G$19,VALUE(MID(H177,FIND("#",H177)+1,1))),""))</f>
        <v/>
      </c>
      <c r="E177" s="9" t="str" cm="1">
        <f t="array" ref="E177">IF(OR(H177="",M177),"",IFERROR(_xlfn.LET(_xlpm.t,SUBSTITUTE(UPPER(H177),"م","M"),_xlpm.u,SUBSTITUTE(_xlpm.t,"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77" s="12"/>
      <c r="G177" s="13" t="str">
        <f>IF(B177="","",IF(M177,"⚠ Duplicate (not counted)",IF(AND(I177="",D177="",E177=""),"— ignored",IF(C177="","⚠ Time",IF(D177="","⚠ Plant",IF(E177="","⚠ Quantity",IF(AND(ISNUMBER(L177),COUNTIF(L$1:L176,L177)&gt;0),"⚠ Same serial "&amp;L177,IF(AND(ISNUMBER(L177),L177&gt;MIN($L$2:$L$1001),COUNTIF($L$2:$L$1001,L177-1)=0,COUNTIF($L$2:$L$1001,L177-2)&lt;2),"⚠ Missing serial "&amp;(L177-1),IF(AND(MAX(K$1:K176)&gt;0,N(K177)-MAX(K$1:K176)&gt;180),"⚠ Gap &gt; 3h",IF(C177-I177&gt;=0.99,"next day",IF(C177-I177&gt;0.4,"12h → 24h","")))))))))))</f>
        <v/>
      </c>
      <c r="H177" s="4" t="str">
        <f t="shared" si="10"/>
        <v/>
      </c>
      <c r="I177" s="5" t="str">
        <f t="shared" si="11"/>
        <v/>
      </c>
      <c r="J177" s="6">
        <f t="shared" si="12"/>
        <v>0</v>
      </c>
      <c r="K177" s="4" t="str">
        <f t="shared" si="13"/>
        <v/>
      </c>
      <c r="L177" s="4" t="str">
        <f t="shared" si="14"/>
        <v/>
      </c>
      <c r="M177" s="4" t="b" cm="1">
        <f t="array" ref="M177">IF(H177="",FALSE,SUMPRODUCT(--(H$1:H176=H177))&gt;0)</f>
        <v>0</v>
      </c>
    </row>
    <row r="178" spans="1:13" x14ac:dyDescent="0.25">
      <c r="A178" s="9" t="str">
        <f>IF(OR(B178="",M178,G178="— ignored"),"",MAX(A$1:A177)+1)</f>
        <v/>
      </c>
      <c r="B178" s="10"/>
      <c r="C178" s="11" t="str">
        <f>IF(I178="","",ROUND((I178+0.5*MAX(0,CEILING(ROUND((MAX(C$1:C177)-1/48-I178)/0.5,6),1)))*1440,0)/1440)</f>
        <v/>
      </c>
      <c r="D178" s="9" t="str" cm="1">
        <f t="array" ref="D178">IF(H178="","",IFERROR(INDEX(Log!$C$19:$G$19,VALUE(MID(H178,FIND("#",H178)+1,1))),""))</f>
        <v/>
      </c>
      <c r="E178" s="9" t="str" cm="1">
        <f t="array" ref="E178">IF(OR(H178="",M178),"",IFERROR(_xlfn.LET(_xlpm.t,SUBSTITUTE(UPPER(H178),"م","M"),_xlpm.u,SUBSTITUTE(_xlpm.t,"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78" s="12"/>
      <c r="G178" s="13" t="str">
        <f>IF(B178="","",IF(M178,"⚠ Duplicate (not counted)",IF(AND(I178="",D178="",E178=""),"— ignored",IF(C178="","⚠ Time",IF(D178="","⚠ Plant",IF(E178="","⚠ Quantity",IF(AND(ISNUMBER(L178),COUNTIF(L$1:L177,L178)&gt;0),"⚠ Same serial "&amp;L178,IF(AND(ISNUMBER(L178),L178&gt;MIN($L$2:$L$1001),COUNTIF($L$2:$L$1001,L178-1)=0,COUNTIF($L$2:$L$1001,L178-2)&lt;2),"⚠ Missing serial "&amp;(L178-1),IF(AND(MAX(K$1:K177)&gt;0,N(K178)-MAX(K$1:K177)&gt;180),"⚠ Gap &gt; 3h",IF(C178-I178&gt;=0.99,"next day",IF(C178-I178&gt;0.4,"12h → 24h","")))))))))))</f>
        <v/>
      </c>
      <c r="H178" s="4" t="str">
        <f t="shared" si="10"/>
        <v/>
      </c>
      <c r="I178" s="5" t="str">
        <f t="shared" si="11"/>
        <v/>
      </c>
      <c r="J178" s="6">
        <f t="shared" si="12"/>
        <v>0</v>
      </c>
      <c r="K178" s="4" t="str">
        <f t="shared" si="13"/>
        <v/>
      </c>
      <c r="L178" s="4" t="str">
        <f t="shared" si="14"/>
        <v/>
      </c>
      <c r="M178" s="4" t="b" cm="1">
        <f t="array" ref="M178">IF(H178="",FALSE,SUMPRODUCT(--(H$1:H177=H178))&gt;0)</f>
        <v>0</v>
      </c>
    </row>
    <row r="179" spans="1:13" x14ac:dyDescent="0.25">
      <c r="A179" s="9" t="str">
        <f>IF(OR(B179="",M179,G179="— ignored"),"",MAX(A$1:A178)+1)</f>
        <v/>
      </c>
      <c r="B179" s="10"/>
      <c r="C179" s="11" t="str">
        <f>IF(I179="","",ROUND((I179+0.5*MAX(0,CEILING(ROUND((MAX(C$1:C178)-1/48-I179)/0.5,6),1)))*1440,0)/1440)</f>
        <v/>
      </c>
      <c r="D179" s="9" t="str" cm="1">
        <f t="array" ref="D179">IF(H179="","",IFERROR(INDEX(Log!$C$19:$G$19,VALUE(MID(H179,FIND("#",H179)+1,1))),""))</f>
        <v/>
      </c>
      <c r="E179" s="9" t="str" cm="1">
        <f t="array" ref="E179">IF(OR(H179="",M179),"",IFERROR(_xlfn.LET(_xlpm.t,SUBSTITUTE(UPPER(H179),"م","M"),_xlpm.u,SUBSTITUTE(_xlpm.t,"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79" s="12"/>
      <c r="G179" s="13" t="str">
        <f>IF(B179="","",IF(M179,"⚠ Duplicate (not counted)",IF(AND(I179="",D179="",E179=""),"— ignored",IF(C179="","⚠ Time",IF(D179="","⚠ Plant",IF(E179="","⚠ Quantity",IF(AND(ISNUMBER(L179),COUNTIF(L$1:L178,L179)&gt;0),"⚠ Same serial "&amp;L179,IF(AND(ISNUMBER(L179),L179&gt;MIN($L$2:$L$1001),COUNTIF($L$2:$L$1001,L179-1)=0,COUNTIF($L$2:$L$1001,L179-2)&lt;2),"⚠ Missing serial "&amp;(L179-1),IF(AND(MAX(K$1:K178)&gt;0,N(K179)-MAX(K$1:K178)&gt;180),"⚠ Gap &gt; 3h",IF(C179-I179&gt;=0.99,"next day",IF(C179-I179&gt;0.4,"12h → 24h","")))))))))))</f>
        <v/>
      </c>
      <c r="H179" s="4" t="str">
        <f t="shared" si="10"/>
        <v/>
      </c>
      <c r="I179" s="5" t="str">
        <f t="shared" si="11"/>
        <v/>
      </c>
      <c r="J179" s="6">
        <f t="shared" si="12"/>
        <v>0</v>
      </c>
      <c r="K179" s="4" t="str">
        <f t="shared" si="13"/>
        <v/>
      </c>
      <c r="L179" s="4" t="str">
        <f t="shared" si="14"/>
        <v/>
      </c>
      <c r="M179" s="4" t="b" cm="1">
        <f t="array" ref="M179">IF(H179="",FALSE,SUMPRODUCT(--(H$1:H178=H179))&gt;0)</f>
        <v>0</v>
      </c>
    </row>
    <row r="180" spans="1:13" x14ac:dyDescent="0.25">
      <c r="A180" s="9" t="str">
        <f>IF(OR(B180="",M180,G180="— ignored"),"",MAX(A$1:A179)+1)</f>
        <v/>
      </c>
      <c r="B180" s="10"/>
      <c r="C180" s="11" t="str">
        <f>IF(I180="","",ROUND((I180+0.5*MAX(0,CEILING(ROUND((MAX(C$1:C179)-1/48-I180)/0.5,6),1)))*1440,0)/1440)</f>
        <v/>
      </c>
      <c r="D180" s="9" t="str" cm="1">
        <f t="array" ref="D180">IF(H180="","",IFERROR(INDEX(Log!$C$19:$G$19,VALUE(MID(H180,FIND("#",H180)+1,1))),""))</f>
        <v/>
      </c>
      <c r="E180" s="9" t="str" cm="1">
        <f t="array" ref="E180">IF(OR(H180="",M180),"",IFERROR(_xlfn.LET(_xlpm.t,SUBSTITUTE(UPPER(H180),"م","M"),_xlpm.u,SUBSTITUTE(_xlpm.t,"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80" s="12"/>
      <c r="G180" s="13" t="str">
        <f>IF(B180="","",IF(M180,"⚠ Duplicate (not counted)",IF(AND(I180="",D180="",E180=""),"— ignored",IF(C180="","⚠ Time",IF(D180="","⚠ Plant",IF(E180="","⚠ Quantity",IF(AND(ISNUMBER(L180),COUNTIF(L$1:L179,L180)&gt;0),"⚠ Same serial "&amp;L180,IF(AND(ISNUMBER(L180),L180&gt;MIN($L$2:$L$1001),COUNTIF($L$2:$L$1001,L180-1)=0,COUNTIF($L$2:$L$1001,L180-2)&lt;2),"⚠ Missing serial "&amp;(L180-1),IF(AND(MAX(K$1:K179)&gt;0,N(K180)-MAX(K$1:K179)&gt;180),"⚠ Gap &gt; 3h",IF(C180-I180&gt;=0.99,"next day",IF(C180-I180&gt;0.4,"12h → 24h","")))))))))))</f>
        <v/>
      </c>
      <c r="H180" s="4" t="str">
        <f t="shared" si="10"/>
        <v/>
      </c>
      <c r="I180" s="5" t="str">
        <f t="shared" si="11"/>
        <v/>
      </c>
      <c r="J180" s="6">
        <f t="shared" si="12"/>
        <v>0</v>
      </c>
      <c r="K180" s="4" t="str">
        <f t="shared" si="13"/>
        <v/>
      </c>
      <c r="L180" s="4" t="str">
        <f t="shared" si="14"/>
        <v/>
      </c>
      <c r="M180" s="4" t="b" cm="1">
        <f t="array" ref="M180">IF(H180="",FALSE,SUMPRODUCT(--(H$1:H179=H180))&gt;0)</f>
        <v>0</v>
      </c>
    </row>
    <row r="181" spans="1:13" x14ac:dyDescent="0.25">
      <c r="A181" s="9" t="str">
        <f>IF(OR(B181="",M181,G181="— ignored"),"",MAX(A$1:A180)+1)</f>
        <v/>
      </c>
      <c r="B181" s="10"/>
      <c r="C181" s="11" t="str">
        <f>IF(I181="","",ROUND((I181+0.5*MAX(0,CEILING(ROUND((MAX(C$1:C180)-1/48-I181)/0.5,6),1)))*1440,0)/1440)</f>
        <v/>
      </c>
      <c r="D181" s="9" t="str" cm="1">
        <f t="array" ref="D181">IF(H181="","",IFERROR(INDEX(Log!$C$19:$G$19,VALUE(MID(H181,FIND("#",H181)+1,1))),""))</f>
        <v/>
      </c>
      <c r="E181" s="9" t="str" cm="1">
        <f t="array" ref="E181">IF(OR(H181="",M181),"",IFERROR(_xlfn.LET(_xlpm.t,SUBSTITUTE(UPPER(H181),"م","M"),_xlpm.u,SUBSTITUTE(_xlpm.t,"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81" s="12"/>
      <c r="G181" s="13" t="str">
        <f>IF(B181="","",IF(M181,"⚠ Duplicate (not counted)",IF(AND(I181="",D181="",E181=""),"— ignored",IF(C181="","⚠ Time",IF(D181="","⚠ Plant",IF(E181="","⚠ Quantity",IF(AND(ISNUMBER(L181),COUNTIF(L$1:L180,L181)&gt;0),"⚠ Same serial "&amp;L181,IF(AND(ISNUMBER(L181),L181&gt;MIN($L$2:$L$1001),COUNTIF($L$2:$L$1001,L181-1)=0,COUNTIF($L$2:$L$1001,L181-2)&lt;2),"⚠ Missing serial "&amp;(L181-1),IF(AND(MAX(K$1:K180)&gt;0,N(K181)-MAX(K$1:K180)&gt;180),"⚠ Gap &gt; 3h",IF(C181-I181&gt;=0.99,"next day",IF(C181-I181&gt;0.4,"12h → 24h","")))))))))))</f>
        <v/>
      </c>
      <c r="H181" s="4" t="str">
        <f t="shared" si="10"/>
        <v/>
      </c>
      <c r="I181" s="5" t="str">
        <f t="shared" si="11"/>
        <v/>
      </c>
      <c r="J181" s="6">
        <f t="shared" si="12"/>
        <v>0</v>
      </c>
      <c r="K181" s="4" t="str">
        <f t="shared" si="13"/>
        <v/>
      </c>
      <c r="L181" s="4" t="str">
        <f t="shared" si="14"/>
        <v/>
      </c>
      <c r="M181" s="4" t="b" cm="1">
        <f t="array" ref="M181">IF(H181="",FALSE,SUMPRODUCT(--(H$1:H180=H181))&gt;0)</f>
        <v>0</v>
      </c>
    </row>
    <row r="182" spans="1:13" x14ac:dyDescent="0.25">
      <c r="A182" s="9" t="str">
        <f>IF(OR(B182="",M182,G182="— ignored"),"",MAX(A$1:A181)+1)</f>
        <v/>
      </c>
      <c r="B182" s="10"/>
      <c r="C182" s="11" t="str">
        <f>IF(I182="","",ROUND((I182+0.5*MAX(0,CEILING(ROUND((MAX(C$1:C181)-1/48-I182)/0.5,6),1)))*1440,0)/1440)</f>
        <v/>
      </c>
      <c r="D182" s="9" t="str" cm="1">
        <f t="array" ref="D182">IF(H182="","",IFERROR(INDEX(Log!$C$19:$G$19,VALUE(MID(H182,FIND("#",H182)+1,1))),""))</f>
        <v/>
      </c>
      <c r="E182" s="9" t="str" cm="1">
        <f t="array" ref="E182">IF(OR(H182="",M182),"",IFERROR(_xlfn.LET(_xlpm.t,SUBSTITUTE(UPPER(H182),"م","M"),_xlpm.u,SUBSTITUTE(_xlpm.t,"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82" s="12"/>
      <c r="G182" s="13" t="str">
        <f>IF(B182="","",IF(M182,"⚠ Duplicate (not counted)",IF(AND(I182="",D182="",E182=""),"— ignored",IF(C182="","⚠ Time",IF(D182="","⚠ Plant",IF(E182="","⚠ Quantity",IF(AND(ISNUMBER(L182),COUNTIF(L$1:L181,L182)&gt;0),"⚠ Same serial "&amp;L182,IF(AND(ISNUMBER(L182),L182&gt;MIN($L$2:$L$1001),COUNTIF($L$2:$L$1001,L182-1)=0,COUNTIF($L$2:$L$1001,L182-2)&lt;2),"⚠ Missing serial "&amp;(L182-1),IF(AND(MAX(K$1:K181)&gt;0,N(K182)-MAX(K$1:K181)&gt;180),"⚠ Gap &gt; 3h",IF(C182-I182&gt;=0.99,"next day",IF(C182-I182&gt;0.4,"12h → 24h","")))))))))))</f>
        <v/>
      </c>
      <c r="H182" s="4" t="str">
        <f t="shared" si="10"/>
        <v/>
      </c>
      <c r="I182" s="5" t="str">
        <f t="shared" si="11"/>
        <v/>
      </c>
      <c r="J182" s="6">
        <f t="shared" si="12"/>
        <v>0</v>
      </c>
      <c r="K182" s="4" t="str">
        <f t="shared" si="13"/>
        <v/>
      </c>
      <c r="L182" s="4" t="str">
        <f t="shared" si="14"/>
        <v/>
      </c>
      <c r="M182" s="4" t="b" cm="1">
        <f t="array" ref="M182">IF(H182="",FALSE,SUMPRODUCT(--(H$1:H181=H182))&gt;0)</f>
        <v>0</v>
      </c>
    </row>
    <row r="183" spans="1:13" x14ac:dyDescent="0.25">
      <c r="A183" s="9" t="str">
        <f>IF(OR(B183="",M183,G183="— ignored"),"",MAX(A$1:A182)+1)</f>
        <v/>
      </c>
      <c r="B183" s="10"/>
      <c r="C183" s="11" t="str">
        <f>IF(I183="","",ROUND((I183+0.5*MAX(0,CEILING(ROUND((MAX(C$1:C182)-1/48-I183)/0.5,6),1)))*1440,0)/1440)</f>
        <v/>
      </c>
      <c r="D183" s="9" t="str" cm="1">
        <f t="array" ref="D183">IF(H183="","",IFERROR(INDEX(Log!$C$19:$G$19,VALUE(MID(H183,FIND("#",H183)+1,1))),""))</f>
        <v/>
      </c>
      <c r="E183" s="9" t="str" cm="1">
        <f t="array" ref="E183">IF(OR(H183="",M183),"",IFERROR(_xlfn.LET(_xlpm.t,SUBSTITUTE(UPPER(H183),"م","M"),_xlpm.u,SUBSTITUTE(_xlpm.t,"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83" s="12"/>
      <c r="G183" s="13" t="str">
        <f>IF(B183="","",IF(M183,"⚠ Duplicate (not counted)",IF(AND(I183="",D183="",E183=""),"— ignored",IF(C183="","⚠ Time",IF(D183="","⚠ Plant",IF(E183="","⚠ Quantity",IF(AND(ISNUMBER(L183),COUNTIF(L$1:L182,L183)&gt;0),"⚠ Same serial "&amp;L183,IF(AND(ISNUMBER(L183),L183&gt;MIN($L$2:$L$1001),COUNTIF($L$2:$L$1001,L183-1)=0,COUNTIF($L$2:$L$1001,L183-2)&lt;2),"⚠ Missing serial "&amp;(L183-1),IF(AND(MAX(K$1:K182)&gt;0,N(K183)-MAX(K$1:K182)&gt;180),"⚠ Gap &gt; 3h",IF(C183-I183&gt;=0.99,"next day",IF(C183-I183&gt;0.4,"12h → 24h","")))))))))))</f>
        <v/>
      </c>
      <c r="H183" s="4" t="str">
        <f t="shared" si="10"/>
        <v/>
      </c>
      <c r="I183" s="5" t="str">
        <f t="shared" si="11"/>
        <v/>
      </c>
      <c r="J183" s="6">
        <f t="shared" si="12"/>
        <v>0</v>
      </c>
      <c r="K183" s="4" t="str">
        <f t="shared" si="13"/>
        <v/>
      </c>
      <c r="L183" s="4" t="str">
        <f t="shared" si="14"/>
        <v/>
      </c>
      <c r="M183" s="4" t="b" cm="1">
        <f t="array" ref="M183">IF(H183="",FALSE,SUMPRODUCT(--(H$1:H182=H183))&gt;0)</f>
        <v>0</v>
      </c>
    </row>
    <row r="184" spans="1:13" x14ac:dyDescent="0.25">
      <c r="A184" s="9" t="str">
        <f>IF(OR(B184="",M184,G184="— ignored"),"",MAX(A$1:A183)+1)</f>
        <v/>
      </c>
      <c r="B184" s="10"/>
      <c r="C184" s="11" t="str">
        <f>IF(I184="","",ROUND((I184+0.5*MAX(0,CEILING(ROUND((MAX(C$1:C183)-1/48-I184)/0.5,6),1)))*1440,0)/1440)</f>
        <v/>
      </c>
      <c r="D184" s="9" t="str" cm="1">
        <f t="array" ref="D184">IF(H184="","",IFERROR(INDEX(Log!$C$19:$G$19,VALUE(MID(H184,FIND("#",H184)+1,1))),""))</f>
        <v/>
      </c>
      <c r="E184" s="9" t="str" cm="1">
        <f t="array" ref="E184">IF(OR(H184="",M184),"",IFERROR(_xlfn.LET(_xlpm.t,SUBSTITUTE(UPPER(H184),"م","M"),_xlpm.u,SUBSTITUTE(_xlpm.t,"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84" s="12"/>
      <c r="G184" s="13" t="str">
        <f>IF(B184="","",IF(M184,"⚠ Duplicate (not counted)",IF(AND(I184="",D184="",E184=""),"— ignored",IF(C184="","⚠ Time",IF(D184="","⚠ Plant",IF(E184="","⚠ Quantity",IF(AND(ISNUMBER(L184),COUNTIF(L$1:L183,L184)&gt;0),"⚠ Same serial "&amp;L184,IF(AND(ISNUMBER(L184),L184&gt;MIN($L$2:$L$1001),COUNTIF($L$2:$L$1001,L184-1)=0,COUNTIF($L$2:$L$1001,L184-2)&lt;2),"⚠ Missing serial "&amp;(L184-1),IF(AND(MAX(K$1:K183)&gt;0,N(K184)-MAX(K$1:K183)&gt;180),"⚠ Gap &gt; 3h",IF(C184-I184&gt;=0.99,"next day",IF(C184-I184&gt;0.4,"12h → 24h","")))))))))))</f>
        <v/>
      </c>
      <c r="H184" s="4" t="str">
        <f t="shared" si="10"/>
        <v/>
      </c>
      <c r="I184" s="5" t="str">
        <f t="shared" si="11"/>
        <v/>
      </c>
      <c r="J184" s="6">
        <f t="shared" si="12"/>
        <v>0</v>
      </c>
      <c r="K184" s="4" t="str">
        <f t="shared" si="13"/>
        <v/>
      </c>
      <c r="L184" s="4" t="str">
        <f t="shared" si="14"/>
        <v/>
      </c>
      <c r="M184" s="4" t="b" cm="1">
        <f t="array" ref="M184">IF(H184="",FALSE,SUMPRODUCT(--(H$1:H183=H184))&gt;0)</f>
        <v>0</v>
      </c>
    </row>
    <row r="185" spans="1:13" x14ac:dyDescent="0.25">
      <c r="A185" s="9" t="str">
        <f>IF(OR(B185="",M185,G185="— ignored"),"",MAX(A$1:A184)+1)</f>
        <v/>
      </c>
      <c r="B185" s="10"/>
      <c r="C185" s="11" t="str">
        <f>IF(I185="","",ROUND((I185+0.5*MAX(0,CEILING(ROUND((MAX(C$1:C184)-1/48-I185)/0.5,6),1)))*1440,0)/1440)</f>
        <v/>
      </c>
      <c r="D185" s="9" t="str" cm="1">
        <f t="array" ref="D185">IF(H185="","",IFERROR(INDEX(Log!$C$19:$G$19,VALUE(MID(H185,FIND("#",H185)+1,1))),""))</f>
        <v/>
      </c>
      <c r="E185" s="9" t="str" cm="1">
        <f t="array" ref="E185">IF(OR(H185="",M185),"",IFERROR(_xlfn.LET(_xlpm.t,SUBSTITUTE(UPPER(H185),"م","M"),_xlpm.u,SUBSTITUTE(_xlpm.t,"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85" s="12"/>
      <c r="G185" s="13" t="str">
        <f>IF(B185="","",IF(M185,"⚠ Duplicate (not counted)",IF(AND(I185="",D185="",E185=""),"— ignored",IF(C185="","⚠ Time",IF(D185="","⚠ Plant",IF(E185="","⚠ Quantity",IF(AND(ISNUMBER(L185),COUNTIF(L$1:L184,L185)&gt;0),"⚠ Same serial "&amp;L185,IF(AND(ISNUMBER(L185),L185&gt;MIN($L$2:$L$1001),COUNTIF($L$2:$L$1001,L185-1)=0,COUNTIF($L$2:$L$1001,L185-2)&lt;2),"⚠ Missing serial "&amp;(L185-1),IF(AND(MAX(K$1:K184)&gt;0,N(K185)-MAX(K$1:K184)&gt;180),"⚠ Gap &gt; 3h",IF(C185-I185&gt;=0.99,"next day",IF(C185-I185&gt;0.4,"12h → 24h","")))))))))))</f>
        <v/>
      </c>
      <c r="H185" s="4" t="str">
        <f t="shared" si="10"/>
        <v/>
      </c>
      <c r="I185" s="5" t="str">
        <f t="shared" si="11"/>
        <v/>
      </c>
      <c r="J185" s="6">
        <f t="shared" si="12"/>
        <v>0</v>
      </c>
      <c r="K185" s="4" t="str">
        <f t="shared" si="13"/>
        <v/>
      </c>
      <c r="L185" s="4" t="str">
        <f t="shared" si="14"/>
        <v/>
      </c>
      <c r="M185" s="4" t="b" cm="1">
        <f t="array" ref="M185">IF(H185="",FALSE,SUMPRODUCT(--(H$1:H184=H185))&gt;0)</f>
        <v>0</v>
      </c>
    </row>
    <row r="186" spans="1:13" x14ac:dyDescent="0.25">
      <c r="A186" s="9" t="str">
        <f>IF(OR(B186="",M186,G186="— ignored"),"",MAX(A$1:A185)+1)</f>
        <v/>
      </c>
      <c r="B186" s="10"/>
      <c r="C186" s="11" t="str">
        <f>IF(I186="","",ROUND((I186+0.5*MAX(0,CEILING(ROUND((MAX(C$1:C185)-1/48-I186)/0.5,6),1)))*1440,0)/1440)</f>
        <v/>
      </c>
      <c r="D186" s="9" t="str" cm="1">
        <f t="array" ref="D186">IF(H186="","",IFERROR(INDEX(Log!$C$19:$G$19,VALUE(MID(H186,FIND("#",H186)+1,1))),""))</f>
        <v/>
      </c>
      <c r="E186" s="9" t="str" cm="1">
        <f t="array" ref="E186">IF(OR(H186="",M186),"",IFERROR(_xlfn.LET(_xlpm.t,SUBSTITUTE(UPPER(H186),"م","M"),_xlpm.u,SUBSTITUTE(_xlpm.t,"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86" s="12"/>
      <c r="G186" s="13" t="str">
        <f>IF(B186="","",IF(M186,"⚠ Duplicate (not counted)",IF(AND(I186="",D186="",E186=""),"— ignored",IF(C186="","⚠ Time",IF(D186="","⚠ Plant",IF(E186="","⚠ Quantity",IF(AND(ISNUMBER(L186),COUNTIF(L$1:L185,L186)&gt;0),"⚠ Same serial "&amp;L186,IF(AND(ISNUMBER(L186),L186&gt;MIN($L$2:$L$1001),COUNTIF($L$2:$L$1001,L186-1)=0,COUNTIF($L$2:$L$1001,L186-2)&lt;2),"⚠ Missing serial "&amp;(L186-1),IF(AND(MAX(K$1:K185)&gt;0,N(K186)-MAX(K$1:K185)&gt;180),"⚠ Gap &gt; 3h",IF(C186-I186&gt;=0.99,"next day",IF(C186-I186&gt;0.4,"12h → 24h","")))))))))))</f>
        <v/>
      </c>
      <c r="H186" s="4" t="str">
        <f t="shared" si="10"/>
        <v/>
      </c>
      <c r="I186" s="5" t="str">
        <f t="shared" si="11"/>
        <v/>
      </c>
      <c r="J186" s="6">
        <f t="shared" si="12"/>
        <v>0</v>
      </c>
      <c r="K186" s="4" t="str">
        <f t="shared" si="13"/>
        <v/>
      </c>
      <c r="L186" s="4" t="str">
        <f t="shared" si="14"/>
        <v/>
      </c>
      <c r="M186" s="4" t="b" cm="1">
        <f t="array" ref="M186">IF(H186="",FALSE,SUMPRODUCT(--(H$1:H185=H186))&gt;0)</f>
        <v>0</v>
      </c>
    </row>
    <row r="187" spans="1:13" x14ac:dyDescent="0.25">
      <c r="A187" s="9" t="str">
        <f>IF(OR(B187="",M187,G187="— ignored"),"",MAX(A$1:A186)+1)</f>
        <v/>
      </c>
      <c r="B187" s="10"/>
      <c r="C187" s="11" t="str">
        <f>IF(I187="","",ROUND((I187+0.5*MAX(0,CEILING(ROUND((MAX(C$1:C186)-1/48-I187)/0.5,6),1)))*1440,0)/1440)</f>
        <v/>
      </c>
      <c r="D187" s="9" t="str" cm="1">
        <f t="array" ref="D187">IF(H187="","",IFERROR(INDEX(Log!$C$19:$G$19,VALUE(MID(H187,FIND("#",H187)+1,1))),""))</f>
        <v/>
      </c>
      <c r="E187" s="9" t="str" cm="1">
        <f t="array" ref="E187">IF(OR(H187="",M187),"",IFERROR(_xlfn.LET(_xlpm.t,SUBSTITUTE(UPPER(H187),"م","M"),_xlpm.u,SUBSTITUTE(_xlpm.t,"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87" s="12"/>
      <c r="G187" s="13" t="str">
        <f>IF(B187="","",IF(M187,"⚠ Duplicate (not counted)",IF(AND(I187="",D187="",E187=""),"— ignored",IF(C187="","⚠ Time",IF(D187="","⚠ Plant",IF(E187="","⚠ Quantity",IF(AND(ISNUMBER(L187),COUNTIF(L$1:L186,L187)&gt;0),"⚠ Same serial "&amp;L187,IF(AND(ISNUMBER(L187),L187&gt;MIN($L$2:$L$1001),COUNTIF($L$2:$L$1001,L187-1)=0,COUNTIF($L$2:$L$1001,L187-2)&lt;2),"⚠ Missing serial "&amp;(L187-1),IF(AND(MAX(K$1:K186)&gt;0,N(K187)-MAX(K$1:K186)&gt;180),"⚠ Gap &gt; 3h",IF(C187-I187&gt;=0.99,"next day",IF(C187-I187&gt;0.4,"12h → 24h","")))))))))))</f>
        <v/>
      </c>
      <c r="H187" s="4" t="str">
        <f t="shared" si="10"/>
        <v/>
      </c>
      <c r="I187" s="5" t="str">
        <f t="shared" si="11"/>
        <v/>
      </c>
      <c r="J187" s="6">
        <f t="shared" si="12"/>
        <v>0</v>
      </c>
      <c r="K187" s="4" t="str">
        <f t="shared" si="13"/>
        <v/>
      </c>
      <c r="L187" s="4" t="str">
        <f t="shared" si="14"/>
        <v/>
      </c>
      <c r="M187" s="4" t="b" cm="1">
        <f t="array" ref="M187">IF(H187="",FALSE,SUMPRODUCT(--(H$1:H186=H187))&gt;0)</f>
        <v>0</v>
      </c>
    </row>
    <row r="188" spans="1:13" x14ac:dyDescent="0.25">
      <c r="A188" s="9" t="str">
        <f>IF(OR(B188="",M188,G188="— ignored"),"",MAX(A$1:A187)+1)</f>
        <v/>
      </c>
      <c r="B188" s="10"/>
      <c r="C188" s="11" t="str">
        <f>IF(I188="","",ROUND((I188+0.5*MAX(0,CEILING(ROUND((MAX(C$1:C187)-1/48-I188)/0.5,6),1)))*1440,0)/1440)</f>
        <v/>
      </c>
      <c r="D188" s="9" t="str" cm="1">
        <f t="array" ref="D188">IF(H188="","",IFERROR(INDEX(Log!$C$19:$G$19,VALUE(MID(H188,FIND("#",H188)+1,1))),""))</f>
        <v/>
      </c>
      <c r="E188" s="9" t="str" cm="1">
        <f t="array" ref="E188">IF(OR(H188="",M188),"",IFERROR(_xlfn.LET(_xlpm.t,SUBSTITUTE(UPPER(H188),"م","M"),_xlpm.u,SUBSTITUTE(_xlpm.t,"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88" s="12"/>
      <c r="G188" s="13" t="str">
        <f>IF(B188="","",IF(M188,"⚠ Duplicate (not counted)",IF(AND(I188="",D188="",E188=""),"— ignored",IF(C188="","⚠ Time",IF(D188="","⚠ Plant",IF(E188="","⚠ Quantity",IF(AND(ISNUMBER(L188),COUNTIF(L$1:L187,L188)&gt;0),"⚠ Same serial "&amp;L188,IF(AND(ISNUMBER(L188),L188&gt;MIN($L$2:$L$1001),COUNTIF($L$2:$L$1001,L188-1)=0,COUNTIF($L$2:$L$1001,L188-2)&lt;2),"⚠ Missing serial "&amp;(L188-1),IF(AND(MAX(K$1:K187)&gt;0,N(K188)-MAX(K$1:K187)&gt;180),"⚠ Gap &gt; 3h",IF(C188-I188&gt;=0.99,"next day",IF(C188-I188&gt;0.4,"12h → 24h","")))))))))))</f>
        <v/>
      </c>
      <c r="H188" s="4" t="str">
        <f t="shared" si="10"/>
        <v/>
      </c>
      <c r="I188" s="5" t="str">
        <f t="shared" si="11"/>
        <v/>
      </c>
      <c r="J188" s="6">
        <f t="shared" si="12"/>
        <v>0</v>
      </c>
      <c r="K188" s="4" t="str">
        <f t="shared" si="13"/>
        <v/>
      </c>
      <c r="L188" s="4" t="str">
        <f t="shared" si="14"/>
        <v/>
      </c>
      <c r="M188" s="4" t="b" cm="1">
        <f t="array" ref="M188">IF(H188="",FALSE,SUMPRODUCT(--(H$1:H187=H188))&gt;0)</f>
        <v>0</v>
      </c>
    </row>
    <row r="189" spans="1:13" x14ac:dyDescent="0.25">
      <c r="A189" s="9" t="str">
        <f>IF(OR(B189="",M189,G189="— ignored"),"",MAX(A$1:A188)+1)</f>
        <v/>
      </c>
      <c r="B189" s="10"/>
      <c r="C189" s="11" t="str">
        <f>IF(I189="","",ROUND((I189+0.5*MAX(0,CEILING(ROUND((MAX(C$1:C188)-1/48-I189)/0.5,6),1)))*1440,0)/1440)</f>
        <v/>
      </c>
      <c r="D189" s="9" t="str" cm="1">
        <f t="array" ref="D189">IF(H189="","",IFERROR(INDEX(Log!$C$19:$G$19,VALUE(MID(H189,FIND("#",H189)+1,1))),""))</f>
        <v/>
      </c>
      <c r="E189" s="9" t="str" cm="1">
        <f t="array" ref="E189">IF(OR(H189="",M189),"",IFERROR(_xlfn.LET(_xlpm.t,SUBSTITUTE(UPPER(H189),"م","M"),_xlpm.u,SUBSTITUTE(_xlpm.t,"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89" s="12"/>
      <c r="G189" s="13" t="str">
        <f>IF(B189="","",IF(M189,"⚠ Duplicate (not counted)",IF(AND(I189="",D189="",E189=""),"— ignored",IF(C189="","⚠ Time",IF(D189="","⚠ Plant",IF(E189="","⚠ Quantity",IF(AND(ISNUMBER(L189),COUNTIF(L$1:L188,L189)&gt;0),"⚠ Same serial "&amp;L189,IF(AND(ISNUMBER(L189),L189&gt;MIN($L$2:$L$1001),COUNTIF($L$2:$L$1001,L189-1)=0,COUNTIF($L$2:$L$1001,L189-2)&lt;2),"⚠ Missing serial "&amp;(L189-1),IF(AND(MAX(K$1:K188)&gt;0,N(K189)-MAX(K$1:K188)&gt;180),"⚠ Gap &gt; 3h",IF(C189-I189&gt;=0.99,"next day",IF(C189-I189&gt;0.4,"12h → 24h","")))))))))))</f>
        <v/>
      </c>
      <c r="H189" s="4" t="str">
        <f t="shared" si="10"/>
        <v/>
      </c>
      <c r="I189" s="5" t="str">
        <f t="shared" si="11"/>
        <v/>
      </c>
      <c r="J189" s="6">
        <f t="shared" si="12"/>
        <v>0</v>
      </c>
      <c r="K189" s="4" t="str">
        <f t="shared" si="13"/>
        <v/>
      </c>
      <c r="L189" s="4" t="str">
        <f t="shared" si="14"/>
        <v/>
      </c>
      <c r="M189" s="4" t="b" cm="1">
        <f t="array" ref="M189">IF(H189="",FALSE,SUMPRODUCT(--(H$1:H188=H189))&gt;0)</f>
        <v>0</v>
      </c>
    </row>
    <row r="190" spans="1:13" x14ac:dyDescent="0.25">
      <c r="A190" s="9" t="str">
        <f>IF(OR(B190="",M190,G190="— ignored"),"",MAX(A$1:A189)+1)</f>
        <v/>
      </c>
      <c r="B190" s="10"/>
      <c r="C190" s="11" t="str">
        <f>IF(I190="","",ROUND((I190+0.5*MAX(0,CEILING(ROUND((MAX(C$1:C189)-1/48-I190)/0.5,6),1)))*1440,0)/1440)</f>
        <v/>
      </c>
      <c r="D190" s="9" t="str" cm="1">
        <f t="array" ref="D190">IF(H190="","",IFERROR(INDEX(Log!$C$19:$G$19,VALUE(MID(H190,FIND("#",H190)+1,1))),""))</f>
        <v/>
      </c>
      <c r="E190" s="9" t="str" cm="1">
        <f t="array" ref="E190">IF(OR(H190="",M190),"",IFERROR(_xlfn.LET(_xlpm.t,SUBSTITUTE(UPPER(H190),"م","M"),_xlpm.u,SUBSTITUTE(_xlpm.t,"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90" s="12"/>
      <c r="G190" s="13" t="str">
        <f>IF(B190="","",IF(M190,"⚠ Duplicate (not counted)",IF(AND(I190="",D190="",E190=""),"— ignored",IF(C190="","⚠ Time",IF(D190="","⚠ Plant",IF(E190="","⚠ Quantity",IF(AND(ISNUMBER(L190),COUNTIF(L$1:L189,L190)&gt;0),"⚠ Same serial "&amp;L190,IF(AND(ISNUMBER(L190),L190&gt;MIN($L$2:$L$1001),COUNTIF($L$2:$L$1001,L190-1)=0,COUNTIF($L$2:$L$1001,L190-2)&lt;2),"⚠ Missing serial "&amp;(L190-1),IF(AND(MAX(K$1:K189)&gt;0,N(K190)-MAX(K$1:K189)&gt;180),"⚠ Gap &gt; 3h",IF(C190-I190&gt;=0.99,"next day",IF(C190-I190&gt;0.4,"12h → 24h","")))))))))))</f>
        <v/>
      </c>
      <c r="H190" s="4" t="str">
        <f t="shared" si="10"/>
        <v/>
      </c>
      <c r="I190" s="5" t="str">
        <f t="shared" si="11"/>
        <v/>
      </c>
      <c r="J190" s="6">
        <f t="shared" si="12"/>
        <v>0</v>
      </c>
      <c r="K190" s="4" t="str">
        <f t="shared" si="13"/>
        <v/>
      </c>
      <c r="L190" s="4" t="str">
        <f t="shared" si="14"/>
        <v/>
      </c>
      <c r="M190" s="4" t="b" cm="1">
        <f t="array" ref="M190">IF(H190="",FALSE,SUMPRODUCT(--(H$1:H189=H190))&gt;0)</f>
        <v>0</v>
      </c>
    </row>
    <row r="191" spans="1:13" x14ac:dyDescent="0.25">
      <c r="A191" s="9" t="str">
        <f>IF(OR(B191="",M191,G191="— ignored"),"",MAX(A$1:A190)+1)</f>
        <v/>
      </c>
      <c r="B191" s="10"/>
      <c r="C191" s="11" t="str">
        <f>IF(I191="","",ROUND((I191+0.5*MAX(0,CEILING(ROUND((MAX(C$1:C190)-1/48-I191)/0.5,6),1)))*1440,0)/1440)</f>
        <v/>
      </c>
      <c r="D191" s="9" t="str" cm="1">
        <f t="array" ref="D191">IF(H191="","",IFERROR(INDEX(Log!$C$19:$G$19,VALUE(MID(H191,FIND("#",H191)+1,1))),""))</f>
        <v/>
      </c>
      <c r="E191" s="9" t="str" cm="1">
        <f t="array" ref="E191">IF(OR(H191="",M191),"",IFERROR(_xlfn.LET(_xlpm.t,SUBSTITUTE(UPPER(H191),"م","M"),_xlpm.u,SUBSTITUTE(_xlpm.t,"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91" s="12"/>
      <c r="G191" s="13" t="str">
        <f>IF(B191="","",IF(M191,"⚠ Duplicate (not counted)",IF(AND(I191="",D191="",E191=""),"— ignored",IF(C191="","⚠ Time",IF(D191="","⚠ Plant",IF(E191="","⚠ Quantity",IF(AND(ISNUMBER(L191),COUNTIF(L$1:L190,L191)&gt;0),"⚠ Same serial "&amp;L191,IF(AND(ISNUMBER(L191),L191&gt;MIN($L$2:$L$1001),COUNTIF($L$2:$L$1001,L191-1)=0,COUNTIF($L$2:$L$1001,L191-2)&lt;2),"⚠ Missing serial "&amp;(L191-1),IF(AND(MAX(K$1:K190)&gt;0,N(K191)-MAX(K$1:K190)&gt;180),"⚠ Gap &gt; 3h",IF(C191-I191&gt;=0.99,"next day",IF(C191-I191&gt;0.4,"12h → 24h","")))))))))))</f>
        <v/>
      </c>
      <c r="H191" s="4" t="str">
        <f t="shared" si="10"/>
        <v/>
      </c>
      <c r="I191" s="5" t="str">
        <f t="shared" si="11"/>
        <v/>
      </c>
      <c r="J191" s="6">
        <f t="shared" si="12"/>
        <v>0</v>
      </c>
      <c r="K191" s="4" t="str">
        <f t="shared" si="13"/>
        <v/>
      </c>
      <c r="L191" s="4" t="str">
        <f t="shared" si="14"/>
        <v/>
      </c>
      <c r="M191" s="4" t="b" cm="1">
        <f t="array" ref="M191">IF(H191="",FALSE,SUMPRODUCT(--(H$1:H190=H191))&gt;0)</f>
        <v>0</v>
      </c>
    </row>
    <row r="192" spans="1:13" x14ac:dyDescent="0.25">
      <c r="A192" s="9" t="str">
        <f>IF(OR(B192="",M192,G192="— ignored"),"",MAX(A$1:A191)+1)</f>
        <v/>
      </c>
      <c r="B192" s="10"/>
      <c r="C192" s="11" t="str">
        <f>IF(I192="","",ROUND((I192+0.5*MAX(0,CEILING(ROUND((MAX(C$1:C191)-1/48-I192)/0.5,6),1)))*1440,0)/1440)</f>
        <v/>
      </c>
      <c r="D192" s="9" t="str" cm="1">
        <f t="array" ref="D192">IF(H192="","",IFERROR(INDEX(Log!$C$19:$G$19,VALUE(MID(H192,FIND("#",H192)+1,1))),""))</f>
        <v/>
      </c>
      <c r="E192" s="9" t="str" cm="1">
        <f t="array" ref="E192">IF(OR(H192="",M192),"",IFERROR(_xlfn.LET(_xlpm.t,SUBSTITUTE(UPPER(H192),"م","M"),_xlpm.u,SUBSTITUTE(_xlpm.t,"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92" s="12"/>
      <c r="G192" s="13" t="str">
        <f>IF(B192="","",IF(M192,"⚠ Duplicate (not counted)",IF(AND(I192="",D192="",E192=""),"— ignored",IF(C192="","⚠ Time",IF(D192="","⚠ Plant",IF(E192="","⚠ Quantity",IF(AND(ISNUMBER(L192),COUNTIF(L$1:L191,L192)&gt;0),"⚠ Same serial "&amp;L192,IF(AND(ISNUMBER(L192),L192&gt;MIN($L$2:$L$1001),COUNTIF($L$2:$L$1001,L192-1)=0,COUNTIF($L$2:$L$1001,L192-2)&lt;2),"⚠ Missing serial "&amp;(L192-1),IF(AND(MAX(K$1:K191)&gt;0,N(K192)-MAX(K$1:K191)&gt;180),"⚠ Gap &gt; 3h",IF(C192-I192&gt;=0.99,"next day",IF(C192-I192&gt;0.4,"12h → 24h","")))))))))))</f>
        <v/>
      </c>
      <c r="H192" s="4" t="str">
        <f t="shared" si="10"/>
        <v/>
      </c>
      <c r="I192" s="5" t="str">
        <f t="shared" si="11"/>
        <v/>
      </c>
      <c r="J192" s="6">
        <f t="shared" si="12"/>
        <v>0</v>
      </c>
      <c r="K192" s="4" t="str">
        <f t="shared" si="13"/>
        <v/>
      </c>
      <c r="L192" s="4" t="str">
        <f t="shared" si="14"/>
        <v/>
      </c>
      <c r="M192" s="4" t="b" cm="1">
        <f t="array" ref="M192">IF(H192="",FALSE,SUMPRODUCT(--(H$1:H191=H192))&gt;0)</f>
        <v>0</v>
      </c>
    </row>
    <row r="193" spans="1:13" x14ac:dyDescent="0.25">
      <c r="A193" s="9" t="str">
        <f>IF(OR(B193="",M193,G193="— ignored"),"",MAX(A$1:A192)+1)</f>
        <v/>
      </c>
      <c r="B193" s="10"/>
      <c r="C193" s="11" t="str">
        <f>IF(I193="","",ROUND((I193+0.5*MAX(0,CEILING(ROUND((MAX(C$1:C192)-1/48-I193)/0.5,6),1)))*1440,0)/1440)</f>
        <v/>
      </c>
      <c r="D193" s="9" t="str" cm="1">
        <f t="array" ref="D193">IF(H193="","",IFERROR(INDEX(Log!$C$19:$G$19,VALUE(MID(H193,FIND("#",H193)+1,1))),""))</f>
        <v/>
      </c>
      <c r="E193" s="9" t="str" cm="1">
        <f t="array" ref="E193">IF(OR(H193="",M193),"",IFERROR(_xlfn.LET(_xlpm.t,SUBSTITUTE(UPPER(H193),"م","M"),_xlpm.u,SUBSTITUTE(_xlpm.t,"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93" s="12"/>
      <c r="G193" s="13" t="str">
        <f>IF(B193="","",IF(M193,"⚠ Duplicate (not counted)",IF(AND(I193="",D193="",E193=""),"— ignored",IF(C193="","⚠ Time",IF(D193="","⚠ Plant",IF(E193="","⚠ Quantity",IF(AND(ISNUMBER(L193),COUNTIF(L$1:L192,L193)&gt;0),"⚠ Same serial "&amp;L193,IF(AND(ISNUMBER(L193),L193&gt;MIN($L$2:$L$1001),COUNTIF($L$2:$L$1001,L193-1)=0,COUNTIF($L$2:$L$1001,L193-2)&lt;2),"⚠ Missing serial "&amp;(L193-1),IF(AND(MAX(K$1:K192)&gt;0,N(K193)-MAX(K$1:K192)&gt;180),"⚠ Gap &gt; 3h",IF(C193-I193&gt;=0.99,"next day",IF(C193-I193&gt;0.4,"12h → 24h","")))))))))))</f>
        <v/>
      </c>
      <c r="H193" s="4" t="str">
        <f t="shared" si="10"/>
        <v/>
      </c>
      <c r="I193" s="5" t="str">
        <f t="shared" si="11"/>
        <v/>
      </c>
      <c r="J193" s="6">
        <f t="shared" si="12"/>
        <v>0</v>
      </c>
      <c r="K193" s="4" t="str">
        <f t="shared" si="13"/>
        <v/>
      </c>
      <c r="L193" s="4" t="str">
        <f t="shared" si="14"/>
        <v/>
      </c>
      <c r="M193" s="4" t="b" cm="1">
        <f t="array" ref="M193">IF(H193="",FALSE,SUMPRODUCT(--(H$1:H192=H193))&gt;0)</f>
        <v>0</v>
      </c>
    </row>
    <row r="194" spans="1:13" x14ac:dyDescent="0.25">
      <c r="A194" s="9" t="str">
        <f>IF(OR(B194="",M194,G194="— ignored"),"",MAX(A$1:A193)+1)</f>
        <v/>
      </c>
      <c r="B194" s="10"/>
      <c r="C194" s="11" t="str">
        <f>IF(I194="","",ROUND((I194+0.5*MAX(0,CEILING(ROUND((MAX(C$1:C193)-1/48-I194)/0.5,6),1)))*1440,0)/1440)</f>
        <v/>
      </c>
      <c r="D194" s="9" t="str" cm="1">
        <f t="array" ref="D194">IF(H194="","",IFERROR(INDEX(Log!$C$19:$G$19,VALUE(MID(H194,FIND("#",H194)+1,1))),""))</f>
        <v/>
      </c>
      <c r="E194" s="9" t="str" cm="1">
        <f t="array" ref="E194">IF(OR(H194="",M194),"",IFERROR(_xlfn.LET(_xlpm.t,SUBSTITUTE(UPPER(H194),"م","M"),_xlpm.u,SUBSTITUTE(_xlpm.t,"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94" s="12"/>
      <c r="G194" s="13" t="str">
        <f>IF(B194="","",IF(M194,"⚠ Duplicate (not counted)",IF(AND(I194="",D194="",E194=""),"— ignored",IF(C194="","⚠ Time",IF(D194="","⚠ Plant",IF(E194="","⚠ Quantity",IF(AND(ISNUMBER(L194),COUNTIF(L$1:L193,L194)&gt;0),"⚠ Same serial "&amp;L194,IF(AND(ISNUMBER(L194),L194&gt;MIN($L$2:$L$1001),COUNTIF($L$2:$L$1001,L194-1)=0,COUNTIF($L$2:$L$1001,L194-2)&lt;2),"⚠ Missing serial "&amp;(L194-1),IF(AND(MAX(K$1:K193)&gt;0,N(K194)-MAX(K$1:K193)&gt;180),"⚠ Gap &gt; 3h",IF(C194-I194&gt;=0.99,"next day",IF(C194-I194&gt;0.4,"12h → 24h","")))))))))))</f>
        <v/>
      </c>
      <c r="H194" s="4" t="str">
        <f t="shared" ref="H194:H257" si="15">IF(B194="","",_xlfn.LET(_xlpm.t,TRIM(B194),IF(LEFT(_xlpm.t,1)="[",IFERROR(TRIM(MID(_xlpm.t,FIND(": ",_xlpm.t,FIND("]",_xlpm.t))+2,500)),_xlpm.t),_xlpm.t)))</f>
        <v/>
      </c>
      <c r="I194" s="5" t="str">
        <f t="shared" ref="I194:I257" si="16">IF(H194="","",IFERROR(TIMEVALUE(TRIM(SUBSTITUTE(SUBSTITUTE(MID(H194,SEARCH(":",H194)-2,5),".",""),"*",""))),""))</f>
        <v/>
      </c>
      <c r="J194" s="6">
        <f t="shared" ref="J194:J257" si="17">IF(OR(B194="",F194="",M194),0,IF(ISNUMBER(F194),F194,N(E194)))</f>
        <v>0</v>
      </c>
      <c r="K194" s="4" t="str">
        <f t="shared" ref="K194:K257" si="18">IF(OR(C194="",M194),"",ROUND(C194*1440,0))</f>
        <v/>
      </c>
      <c r="L194" s="4" t="str">
        <f t="shared" ref="L194:L257" si="19">IF(OR(H194="",AND(I194="",D194="")),"",IFERROR(_xlfn.LET(_xlpm.t,TRIM(SUBSTITUTE(SUBSTITUTE(H194,"*",""),"_","")),VALUE(SUBSTITUTE(LEFT(_xlpm.t,FIND(" ",_xlpm.t&amp;" ")-1),".",""))),""))</f>
        <v/>
      </c>
      <c r="M194" s="4" t="b" cm="1">
        <f t="array" ref="M194">IF(H194="",FALSE,SUMPRODUCT(--(H$1:H193=H194))&gt;0)</f>
        <v>0</v>
      </c>
    </row>
    <row r="195" spans="1:13" x14ac:dyDescent="0.25">
      <c r="A195" s="9" t="str">
        <f>IF(OR(B195="",M195,G195="— ignored"),"",MAX(A$1:A194)+1)</f>
        <v/>
      </c>
      <c r="B195" s="10"/>
      <c r="C195" s="11" t="str">
        <f>IF(I195="","",ROUND((I195+0.5*MAX(0,CEILING(ROUND((MAX(C$1:C194)-1/48-I195)/0.5,6),1)))*1440,0)/1440)</f>
        <v/>
      </c>
      <c r="D195" s="9" t="str" cm="1">
        <f t="array" ref="D195">IF(H195="","",IFERROR(INDEX(Log!$C$19:$G$19,VALUE(MID(H195,FIND("#",H195)+1,1))),""))</f>
        <v/>
      </c>
      <c r="E195" s="9" t="str" cm="1">
        <f t="array" ref="E195">IF(OR(H195="",M195),"",IFERROR(_xlfn.LET(_xlpm.t,SUBSTITUTE(UPPER(H195),"م","M"),_xlpm.u,SUBSTITUTE(_xlpm.t,"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95" s="12"/>
      <c r="G195" s="13" t="str">
        <f>IF(B195="","",IF(M195,"⚠ Duplicate (not counted)",IF(AND(I195="",D195="",E195=""),"— ignored",IF(C195="","⚠ Time",IF(D195="","⚠ Plant",IF(E195="","⚠ Quantity",IF(AND(ISNUMBER(L195),COUNTIF(L$1:L194,L195)&gt;0),"⚠ Same serial "&amp;L195,IF(AND(ISNUMBER(L195),L195&gt;MIN($L$2:$L$1001),COUNTIF($L$2:$L$1001,L195-1)=0,COUNTIF($L$2:$L$1001,L195-2)&lt;2),"⚠ Missing serial "&amp;(L195-1),IF(AND(MAX(K$1:K194)&gt;0,N(K195)-MAX(K$1:K194)&gt;180),"⚠ Gap &gt; 3h",IF(C195-I195&gt;=0.99,"next day",IF(C195-I195&gt;0.4,"12h → 24h","")))))))))))</f>
        <v/>
      </c>
      <c r="H195" s="4" t="str">
        <f t="shared" si="15"/>
        <v/>
      </c>
      <c r="I195" s="5" t="str">
        <f t="shared" si="16"/>
        <v/>
      </c>
      <c r="J195" s="6">
        <f t="shared" si="17"/>
        <v>0</v>
      </c>
      <c r="K195" s="4" t="str">
        <f t="shared" si="18"/>
        <v/>
      </c>
      <c r="L195" s="4" t="str">
        <f t="shared" si="19"/>
        <v/>
      </c>
      <c r="M195" s="4" t="b" cm="1">
        <f t="array" ref="M195">IF(H195="",FALSE,SUMPRODUCT(--(H$1:H194=H195))&gt;0)</f>
        <v>0</v>
      </c>
    </row>
    <row r="196" spans="1:13" x14ac:dyDescent="0.25">
      <c r="A196" s="9" t="str">
        <f>IF(OR(B196="",M196,G196="— ignored"),"",MAX(A$1:A195)+1)</f>
        <v/>
      </c>
      <c r="B196" s="10"/>
      <c r="C196" s="11" t="str">
        <f>IF(I196="","",ROUND((I196+0.5*MAX(0,CEILING(ROUND((MAX(C$1:C195)-1/48-I196)/0.5,6),1)))*1440,0)/1440)</f>
        <v/>
      </c>
      <c r="D196" s="9" t="str" cm="1">
        <f t="array" ref="D196">IF(H196="","",IFERROR(INDEX(Log!$C$19:$G$19,VALUE(MID(H196,FIND("#",H196)+1,1))),""))</f>
        <v/>
      </c>
      <c r="E196" s="9" t="str" cm="1">
        <f t="array" ref="E196">IF(OR(H196="",M196),"",IFERROR(_xlfn.LET(_xlpm.t,SUBSTITUTE(UPPER(H196),"م","M"),_xlpm.u,SUBSTITUTE(_xlpm.t,"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96" s="12"/>
      <c r="G196" s="13" t="str">
        <f>IF(B196="","",IF(M196,"⚠ Duplicate (not counted)",IF(AND(I196="",D196="",E196=""),"— ignored",IF(C196="","⚠ Time",IF(D196="","⚠ Plant",IF(E196="","⚠ Quantity",IF(AND(ISNUMBER(L196),COUNTIF(L$1:L195,L196)&gt;0),"⚠ Same serial "&amp;L196,IF(AND(ISNUMBER(L196),L196&gt;MIN($L$2:$L$1001),COUNTIF($L$2:$L$1001,L196-1)=0,COUNTIF($L$2:$L$1001,L196-2)&lt;2),"⚠ Missing serial "&amp;(L196-1),IF(AND(MAX(K$1:K195)&gt;0,N(K196)-MAX(K$1:K195)&gt;180),"⚠ Gap &gt; 3h",IF(C196-I196&gt;=0.99,"next day",IF(C196-I196&gt;0.4,"12h → 24h","")))))))))))</f>
        <v/>
      </c>
      <c r="H196" s="4" t="str">
        <f t="shared" si="15"/>
        <v/>
      </c>
      <c r="I196" s="5" t="str">
        <f t="shared" si="16"/>
        <v/>
      </c>
      <c r="J196" s="6">
        <f t="shared" si="17"/>
        <v>0</v>
      </c>
      <c r="K196" s="4" t="str">
        <f t="shared" si="18"/>
        <v/>
      </c>
      <c r="L196" s="4" t="str">
        <f t="shared" si="19"/>
        <v/>
      </c>
      <c r="M196" s="4" t="b" cm="1">
        <f t="array" ref="M196">IF(H196="",FALSE,SUMPRODUCT(--(H$1:H195=H196))&gt;0)</f>
        <v>0</v>
      </c>
    </row>
    <row r="197" spans="1:13" x14ac:dyDescent="0.25">
      <c r="A197" s="9" t="str">
        <f>IF(OR(B197="",M197,G197="— ignored"),"",MAX(A$1:A196)+1)</f>
        <v/>
      </c>
      <c r="B197" s="10"/>
      <c r="C197" s="11" t="str">
        <f>IF(I197="","",ROUND((I197+0.5*MAX(0,CEILING(ROUND((MAX(C$1:C196)-1/48-I197)/0.5,6),1)))*1440,0)/1440)</f>
        <v/>
      </c>
      <c r="D197" s="9" t="str" cm="1">
        <f t="array" ref="D197">IF(H197="","",IFERROR(INDEX(Log!$C$19:$G$19,VALUE(MID(H197,FIND("#",H197)+1,1))),""))</f>
        <v/>
      </c>
      <c r="E197" s="9" t="str" cm="1">
        <f t="array" ref="E197">IF(OR(H197="",M197),"",IFERROR(_xlfn.LET(_xlpm.t,SUBSTITUTE(UPPER(H197),"م","M"),_xlpm.u,SUBSTITUTE(_xlpm.t,"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97" s="12"/>
      <c r="G197" s="13" t="str">
        <f>IF(B197="","",IF(M197,"⚠ Duplicate (not counted)",IF(AND(I197="",D197="",E197=""),"— ignored",IF(C197="","⚠ Time",IF(D197="","⚠ Plant",IF(E197="","⚠ Quantity",IF(AND(ISNUMBER(L197),COUNTIF(L$1:L196,L197)&gt;0),"⚠ Same serial "&amp;L197,IF(AND(ISNUMBER(L197),L197&gt;MIN($L$2:$L$1001),COUNTIF($L$2:$L$1001,L197-1)=0,COUNTIF($L$2:$L$1001,L197-2)&lt;2),"⚠ Missing serial "&amp;(L197-1),IF(AND(MAX(K$1:K196)&gt;0,N(K197)-MAX(K$1:K196)&gt;180),"⚠ Gap &gt; 3h",IF(C197-I197&gt;=0.99,"next day",IF(C197-I197&gt;0.4,"12h → 24h","")))))))))))</f>
        <v/>
      </c>
      <c r="H197" s="4" t="str">
        <f t="shared" si="15"/>
        <v/>
      </c>
      <c r="I197" s="5" t="str">
        <f t="shared" si="16"/>
        <v/>
      </c>
      <c r="J197" s="6">
        <f t="shared" si="17"/>
        <v>0</v>
      </c>
      <c r="K197" s="4" t="str">
        <f t="shared" si="18"/>
        <v/>
      </c>
      <c r="L197" s="4" t="str">
        <f t="shared" si="19"/>
        <v/>
      </c>
      <c r="M197" s="4" t="b" cm="1">
        <f t="array" ref="M197">IF(H197="",FALSE,SUMPRODUCT(--(H$1:H196=H197))&gt;0)</f>
        <v>0</v>
      </c>
    </row>
    <row r="198" spans="1:13" x14ac:dyDescent="0.25">
      <c r="A198" s="9" t="str">
        <f>IF(OR(B198="",M198,G198="— ignored"),"",MAX(A$1:A197)+1)</f>
        <v/>
      </c>
      <c r="B198" s="10"/>
      <c r="C198" s="11" t="str">
        <f>IF(I198="","",ROUND((I198+0.5*MAX(0,CEILING(ROUND((MAX(C$1:C197)-1/48-I198)/0.5,6),1)))*1440,0)/1440)</f>
        <v/>
      </c>
      <c r="D198" s="9" t="str" cm="1">
        <f t="array" ref="D198">IF(H198="","",IFERROR(INDEX(Log!$C$19:$G$19,VALUE(MID(H198,FIND("#",H198)+1,1))),""))</f>
        <v/>
      </c>
      <c r="E198" s="9" t="str" cm="1">
        <f t="array" ref="E198">IF(OR(H198="",M198),"",IFERROR(_xlfn.LET(_xlpm.t,SUBSTITUTE(UPPER(H198),"م","M"),_xlpm.u,SUBSTITUTE(_xlpm.t,"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98" s="12"/>
      <c r="G198" s="13" t="str">
        <f>IF(B198="","",IF(M198,"⚠ Duplicate (not counted)",IF(AND(I198="",D198="",E198=""),"— ignored",IF(C198="","⚠ Time",IF(D198="","⚠ Plant",IF(E198="","⚠ Quantity",IF(AND(ISNUMBER(L198),COUNTIF(L$1:L197,L198)&gt;0),"⚠ Same serial "&amp;L198,IF(AND(ISNUMBER(L198),L198&gt;MIN($L$2:$L$1001),COUNTIF($L$2:$L$1001,L198-1)=0,COUNTIF($L$2:$L$1001,L198-2)&lt;2),"⚠ Missing serial "&amp;(L198-1),IF(AND(MAX(K$1:K197)&gt;0,N(K198)-MAX(K$1:K197)&gt;180),"⚠ Gap &gt; 3h",IF(C198-I198&gt;=0.99,"next day",IF(C198-I198&gt;0.4,"12h → 24h","")))))))))))</f>
        <v/>
      </c>
      <c r="H198" s="4" t="str">
        <f t="shared" si="15"/>
        <v/>
      </c>
      <c r="I198" s="5" t="str">
        <f t="shared" si="16"/>
        <v/>
      </c>
      <c r="J198" s="6">
        <f t="shared" si="17"/>
        <v>0</v>
      </c>
      <c r="K198" s="4" t="str">
        <f t="shared" si="18"/>
        <v/>
      </c>
      <c r="L198" s="4" t="str">
        <f t="shared" si="19"/>
        <v/>
      </c>
      <c r="M198" s="4" t="b" cm="1">
        <f t="array" ref="M198">IF(H198="",FALSE,SUMPRODUCT(--(H$1:H197=H198))&gt;0)</f>
        <v>0</v>
      </c>
    </row>
    <row r="199" spans="1:13" x14ac:dyDescent="0.25">
      <c r="A199" s="9" t="str">
        <f>IF(OR(B199="",M199,G199="— ignored"),"",MAX(A$1:A198)+1)</f>
        <v/>
      </c>
      <c r="B199" s="10"/>
      <c r="C199" s="11" t="str">
        <f>IF(I199="","",ROUND((I199+0.5*MAX(0,CEILING(ROUND((MAX(C$1:C198)-1/48-I199)/0.5,6),1)))*1440,0)/1440)</f>
        <v/>
      </c>
      <c r="D199" s="9" t="str" cm="1">
        <f t="array" ref="D199">IF(H199="","",IFERROR(INDEX(Log!$C$19:$G$19,VALUE(MID(H199,FIND("#",H199)+1,1))),""))</f>
        <v/>
      </c>
      <c r="E199" s="9" t="str" cm="1">
        <f t="array" ref="E199">IF(OR(H199="",M199),"",IFERROR(_xlfn.LET(_xlpm.t,SUBSTITUTE(UPPER(H199),"م","M"),_xlpm.u,SUBSTITUTE(_xlpm.t,"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199" s="12"/>
      <c r="G199" s="13" t="str">
        <f>IF(B199="","",IF(M199,"⚠ Duplicate (not counted)",IF(AND(I199="",D199="",E199=""),"— ignored",IF(C199="","⚠ Time",IF(D199="","⚠ Plant",IF(E199="","⚠ Quantity",IF(AND(ISNUMBER(L199),COUNTIF(L$1:L198,L199)&gt;0),"⚠ Same serial "&amp;L199,IF(AND(ISNUMBER(L199),L199&gt;MIN($L$2:$L$1001),COUNTIF($L$2:$L$1001,L199-1)=0,COUNTIF($L$2:$L$1001,L199-2)&lt;2),"⚠ Missing serial "&amp;(L199-1),IF(AND(MAX(K$1:K198)&gt;0,N(K199)-MAX(K$1:K198)&gt;180),"⚠ Gap &gt; 3h",IF(C199-I199&gt;=0.99,"next day",IF(C199-I199&gt;0.4,"12h → 24h","")))))))))))</f>
        <v/>
      </c>
      <c r="H199" s="4" t="str">
        <f t="shared" si="15"/>
        <v/>
      </c>
      <c r="I199" s="5" t="str">
        <f t="shared" si="16"/>
        <v/>
      </c>
      <c r="J199" s="6">
        <f t="shared" si="17"/>
        <v>0</v>
      </c>
      <c r="K199" s="4" t="str">
        <f t="shared" si="18"/>
        <v/>
      </c>
      <c r="L199" s="4" t="str">
        <f t="shared" si="19"/>
        <v/>
      </c>
      <c r="M199" s="4" t="b" cm="1">
        <f t="array" ref="M199">IF(H199="",FALSE,SUMPRODUCT(--(H$1:H198=H199))&gt;0)</f>
        <v>0</v>
      </c>
    </row>
    <row r="200" spans="1:13" x14ac:dyDescent="0.25">
      <c r="A200" s="9" t="str">
        <f>IF(OR(B200="",M200,G200="— ignored"),"",MAX(A$1:A199)+1)</f>
        <v/>
      </c>
      <c r="B200" s="10"/>
      <c r="C200" s="11" t="str">
        <f>IF(I200="","",ROUND((I200+0.5*MAX(0,CEILING(ROUND((MAX(C$1:C199)-1/48-I200)/0.5,6),1)))*1440,0)/1440)</f>
        <v/>
      </c>
      <c r="D200" s="9" t="str" cm="1">
        <f t="array" ref="D200">IF(H200="","",IFERROR(INDEX(Log!$C$19:$G$19,VALUE(MID(H200,FIND("#",H200)+1,1))),""))</f>
        <v/>
      </c>
      <c r="E200" s="9" t="str" cm="1">
        <f t="array" ref="E200">IF(OR(H200="",M200),"",IFERROR(_xlfn.LET(_xlpm.t,SUBSTITUTE(UPPER(H200),"م","M"),_xlpm.u,SUBSTITUTE(_xlpm.t,"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00" s="12"/>
      <c r="G200" s="13" t="str">
        <f>IF(B200="","",IF(M200,"⚠ Duplicate (not counted)",IF(AND(I200="",D200="",E200=""),"— ignored",IF(C200="","⚠ Time",IF(D200="","⚠ Plant",IF(E200="","⚠ Quantity",IF(AND(ISNUMBER(L200),COUNTIF(L$1:L199,L200)&gt;0),"⚠ Same serial "&amp;L200,IF(AND(ISNUMBER(L200),L200&gt;MIN($L$2:$L$1001),COUNTIF($L$2:$L$1001,L200-1)=0,COUNTIF($L$2:$L$1001,L200-2)&lt;2),"⚠ Missing serial "&amp;(L200-1),IF(AND(MAX(K$1:K199)&gt;0,N(K200)-MAX(K$1:K199)&gt;180),"⚠ Gap &gt; 3h",IF(C200-I200&gt;=0.99,"next day",IF(C200-I200&gt;0.4,"12h → 24h","")))))))))))</f>
        <v/>
      </c>
      <c r="H200" s="4" t="str">
        <f t="shared" si="15"/>
        <v/>
      </c>
      <c r="I200" s="5" t="str">
        <f t="shared" si="16"/>
        <v/>
      </c>
      <c r="J200" s="6">
        <f t="shared" si="17"/>
        <v>0</v>
      </c>
      <c r="K200" s="4" t="str">
        <f t="shared" si="18"/>
        <v/>
      </c>
      <c r="L200" s="4" t="str">
        <f t="shared" si="19"/>
        <v/>
      </c>
      <c r="M200" s="4" t="b" cm="1">
        <f t="array" ref="M200">IF(H200="",FALSE,SUMPRODUCT(--(H$1:H199=H200))&gt;0)</f>
        <v>0</v>
      </c>
    </row>
    <row r="201" spans="1:13" x14ac:dyDescent="0.25">
      <c r="A201" s="9" t="str">
        <f>IF(OR(B201="",M201,G201="— ignored"),"",MAX(A$1:A200)+1)</f>
        <v/>
      </c>
      <c r="B201" s="10"/>
      <c r="C201" s="11" t="str">
        <f>IF(I201="","",ROUND((I201+0.5*MAX(0,CEILING(ROUND((MAX(C$1:C200)-1/48-I201)/0.5,6),1)))*1440,0)/1440)</f>
        <v/>
      </c>
      <c r="D201" s="9" t="str" cm="1">
        <f t="array" ref="D201">IF(H201="","",IFERROR(INDEX(Log!$C$19:$G$19,VALUE(MID(H201,FIND("#",H201)+1,1))),""))</f>
        <v/>
      </c>
      <c r="E201" s="9" t="str" cm="1">
        <f t="array" ref="E201">IF(OR(H201="",M201),"",IFERROR(_xlfn.LET(_xlpm.t,SUBSTITUTE(UPPER(H201),"م","M"),_xlpm.u,SUBSTITUTE(_xlpm.t,"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01" s="12"/>
      <c r="G201" s="13" t="str">
        <f>IF(B201="","",IF(M201,"⚠ Duplicate (not counted)",IF(AND(I201="",D201="",E201=""),"— ignored",IF(C201="","⚠ Time",IF(D201="","⚠ Plant",IF(E201="","⚠ Quantity",IF(AND(ISNUMBER(L201),COUNTIF(L$1:L200,L201)&gt;0),"⚠ Same serial "&amp;L201,IF(AND(ISNUMBER(L201),L201&gt;MIN($L$2:$L$1001),COUNTIF($L$2:$L$1001,L201-1)=0,COUNTIF($L$2:$L$1001,L201-2)&lt;2),"⚠ Missing serial "&amp;(L201-1),IF(AND(MAX(K$1:K200)&gt;0,N(K201)-MAX(K$1:K200)&gt;180),"⚠ Gap &gt; 3h",IF(C201-I201&gt;=0.99,"next day",IF(C201-I201&gt;0.4,"12h → 24h","")))))))))))</f>
        <v/>
      </c>
      <c r="H201" s="4" t="str">
        <f t="shared" si="15"/>
        <v/>
      </c>
      <c r="I201" s="5" t="str">
        <f t="shared" si="16"/>
        <v/>
      </c>
      <c r="J201" s="6">
        <f t="shared" si="17"/>
        <v>0</v>
      </c>
      <c r="K201" s="4" t="str">
        <f t="shared" si="18"/>
        <v/>
      </c>
      <c r="L201" s="4" t="str">
        <f t="shared" si="19"/>
        <v/>
      </c>
      <c r="M201" s="4" t="b" cm="1">
        <f t="array" ref="M201">IF(H201="",FALSE,SUMPRODUCT(--(H$1:H200=H201))&gt;0)</f>
        <v>0</v>
      </c>
    </row>
    <row r="202" spans="1:13" x14ac:dyDescent="0.25">
      <c r="A202" s="9" t="str">
        <f>IF(OR(B202="",M202,G202="— ignored"),"",MAX(A$1:A201)+1)</f>
        <v/>
      </c>
      <c r="B202" s="10"/>
      <c r="C202" s="11" t="str">
        <f>IF(I202="","",ROUND((I202+0.5*MAX(0,CEILING(ROUND((MAX(C$1:C201)-1/48-I202)/0.5,6),1)))*1440,0)/1440)</f>
        <v/>
      </c>
      <c r="D202" s="9" t="str" cm="1">
        <f t="array" ref="D202">IF(H202="","",IFERROR(INDEX(Log!$C$19:$G$19,VALUE(MID(H202,FIND("#",H202)+1,1))),""))</f>
        <v/>
      </c>
      <c r="E202" s="9" t="str" cm="1">
        <f t="array" ref="E202">IF(OR(H202="",M202),"",IFERROR(_xlfn.LET(_xlpm.t,SUBSTITUTE(UPPER(H202),"م","M"),_xlpm.u,SUBSTITUTE(_xlpm.t,"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02" s="12"/>
      <c r="G202" s="13" t="str">
        <f>IF(B202="","",IF(M202,"⚠ Duplicate (not counted)",IF(AND(I202="",D202="",E202=""),"— ignored",IF(C202="","⚠ Time",IF(D202="","⚠ Plant",IF(E202="","⚠ Quantity",IF(AND(ISNUMBER(L202),COUNTIF(L$1:L201,L202)&gt;0),"⚠ Same serial "&amp;L202,IF(AND(ISNUMBER(L202),L202&gt;MIN($L$2:$L$1001),COUNTIF($L$2:$L$1001,L202-1)=0,COUNTIF($L$2:$L$1001,L202-2)&lt;2),"⚠ Missing serial "&amp;(L202-1),IF(AND(MAX(K$1:K201)&gt;0,N(K202)-MAX(K$1:K201)&gt;180),"⚠ Gap &gt; 3h",IF(C202-I202&gt;=0.99,"next day",IF(C202-I202&gt;0.4,"12h → 24h","")))))))))))</f>
        <v/>
      </c>
      <c r="H202" s="4" t="str">
        <f t="shared" si="15"/>
        <v/>
      </c>
      <c r="I202" s="5" t="str">
        <f t="shared" si="16"/>
        <v/>
      </c>
      <c r="J202" s="6">
        <f t="shared" si="17"/>
        <v>0</v>
      </c>
      <c r="K202" s="4" t="str">
        <f t="shared" si="18"/>
        <v/>
      </c>
      <c r="L202" s="4" t="str">
        <f t="shared" si="19"/>
        <v/>
      </c>
      <c r="M202" s="4" t="b" cm="1">
        <f t="array" ref="M202">IF(H202="",FALSE,SUMPRODUCT(--(H$1:H201=H202))&gt;0)</f>
        <v>0</v>
      </c>
    </row>
    <row r="203" spans="1:13" x14ac:dyDescent="0.25">
      <c r="A203" s="9" t="str">
        <f>IF(OR(B203="",M203,G203="— ignored"),"",MAX(A$1:A202)+1)</f>
        <v/>
      </c>
      <c r="B203" s="10"/>
      <c r="C203" s="11" t="str">
        <f>IF(I203="","",ROUND((I203+0.5*MAX(0,CEILING(ROUND((MAX(C$1:C202)-1/48-I203)/0.5,6),1)))*1440,0)/1440)</f>
        <v/>
      </c>
      <c r="D203" s="9" t="str" cm="1">
        <f t="array" ref="D203">IF(H203="","",IFERROR(INDEX(Log!$C$19:$G$19,VALUE(MID(H203,FIND("#",H203)+1,1))),""))</f>
        <v/>
      </c>
      <c r="E203" s="9" t="str" cm="1">
        <f t="array" ref="E203">IF(OR(H203="",M203),"",IFERROR(_xlfn.LET(_xlpm.t,SUBSTITUTE(UPPER(H203),"م","M"),_xlpm.u,SUBSTITUTE(_xlpm.t,"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03" s="12"/>
      <c r="G203" s="13" t="str">
        <f>IF(B203="","",IF(M203,"⚠ Duplicate (not counted)",IF(AND(I203="",D203="",E203=""),"— ignored",IF(C203="","⚠ Time",IF(D203="","⚠ Plant",IF(E203="","⚠ Quantity",IF(AND(ISNUMBER(L203),COUNTIF(L$1:L202,L203)&gt;0),"⚠ Same serial "&amp;L203,IF(AND(ISNUMBER(L203),L203&gt;MIN($L$2:$L$1001),COUNTIF($L$2:$L$1001,L203-1)=0,COUNTIF($L$2:$L$1001,L203-2)&lt;2),"⚠ Missing serial "&amp;(L203-1),IF(AND(MAX(K$1:K202)&gt;0,N(K203)-MAX(K$1:K202)&gt;180),"⚠ Gap &gt; 3h",IF(C203-I203&gt;=0.99,"next day",IF(C203-I203&gt;0.4,"12h → 24h","")))))))))))</f>
        <v/>
      </c>
      <c r="H203" s="4" t="str">
        <f t="shared" si="15"/>
        <v/>
      </c>
      <c r="I203" s="5" t="str">
        <f t="shared" si="16"/>
        <v/>
      </c>
      <c r="J203" s="6">
        <f t="shared" si="17"/>
        <v>0</v>
      </c>
      <c r="K203" s="4" t="str">
        <f t="shared" si="18"/>
        <v/>
      </c>
      <c r="L203" s="4" t="str">
        <f t="shared" si="19"/>
        <v/>
      </c>
      <c r="M203" s="4" t="b" cm="1">
        <f t="array" ref="M203">IF(H203="",FALSE,SUMPRODUCT(--(H$1:H202=H203))&gt;0)</f>
        <v>0</v>
      </c>
    </row>
    <row r="204" spans="1:13" x14ac:dyDescent="0.25">
      <c r="A204" s="9" t="str">
        <f>IF(OR(B204="",M204,G204="— ignored"),"",MAX(A$1:A203)+1)</f>
        <v/>
      </c>
      <c r="B204" s="10"/>
      <c r="C204" s="11" t="str">
        <f>IF(I204="","",ROUND((I204+0.5*MAX(0,CEILING(ROUND((MAX(C$1:C203)-1/48-I204)/0.5,6),1)))*1440,0)/1440)</f>
        <v/>
      </c>
      <c r="D204" s="9" t="str" cm="1">
        <f t="array" ref="D204">IF(H204="","",IFERROR(INDEX(Log!$C$19:$G$19,VALUE(MID(H204,FIND("#",H204)+1,1))),""))</f>
        <v/>
      </c>
      <c r="E204" s="9" t="str" cm="1">
        <f t="array" ref="E204">IF(OR(H204="",M204),"",IFERROR(_xlfn.LET(_xlpm.t,SUBSTITUTE(UPPER(H204),"م","M"),_xlpm.u,SUBSTITUTE(_xlpm.t,"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04" s="12"/>
      <c r="G204" s="13" t="str">
        <f>IF(B204="","",IF(M204,"⚠ Duplicate (not counted)",IF(AND(I204="",D204="",E204=""),"— ignored",IF(C204="","⚠ Time",IF(D204="","⚠ Plant",IF(E204="","⚠ Quantity",IF(AND(ISNUMBER(L204),COUNTIF(L$1:L203,L204)&gt;0),"⚠ Same serial "&amp;L204,IF(AND(ISNUMBER(L204),L204&gt;MIN($L$2:$L$1001),COUNTIF($L$2:$L$1001,L204-1)=0,COUNTIF($L$2:$L$1001,L204-2)&lt;2),"⚠ Missing serial "&amp;(L204-1),IF(AND(MAX(K$1:K203)&gt;0,N(K204)-MAX(K$1:K203)&gt;180),"⚠ Gap &gt; 3h",IF(C204-I204&gt;=0.99,"next day",IF(C204-I204&gt;0.4,"12h → 24h","")))))))))))</f>
        <v/>
      </c>
      <c r="H204" s="4" t="str">
        <f t="shared" si="15"/>
        <v/>
      </c>
      <c r="I204" s="5" t="str">
        <f t="shared" si="16"/>
        <v/>
      </c>
      <c r="J204" s="6">
        <f t="shared" si="17"/>
        <v>0</v>
      </c>
      <c r="K204" s="4" t="str">
        <f t="shared" si="18"/>
        <v/>
      </c>
      <c r="L204" s="4" t="str">
        <f t="shared" si="19"/>
        <v/>
      </c>
      <c r="M204" s="4" t="b" cm="1">
        <f t="array" ref="M204">IF(H204="",FALSE,SUMPRODUCT(--(H$1:H203=H204))&gt;0)</f>
        <v>0</v>
      </c>
    </row>
    <row r="205" spans="1:13" x14ac:dyDescent="0.25">
      <c r="A205" s="9" t="str">
        <f>IF(OR(B205="",M205,G205="— ignored"),"",MAX(A$1:A204)+1)</f>
        <v/>
      </c>
      <c r="B205" s="10"/>
      <c r="C205" s="11" t="str">
        <f>IF(I205="","",ROUND((I205+0.5*MAX(0,CEILING(ROUND((MAX(C$1:C204)-1/48-I205)/0.5,6),1)))*1440,0)/1440)</f>
        <v/>
      </c>
      <c r="D205" s="9" t="str" cm="1">
        <f t="array" ref="D205">IF(H205="","",IFERROR(INDEX(Log!$C$19:$G$19,VALUE(MID(H205,FIND("#",H205)+1,1))),""))</f>
        <v/>
      </c>
      <c r="E205" s="9" t="str" cm="1">
        <f t="array" ref="E205">IF(OR(H205="",M205),"",IFERROR(_xlfn.LET(_xlpm.t,SUBSTITUTE(UPPER(H205),"م","M"),_xlpm.u,SUBSTITUTE(_xlpm.t,"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05" s="12"/>
      <c r="G205" s="13" t="str">
        <f>IF(B205="","",IF(M205,"⚠ Duplicate (not counted)",IF(AND(I205="",D205="",E205=""),"— ignored",IF(C205="","⚠ Time",IF(D205="","⚠ Plant",IF(E205="","⚠ Quantity",IF(AND(ISNUMBER(L205),COUNTIF(L$1:L204,L205)&gt;0),"⚠ Same serial "&amp;L205,IF(AND(ISNUMBER(L205),L205&gt;MIN($L$2:$L$1001),COUNTIF($L$2:$L$1001,L205-1)=0,COUNTIF($L$2:$L$1001,L205-2)&lt;2),"⚠ Missing serial "&amp;(L205-1),IF(AND(MAX(K$1:K204)&gt;0,N(K205)-MAX(K$1:K204)&gt;180),"⚠ Gap &gt; 3h",IF(C205-I205&gt;=0.99,"next day",IF(C205-I205&gt;0.4,"12h → 24h","")))))))))))</f>
        <v/>
      </c>
      <c r="H205" s="4" t="str">
        <f t="shared" si="15"/>
        <v/>
      </c>
      <c r="I205" s="5" t="str">
        <f t="shared" si="16"/>
        <v/>
      </c>
      <c r="J205" s="6">
        <f t="shared" si="17"/>
        <v>0</v>
      </c>
      <c r="K205" s="4" t="str">
        <f t="shared" si="18"/>
        <v/>
      </c>
      <c r="L205" s="4" t="str">
        <f t="shared" si="19"/>
        <v/>
      </c>
      <c r="M205" s="4" t="b" cm="1">
        <f t="array" ref="M205">IF(H205="",FALSE,SUMPRODUCT(--(H$1:H204=H205))&gt;0)</f>
        <v>0</v>
      </c>
    </row>
    <row r="206" spans="1:13" x14ac:dyDescent="0.25">
      <c r="A206" s="9" t="str">
        <f>IF(OR(B206="",M206,G206="— ignored"),"",MAX(A$1:A205)+1)</f>
        <v/>
      </c>
      <c r="B206" s="10"/>
      <c r="C206" s="11" t="str">
        <f>IF(I206="","",ROUND((I206+0.5*MAX(0,CEILING(ROUND((MAX(C$1:C205)-1/48-I206)/0.5,6),1)))*1440,0)/1440)</f>
        <v/>
      </c>
      <c r="D206" s="9" t="str" cm="1">
        <f t="array" ref="D206">IF(H206="","",IFERROR(INDEX(Log!$C$19:$G$19,VALUE(MID(H206,FIND("#",H206)+1,1))),""))</f>
        <v/>
      </c>
      <c r="E206" s="9" t="str" cm="1">
        <f t="array" ref="E206">IF(OR(H206="",M206),"",IFERROR(_xlfn.LET(_xlpm.t,SUBSTITUTE(UPPER(H206),"م","M"),_xlpm.u,SUBSTITUTE(_xlpm.t,"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06" s="12"/>
      <c r="G206" s="13" t="str">
        <f>IF(B206="","",IF(M206,"⚠ Duplicate (not counted)",IF(AND(I206="",D206="",E206=""),"— ignored",IF(C206="","⚠ Time",IF(D206="","⚠ Plant",IF(E206="","⚠ Quantity",IF(AND(ISNUMBER(L206),COUNTIF(L$1:L205,L206)&gt;0),"⚠ Same serial "&amp;L206,IF(AND(ISNUMBER(L206),L206&gt;MIN($L$2:$L$1001),COUNTIF($L$2:$L$1001,L206-1)=0,COUNTIF($L$2:$L$1001,L206-2)&lt;2),"⚠ Missing serial "&amp;(L206-1),IF(AND(MAX(K$1:K205)&gt;0,N(K206)-MAX(K$1:K205)&gt;180),"⚠ Gap &gt; 3h",IF(C206-I206&gt;=0.99,"next day",IF(C206-I206&gt;0.4,"12h → 24h","")))))))))))</f>
        <v/>
      </c>
      <c r="H206" s="4" t="str">
        <f t="shared" si="15"/>
        <v/>
      </c>
      <c r="I206" s="5" t="str">
        <f t="shared" si="16"/>
        <v/>
      </c>
      <c r="J206" s="6">
        <f t="shared" si="17"/>
        <v>0</v>
      </c>
      <c r="K206" s="4" t="str">
        <f t="shared" si="18"/>
        <v/>
      </c>
      <c r="L206" s="4" t="str">
        <f t="shared" si="19"/>
        <v/>
      </c>
      <c r="M206" s="4" t="b" cm="1">
        <f t="array" ref="M206">IF(H206="",FALSE,SUMPRODUCT(--(H$1:H205=H206))&gt;0)</f>
        <v>0</v>
      </c>
    </row>
    <row r="207" spans="1:13" x14ac:dyDescent="0.25">
      <c r="A207" s="9" t="str">
        <f>IF(OR(B207="",M207,G207="— ignored"),"",MAX(A$1:A206)+1)</f>
        <v/>
      </c>
      <c r="B207" s="10"/>
      <c r="C207" s="11" t="str">
        <f>IF(I207="","",ROUND((I207+0.5*MAX(0,CEILING(ROUND((MAX(C$1:C206)-1/48-I207)/0.5,6),1)))*1440,0)/1440)</f>
        <v/>
      </c>
      <c r="D207" s="9" t="str" cm="1">
        <f t="array" ref="D207">IF(H207="","",IFERROR(INDEX(Log!$C$19:$G$19,VALUE(MID(H207,FIND("#",H207)+1,1))),""))</f>
        <v/>
      </c>
      <c r="E207" s="9" t="str" cm="1">
        <f t="array" ref="E207">IF(OR(H207="",M207),"",IFERROR(_xlfn.LET(_xlpm.t,SUBSTITUTE(UPPER(H207),"م","M"),_xlpm.u,SUBSTITUTE(_xlpm.t,"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07" s="12"/>
      <c r="G207" s="13" t="str">
        <f>IF(B207="","",IF(M207,"⚠ Duplicate (not counted)",IF(AND(I207="",D207="",E207=""),"— ignored",IF(C207="","⚠ Time",IF(D207="","⚠ Plant",IF(E207="","⚠ Quantity",IF(AND(ISNUMBER(L207),COUNTIF(L$1:L206,L207)&gt;0),"⚠ Same serial "&amp;L207,IF(AND(ISNUMBER(L207),L207&gt;MIN($L$2:$L$1001),COUNTIF($L$2:$L$1001,L207-1)=0,COUNTIF($L$2:$L$1001,L207-2)&lt;2),"⚠ Missing serial "&amp;(L207-1),IF(AND(MAX(K$1:K206)&gt;0,N(K207)-MAX(K$1:K206)&gt;180),"⚠ Gap &gt; 3h",IF(C207-I207&gt;=0.99,"next day",IF(C207-I207&gt;0.4,"12h → 24h","")))))))))))</f>
        <v/>
      </c>
      <c r="H207" s="4" t="str">
        <f t="shared" si="15"/>
        <v/>
      </c>
      <c r="I207" s="5" t="str">
        <f t="shared" si="16"/>
        <v/>
      </c>
      <c r="J207" s="6">
        <f t="shared" si="17"/>
        <v>0</v>
      </c>
      <c r="K207" s="4" t="str">
        <f t="shared" si="18"/>
        <v/>
      </c>
      <c r="L207" s="4" t="str">
        <f t="shared" si="19"/>
        <v/>
      </c>
      <c r="M207" s="4" t="b" cm="1">
        <f t="array" ref="M207">IF(H207="",FALSE,SUMPRODUCT(--(H$1:H206=H207))&gt;0)</f>
        <v>0</v>
      </c>
    </row>
    <row r="208" spans="1:13" x14ac:dyDescent="0.25">
      <c r="A208" s="9" t="str">
        <f>IF(OR(B208="",M208,G208="— ignored"),"",MAX(A$1:A207)+1)</f>
        <v/>
      </c>
      <c r="B208" s="10"/>
      <c r="C208" s="11" t="str">
        <f>IF(I208="","",ROUND((I208+0.5*MAX(0,CEILING(ROUND((MAX(C$1:C207)-1/48-I208)/0.5,6),1)))*1440,0)/1440)</f>
        <v/>
      </c>
      <c r="D208" s="9" t="str" cm="1">
        <f t="array" ref="D208">IF(H208="","",IFERROR(INDEX(Log!$C$19:$G$19,VALUE(MID(H208,FIND("#",H208)+1,1))),""))</f>
        <v/>
      </c>
      <c r="E208" s="9" t="str" cm="1">
        <f t="array" ref="E208">IF(OR(H208="",M208),"",IFERROR(_xlfn.LET(_xlpm.t,SUBSTITUTE(UPPER(H208),"م","M"),_xlpm.u,SUBSTITUTE(_xlpm.t,"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08" s="12"/>
      <c r="G208" s="13" t="str">
        <f>IF(B208="","",IF(M208,"⚠ Duplicate (not counted)",IF(AND(I208="",D208="",E208=""),"— ignored",IF(C208="","⚠ Time",IF(D208="","⚠ Plant",IF(E208="","⚠ Quantity",IF(AND(ISNUMBER(L208),COUNTIF(L$1:L207,L208)&gt;0),"⚠ Same serial "&amp;L208,IF(AND(ISNUMBER(L208),L208&gt;MIN($L$2:$L$1001),COUNTIF($L$2:$L$1001,L208-1)=0,COUNTIF($L$2:$L$1001,L208-2)&lt;2),"⚠ Missing serial "&amp;(L208-1),IF(AND(MAX(K$1:K207)&gt;0,N(K208)-MAX(K$1:K207)&gt;180),"⚠ Gap &gt; 3h",IF(C208-I208&gt;=0.99,"next day",IF(C208-I208&gt;0.4,"12h → 24h","")))))))))))</f>
        <v/>
      </c>
      <c r="H208" s="4" t="str">
        <f t="shared" si="15"/>
        <v/>
      </c>
      <c r="I208" s="5" t="str">
        <f t="shared" si="16"/>
        <v/>
      </c>
      <c r="J208" s="6">
        <f t="shared" si="17"/>
        <v>0</v>
      </c>
      <c r="K208" s="4" t="str">
        <f t="shared" si="18"/>
        <v/>
      </c>
      <c r="L208" s="4" t="str">
        <f t="shared" si="19"/>
        <v/>
      </c>
      <c r="M208" s="4" t="b" cm="1">
        <f t="array" ref="M208">IF(H208="",FALSE,SUMPRODUCT(--(H$1:H207=H208))&gt;0)</f>
        <v>0</v>
      </c>
    </row>
    <row r="209" spans="1:13" x14ac:dyDescent="0.25">
      <c r="A209" s="9" t="str">
        <f>IF(OR(B209="",M209,G209="— ignored"),"",MAX(A$1:A208)+1)</f>
        <v/>
      </c>
      <c r="B209" s="10"/>
      <c r="C209" s="11" t="str">
        <f>IF(I209="","",ROUND((I209+0.5*MAX(0,CEILING(ROUND((MAX(C$1:C208)-1/48-I209)/0.5,6),1)))*1440,0)/1440)</f>
        <v/>
      </c>
      <c r="D209" s="9" t="str" cm="1">
        <f t="array" ref="D209">IF(H209="","",IFERROR(INDEX(Log!$C$19:$G$19,VALUE(MID(H209,FIND("#",H209)+1,1))),""))</f>
        <v/>
      </c>
      <c r="E209" s="9" t="str" cm="1">
        <f t="array" ref="E209">IF(OR(H209="",M209),"",IFERROR(_xlfn.LET(_xlpm.t,SUBSTITUTE(UPPER(H209),"م","M"),_xlpm.u,SUBSTITUTE(_xlpm.t,"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09" s="12"/>
      <c r="G209" s="13" t="str">
        <f>IF(B209="","",IF(M209,"⚠ Duplicate (not counted)",IF(AND(I209="",D209="",E209=""),"— ignored",IF(C209="","⚠ Time",IF(D209="","⚠ Plant",IF(E209="","⚠ Quantity",IF(AND(ISNUMBER(L209),COUNTIF(L$1:L208,L209)&gt;0),"⚠ Same serial "&amp;L209,IF(AND(ISNUMBER(L209),L209&gt;MIN($L$2:$L$1001),COUNTIF($L$2:$L$1001,L209-1)=0,COUNTIF($L$2:$L$1001,L209-2)&lt;2),"⚠ Missing serial "&amp;(L209-1),IF(AND(MAX(K$1:K208)&gt;0,N(K209)-MAX(K$1:K208)&gt;180),"⚠ Gap &gt; 3h",IF(C209-I209&gt;=0.99,"next day",IF(C209-I209&gt;0.4,"12h → 24h","")))))))))))</f>
        <v/>
      </c>
      <c r="H209" s="4" t="str">
        <f t="shared" si="15"/>
        <v/>
      </c>
      <c r="I209" s="5" t="str">
        <f t="shared" si="16"/>
        <v/>
      </c>
      <c r="J209" s="6">
        <f t="shared" si="17"/>
        <v>0</v>
      </c>
      <c r="K209" s="4" t="str">
        <f t="shared" si="18"/>
        <v/>
      </c>
      <c r="L209" s="4" t="str">
        <f t="shared" si="19"/>
        <v/>
      </c>
      <c r="M209" s="4" t="b" cm="1">
        <f t="array" ref="M209">IF(H209="",FALSE,SUMPRODUCT(--(H$1:H208=H209))&gt;0)</f>
        <v>0</v>
      </c>
    </row>
    <row r="210" spans="1:13" x14ac:dyDescent="0.25">
      <c r="A210" s="9" t="str">
        <f>IF(OR(B210="",M210,G210="— ignored"),"",MAX(A$1:A209)+1)</f>
        <v/>
      </c>
      <c r="B210" s="10"/>
      <c r="C210" s="11" t="str">
        <f>IF(I210="","",ROUND((I210+0.5*MAX(0,CEILING(ROUND((MAX(C$1:C209)-1/48-I210)/0.5,6),1)))*1440,0)/1440)</f>
        <v/>
      </c>
      <c r="D210" s="9" t="str" cm="1">
        <f t="array" ref="D210">IF(H210="","",IFERROR(INDEX(Log!$C$19:$G$19,VALUE(MID(H210,FIND("#",H210)+1,1))),""))</f>
        <v/>
      </c>
      <c r="E210" s="9" t="str" cm="1">
        <f t="array" ref="E210">IF(OR(H210="",M210),"",IFERROR(_xlfn.LET(_xlpm.t,SUBSTITUTE(UPPER(H210),"م","M"),_xlpm.u,SUBSTITUTE(_xlpm.t,"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10" s="12"/>
      <c r="G210" s="13" t="str">
        <f>IF(B210="","",IF(M210,"⚠ Duplicate (not counted)",IF(AND(I210="",D210="",E210=""),"— ignored",IF(C210="","⚠ Time",IF(D210="","⚠ Plant",IF(E210="","⚠ Quantity",IF(AND(ISNUMBER(L210),COUNTIF(L$1:L209,L210)&gt;0),"⚠ Same serial "&amp;L210,IF(AND(ISNUMBER(L210),L210&gt;MIN($L$2:$L$1001),COUNTIF($L$2:$L$1001,L210-1)=0,COUNTIF($L$2:$L$1001,L210-2)&lt;2),"⚠ Missing serial "&amp;(L210-1),IF(AND(MAX(K$1:K209)&gt;0,N(K210)-MAX(K$1:K209)&gt;180),"⚠ Gap &gt; 3h",IF(C210-I210&gt;=0.99,"next day",IF(C210-I210&gt;0.4,"12h → 24h","")))))))))))</f>
        <v/>
      </c>
      <c r="H210" s="4" t="str">
        <f t="shared" si="15"/>
        <v/>
      </c>
      <c r="I210" s="5" t="str">
        <f t="shared" si="16"/>
        <v/>
      </c>
      <c r="J210" s="6">
        <f t="shared" si="17"/>
        <v>0</v>
      </c>
      <c r="K210" s="4" t="str">
        <f t="shared" si="18"/>
        <v/>
      </c>
      <c r="L210" s="4" t="str">
        <f t="shared" si="19"/>
        <v/>
      </c>
      <c r="M210" s="4" t="b" cm="1">
        <f t="array" ref="M210">IF(H210="",FALSE,SUMPRODUCT(--(H$1:H209=H210))&gt;0)</f>
        <v>0</v>
      </c>
    </row>
    <row r="211" spans="1:13" x14ac:dyDescent="0.25">
      <c r="A211" s="9" t="str">
        <f>IF(OR(B211="",M211,G211="— ignored"),"",MAX(A$1:A210)+1)</f>
        <v/>
      </c>
      <c r="B211" s="10"/>
      <c r="C211" s="11" t="str">
        <f>IF(I211="","",ROUND((I211+0.5*MAX(0,CEILING(ROUND((MAX(C$1:C210)-1/48-I211)/0.5,6),1)))*1440,0)/1440)</f>
        <v/>
      </c>
      <c r="D211" s="9" t="str" cm="1">
        <f t="array" ref="D211">IF(H211="","",IFERROR(INDEX(Log!$C$19:$G$19,VALUE(MID(H211,FIND("#",H211)+1,1))),""))</f>
        <v/>
      </c>
      <c r="E211" s="9" t="str" cm="1">
        <f t="array" ref="E211">IF(OR(H211="",M211),"",IFERROR(_xlfn.LET(_xlpm.t,SUBSTITUTE(UPPER(H211),"م","M"),_xlpm.u,SUBSTITUTE(_xlpm.t,"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11" s="12"/>
      <c r="G211" s="13" t="str">
        <f>IF(B211="","",IF(M211,"⚠ Duplicate (not counted)",IF(AND(I211="",D211="",E211=""),"— ignored",IF(C211="","⚠ Time",IF(D211="","⚠ Plant",IF(E211="","⚠ Quantity",IF(AND(ISNUMBER(L211),COUNTIF(L$1:L210,L211)&gt;0),"⚠ Same serial "&amp;L211,IF(AND(ISNUMBER(L211),L211&gt;MIN($L$2:$L$1001),COUNTIF($L$2:$L$1001,L211-1)=0,COUNTIF($L$2:$L$1001,L211-2)&lt;2),"⚠ Missing serial "&amp;(L211-1),IF(AND(MAX(K$1:K210)&gt;0,N(K211)-MAX(K$1:K210)&gt;180),"⚠ Gap &gt; 3h",IF(C211-I211&gt;=0.99,"next day",IF(C211-I211&gt;0.4,"12h → 24h","")))))))))))</f>
        <v/>
      </c>
      <c r="H211" s="4" t="str">
        <f t="shared" si="15"/>
        <v/>
      </c>
      <c r="I211" s="5" t="str">
        <f t="shared" si="16"/>
        <v/>
      </c>
      <c r="J211" s="6">
        <f t="shared" si="17"/>
        <v>0</v>
      </c>
      <c r="K211" s="4" t="str">
        <f t="shared" si="18"/>
        <v/>
      </c>
      <c r="L211" s="4" t="str">
        <f t="shared" si="19"/>
        <v/>
      </c>
      <c r="M211" s="4" t="b" cm="1">
        <f t="array" ref="M211">IF(H211="",FALSE,SUMPRODUCT(--(H$1:H210=H211))&gt;0)</f>
        <v>0</v>
      </c>
    </row>
    <row r="212" spans="1:13" x14ac:dyDescent="0.25">
      <c r="A212" s="9" t="str">
        <f>IF(OR(B212="",M212,G212="— ignored"),"",MAX(A$1:A211)+1)</f>
        <v/>
      </c>
      <c r="B212" s="10"/>
      <c r="C212" s="11" t="str">
        <f>IF(I212="","",ROUND((I212+0.5*MAX(0,CEILING(ROUND((MAX(C$1:C211)-1/48-I212)/0.5,6),1)))*1440,0)/1440)</f>
        <v/>
      </c>
      <c r="D212" s="9" t="str" cm="1">
        <f t="array" ref="D212">IF(H212="","",IFERROR(INDEX(Log!$C$19:$G$19,VALUE(MID(H212,FIND("#",H212)+1,1))),""))</f>
        <v/>
      </c>
      <c r="E212" s="9" t="str" cm="1">
        <f t="array" ref="E212">IF(OR(H212="",M212),"",IFERROR(_xlfn.LET(_xlpm.t,SUBSTITUTE(UPPER(H212),"م","M"),_xlpm.u,SUBSTITUTE(_xlpm.t,"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12" s="12"/>
      <c r="G212" s="13" t="str">
        <f>IF(B212="","",IF(M212,"⚠ Duplicate (not counted)",IF(AND(I212="",D212="",E212=""),"— ignored",IF(C212="","⚠ Time",IF(D212="","⚠ Plant",IF(E212="","⚠ Quantity",IF(AND(ISNUMBER(L212),COUNTIF(L$1:L211,L212)&gt;0),"⚠ Same serial "&amp;L212,IF(AND(ISNUMBER(L212),L212&gt;MIN($L$2:$L$1001),COUNTIF($L$2:$L$1001,L212-1)=0,COUNTIF($L$2:$L$1001,L212-2)&lt;2),"⚠ Missing serial "&amp;(L212-1),IF(AND(MAX(K$1:K211)&gt;0,N(K212)-MAX(K$1:K211)&gt;180),"⚠ Gap &gt; 3h",IF(C212-I212&gt;=0.99,"next day",IF(C212-I212&gt;0.4,"12h → 24h","")))))))))))</f>
        <v/>
      </c>
      <c r="H212" s="4" t="str">
        <f t="shared" si="15"/>
        <v/>
      </c>
      <c r="I212" s="5" t="str">
        <f t="shared" si="16"/>
        <v/>
      </c>
      <c r="J212" s="6">
        <f t="shared" si="17"/>
        <v>0</v>
      </c>
      <c r="K212" s="4" t="str">
        <f t="shared" si="18"/>
        <v/>
      </c>
      <c r="L212" s="4" t="str">
        <f t="shared" si="19"/>
        <v/>
      </c>
      <c r="M212" s="4" t="b" cm="1">
        <f t="array" ref="M212">IF(H212="",FALSE,SUMPRODUCT(--(H$1:H211=H212))&gt;0)</f>
        <v>0</v>
      </c>
    </row>
    <row r="213" spans="1:13" x14ac:dyDescent="0.25">
      <c r="A213" s="9" t="str">
        <f>IF(OR(B213="",M213,G213="— ignored"),"",MAX(A$1:A212)+1)</f>
        <v/>
      </c>
      <c r="B213" s="10"/>
      <c r="C213" s="11" t="str">
        <f>IF(I213="","",ROUND((I213+0.5*MAX(0,CEILING(ROUND((MAX(C$1:C212)-1/48-I213)/0.5,6),1)))*1440,0)/1440)</f>
        <v/>
      </c>
      <c r="D213" s="9" t="str" cm="1">
        <f t="array" ref="D213">IF(H213="","",IFERROR(INDEX(Log!$C$19:$G$19,VALUE(MID(H213,FIND("#",H213)+1,1))),""))</f>
        <v/>
      </c>
      <c r="E213" s="9" t="str" cm="1">
        <f t="array" ref="E213">IF(OR(H213="",M213),"",IFERROR(_xlfn.LET(_xlpm.t,SUBSTITUTE(UPPER(H213),"م","M"),_xlpm.u,SUBSTITUTE(_xlpm.t,"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13" s="12"/>
      <c r="G213" s="13" t="str">
        <f>IF(B213="","",IF(M213,"⚠ Duplicate (not counted)",IF(AND(I213="",D213="",E213=""),"— ignored",IF(C213="","⚠ Time",IF(D213="","⚠ Plant",IF(E213="","⚠ Quantity",IF(AND(ISNUMBER(L213),COUNTIF(L$1:L212,L213)&gt;0),"⚠ Same serial "&amp;L213,IF(AND(ISNUMBER(L213),L213&gt;MIN($L$2:$L$1001),COUNTIF($L$2:$L$1001,L213-1)=0,COUNTIF($L$2:$L$1001,L213-2)&lt;2),"⚠ Missing serial "&amp;(L213-1),IF(AND(MAX(K$1:K212)&gt;0,N(K213)-MAX(K$1:K212)&gt;180),"⚠ Gap &gt; 3h",IF(C213-I213&gt;=0.99,"next day",IF(C213-I213&gt;0.4,"12h → 24h","")))))))))))</f>
        <v/>
      </c>
      <c r="H213" s="4" t="str">
        <f t="shared" si="15"/>
        <v/>
      </c>
      <c r="I213" s="5" t="str">
        <f t="shared" si="16"/>
        <v/>
      </c>
      <c r="J213" s="6">
        <f t="shared" si="17"/>
        <v>0</v>
      </c>
      <c r="K213" s="4" t="str">
        <f t="shared" si="18"/>
        <v/>
      </c>
      <c r="L213" s="4" t="str">
        <f t="shared" si="19"/>
        <v/>
      </c>
      <c r="M213" s="4" t="b" cm="1">
        <f t="array" ref="M213">IF(H213="",FALSE,SUMPRODUCT(--(H$1:H212=H213))&gt;0)</f>
        <v>0</v>
      </c>
    </row>
    <row r="214" spans="1:13" x14ac:dyDescent="0.25">
      <c r="A214" s="9" t="str">
        <f>IF(OR(B214="",M214,G214="— ignored"),"",MAX(A$1:A213)+1)</f>
        <v/>
      </c>
      <c r="B214" s="10"/>
      <c r="C214" s="11" t="str">
        <f>IF(I214="","",ROUND((I214+0.5*MAX(0,CEILING(ROUND((MAX(C$1:C213)-1/48-I214)/0.5,6),1)))*1440,0)/1440)</f>
        <v/>
      </c>
      <c r="D214" s="9" t="str" cm="1">
        <f t="array" ref="D214">IF(H214="","",IFERROR(INDEX(Log!$C$19:$G$19,VALUE(MID(H214,FIND("#",H214)+1,1))),""))</f>
        <v/>
      </c>
      <c r="E214" s="9" t="str" cm="1">
        <f t="array" ref="E214">IF(OR(H214="",M214),"",IFERROR(_xlfn.LET(_xlpm.t,SUBSTITUTE(UPPER(H214),"م","M"),_xlpm.u,SUBSTITUTE(_xlpm.t,"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14" s="12"/>
      <c r="G214" s="13" t="str">
        <f>IF(B214="","",IF(M214,"⚠ Duplicate (not counted)",IF(AND(I214="",D214="",E214=""),"— ignored",IF(C214="","⚠ Time",IF(D214="","⚠ Plant",IF(E214="","⚠ Quantity",IF(AND(ISNUMBER(L214),COUNTIF(L$1:L213,L214)&gt;0),"⚠ Same serial "&amp;L214,IF(AND(ISNUMBER(L214),L214&gt;MIN($L$2:$L$1001),COUNTIF($L$2:$L$1001,L214-1)=0,COUNTIF($L$2:$L$1001,L214-2)&lt;2),"⚠ Missing serial "&amp;(L214-1),IF(AND(MAX(K$1:K213)&gt;0,N(K214)-MAX(K$1:K213)&gt;180),"⚠ Gap &gt; 3h",IF(C214-I214&gt;=0.99,"next day",IF(C214-I214&gt;0.4,"12h → 24h","")))))))))))</f>
        <v/>
      </c>
      <c r="H214" s="4" t="str">
        <f t="shared" si="15"/>
        <v/>
      </c>
      <c r="I214" s="5" t="str">
        <f t="shared" si="16"/>
        <v/>
      </c>
      <c r="J214" s="6">
        <f t="shared" si="17"/>
        <v>0</v>
      </c>
      <c r="K214" s="4" t="str">
        <f t="shared" si="18"/>
        <v/>
      </c>
      <c r="L214" s="4" t="str">
        <f t="shared" si="19"/>
        <v/>
      </c>
      <c r="M214" s="4" t="b" cm="1">
        <f t="array" ref="M214">IF(H214="",FALSE,SUMPRODUCT(--(H$1:H213=H214))&gt;0)</f>
        <v>0</v>
      </c>
    </row>
    <row r="215" spans="1:13" x14ac:dyDescent="0.25">
      <c r="A215" s="9" t="str">
        <f>IF(OR(B215="",M215,G215="— ignored"),"",MAX(A$1:A214)+1)</f>
        <v/>
      </c>
      <c r="B215" s="10"/>
      <c r="C215" s="11" t="str">
        <f>IF(I215="","",ROUND((I215+0.5*MAX(0,CEILING(ROUND((MAX(C$1:C214)-1/48-I215)/0.5,6),1)))*1440,0)/1440)</f>
        <v/>
      </c>
      <c r="D215" s="9" t="str" cm="1">
        <f t="array" ref="D215">IF(H215="","",IFERROR(INDEX(Log!$C$19:$G$19,VALUE(MID(H215,FIND("#",H215)+1,1))),""))</f>
        <v/>
      </c>
      <c r="E215" s="9" t="str" cm="1">
        <f t="array" ref="E215">IF(OR(H215="",M215),"",IFERROR(_xlfn.LET(_xlpm.t,SUBSTITUTE(UPPER(H215),"م","M"),_xlpm.u,SUBSTITUTE(_xlpm.t,"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15" s="12"/>
      <c r="G215" s="13" t="str">
        <f>IF(B215="","",IF(M215,"⚠ Duplicate (not counted)",IF(AND(I215="",D215="",E215=""),"— ignored",IF(C215="","⚠ Time",IF(D215="","⚠ Plant",IF(E215="","⚠ Quantity",IF(AND(ISNUMBER(L215),COUNTIF(L$1:L214,L215)&gt;0),"⚠ Same serial "&amp;L215,IF(AND(ISNUMBER(L215),L215&gt;MIN($L$2:$L$1001),COUNTIF($L$2:$L$1001,L215-1)=0,COUNTIF($L$2:$L$1001,L215-2)&lt;2),"⚠ Missing serial "&amp;(L215-1),IF(AND(MAX(K$1:K214)&gt;0,N(K215)-MAX(K$1:K214)&gt;180),"⚠ Gap &gt; 3h",IF(C215-I215&gt;=0.99,"next day",IF(C215-I215&gt;0.4,"12h → 24h","")))))))))))</f>
        <v/>
      </c>
      <c r="H215" s="4" t="str">
        <f t="shared" si="15"/>
        <v/>
      </c>
      <c r="I215" s="5" t="str">
        <f t="shared" si="16"/>
        <v/>
      </c>
      <c r="J215" s="6">
        <f t="shared" si="17"/>
        <v>0</v>
      </c>
      <c r="K215" s="4" t="str">
        <f t="shared" si="18"/>
        <v/>
      </c>
      <c r="L215" s="4" t="str">
        <f t="shared" si="19"/>
        <v/>
      </c>
      <c r="M215" s="4" t="b" cm="1">
        <f t="array" ref="M215">IF(H215="",FALSE,SUMPRODUCT(--(H$1:H214=H215))&gt;0)</f>
        <v>0</v>
      </c>
    </row>
    <row r="216" spans="1:13" x14ac:dyDescent="0.25">
      <c r="A216" s="9" t="str">
        <f>IF(OR(B216="",M216,G216="— ignored"),"",MAX(A$1:A215)+1)</f>
        <v/>
      </c>
      <c r="B216" s="10"/>
      <c r="C216" s="11" t="str">
        <f>IF(I216="","",ROUND((I216+0.5*MAX(0,CEILING(ROUND((MAX(C$1:C215)-1/48-I216)/0.5,6),1)))*1440,0)/1440)</f>
        <v/>
      </c>
      <c r="D216" s="9" t="str" cm="1">
        <f t="array" ref="D216">IF(H216="","",IFERROR(INDEX(Log!$C$19:$G$19,VALUE(MID(H216,FIND("#",H216)+1,1))),""))</f>
        <v/>
      </c>
      <c r="E216" s="9" t="str" cm="1">
        <f t="array" ref="E216">IF(OR(H216="",M216),"",IFERROR(_xlfn.LET(_xlpm.t,SUBSTITUTE(UPPER(H216),"م","M"),_xlpm.u,SUBSTITUTE(_xlpm.t,"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16" s="12"/>
      <c r="G216" s="13" t="str">
        <f>IF(B216="","",IF(M216,"⚠ Duplicate (not counted)",IF(AND(I216="",D216="",E216=""),"— ignored",IF(C216="","⚠ Time",IF(D216="","⚠ Plant",IF(E216="","⚠ Quantity",IF(AND(ISNUMBER(L216),COUNTIF(L$1:L215,L216)&gt;0),"⚠ Same serial "&amp;L216,IF(AND(ISNUMBER(L216),L216&gt;MIN($L$2:$L$1001),COUNTIF($L$2:$L$1001,L216-1)=0,COUNTIF($L$2:$L$1001,L216-2)&lt;2),"⚠ Missing serial "&amp;(L216-1),IF(AND(MAX(K$1:K215)&gt;0,N(K216)-MAX(K$1:K215)&gt;180),"⚠ Gap &gt; 3h",IF(C216-I216&gt;=0.99,"next day",IF(C216-I216&gt;0.4,"12h → 24h","")))))))))))</f>
        <v/>
      </c>
      <c r="H216" s="4" t="str">
        <f t="shared" si="15"/>
        <v/>
      </c>
      <c r="I216" s="5" t="str">
        <f t="shared" si="16"/>
        <v/>
      </c>
      <c r="J216" s="6">
        <f t="shared" si="17"/>
        <v>0</v>
      </c>
      <c r="K216" s="4" t="str">
        <f t="shared" si="18"/>
        <v/>
      </c>
      <c r="L216" s="4" t="str">
        <f t="shared" si="19"/>
        <v/>
      </c>
      <c r="M216" s="4" t="b" cm="1">
        <f t="array" ref="M216">IF(H216="",FALSE,SUMPRODUCT(--(H$1:H215=H216))&gt;0)</f>
        <v>0</v>
      </c>
    </row>
    <row r="217" spans="1:13" x14ac:dyDescent="0.25">
      <c r="A217" s="9" t="str">
        <f>IF(OR(B217="",M217,G217="— ignored"),"",MAX(A$1:A216)+1)</f>
        <v/>
      </c>
      <c r="B217" s="10"/>
      <c r="C217" s="11" t="str">
        <f>IF(I217="","",ROUND((I217+0.5*MAX(0,CEILING(ROUND((MAX(C$1:C216)-1/48-I217)/0.5,6),1)))*1440,0)/1440)</f>
        <v/>
      </c>
      <c r="D217" s="9" t="str" cm="1">
        <f t="array" ref="D217">IF(H217="","",IFERROR(INDEX(Log!$C$19:$G$19,VALUE(MID(H217,FIND("#",H217)+1,1))),""))</f>
        <v/>
      </c>
      <c r="E217" s="9" t="str" cm="1">
        <f t="array" ref="E217">IF(OR(H217="",M217),"",IFERROR(_xlfn.LET(_xlpm.t,SUBSTITUTE(UPPER(H217),"م","M"),_xlpm.u,SUBSTITUTE(_xlpm.t,"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17" s="12"/>
      <c r="G217" s="13" t="str">
        <f>IF(B217="","",IF(M217,"⚠ Duplicate (not counted)",IF(AND(I217="",D217="",E217=""),"— ignored",IF(C217="","⚠ Time",IF(D217="","⚠ Plant",IF(E217="","⚠ Quantity",IF(AND(ISNUMBER(L217),COUNTIF(L$1:L216,L217)&gt;0),"⚠ Same serial "&amp;L217,IF(AND(ISNUMBER(L217),L217&gt;MIN($L$2:$L$1001),COUNTIF($L$2:$L$1001,L217-1)=0,COUNTIF($L$2:$L$1001,L217-2)&lt;2),"⚠ Missing serial "&amp;(L217-1),IF(AND(MAX(K$1:K216)&gt;0,N(K217)-MAX(K$1:K216)&gt;180),"⚠ Gap &gt; 3h",IF(C217-I217&gt;=0.99,"next day",IF(C217-I217&gt;0.4,"12h → 24h","")))))))))))</f>
        <v/>
      </c>
      <c r="H217" s="4" t="str">
        <f t="shared" si="15"/>
        <v/>
      </c>
      <c r="I217" s="5" t="str">
        <f t="shared" si="16"/>
        <v/>
      </c>
      <c r="J217" s="6">
        <f t="shared" si="17"/>
        <v>0</v>
      </c>
      <c r="K217" s="4" t="str">
        <f t="shared" si="18"/>
        <v/>
      </c>
      <c r="L217" s="4" t="str">
        <f t="shared" si="19"/>
        <v/>
      </c>
      <c r="M217" s="4" t="b" cm="1">
        <f t="array" ref="M217">IF(H217="",FALSE,SUMPRODUCT(--(H$1:H216=H217))&gt;0)</f>
        <v>0</v>
      </c>
    </row>
    <row r="218" spans="1:13" x14ac:dyDescent="0.25">
      <c r="A218" s="9" t="str">
        <f>IF(OR(B218="",M218,G218="— ignored"),"",MAX(A$1:A217)+1)</f>
        <v/>
      </c>
      <c r="B218" s="10"/>
      <c r="C218" s="11" t="str">
        <f>IF(I218="","",ROUND((I218+0.5*MAX(0,CEILING(ROUND((MAX(C$1:C217)-1/48-I218)/0.5,6),1)))*1440,0)/1440)</f>
        <v/>
      </c>
      <c r="D218" s="9" t="str" cm="1">
        <f t="array" ref="D218">IF(H218="","",IFERROR(INDEX(Log!$C$19:$G$19,VALUE(MID(H218,FIND("#",H218)+1,1))),""))</f>
        <v/>
      </c>
      <c r="E218" s="9" t="str" cm="1">
        <f t="array" ref="E218">IF(OR(H218="",M218),"",IFERROR(_xlfn.LET(_xlpm.t,SUBSTITUTE(UPPER(H218),"م","M"),_xlpm.u,SUBSTITUTE(_xlpm.t,"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18" s="12"/>
      <c r="G218" s="13" t="str">
        <f>IF(B218="","",IF(M218,"⚠ Duplicate (not counted)",IF(AND(I218="",D218="",E218=""),"— ignored",IF(C218="","⚠ Time",IF(D218="","⚠ Plant",IF(E218="","⚠ Quantity",IF(AND(ISNUMBER(L218),COUNTIF(L$1:L217,L218)&gt;0),"⚠ Same serial "&amp;L218,IF(AND(ISNUMBER(L218),L218&gt;MIN($L$2:$L$1001),COUNTIF($L$2:$L$1001,L218-1)=0,COUNTIF($L$2:$L$1001,L218-2)&lt;2),"⚠ Missing serial "&amp;(L218-1),IF(AND(MAX(K$1:K217)&gt;0,N(K218)-MAX(K$1:K217)&gt;180),"⚠ Gap &gt; 3h",IF(C218-I218&gt;=0.99,"next day",IF(C218-I218&gt;0.4,"12h → 24h","")))))))))))</f>
        <v/>
      </c>
      <c r="H218" s="4" t="str">
        <f t="shared" si="15"/>
        <v/>
      </c>
      <c r="I218" s="5" t="str">
        <f t="shared" si="16"/>
        <v/>
      </c>
      <c r="J218" s="6">
        <f t="shared" si="17"/>
        <v>0</v>
      </c>
      <c r="K218" s="4" t="str">
        <f t="shared" si="18"/>
        <v/>
      </c>
      <c r="L218" s="4" t="str">
        <f t="shared" si="19"/>
        <v/>
      </c>
      <c r="M218" s="4" t="b" cm="1">
        <f t="array" ref="M218">IF(H218="",FALSE,SUMPRODUCT(--(H$1:H217=H218))&gt;0)</f>
        <v>0</v>
      </c>
    </row>
    <row r="219" spans="1:13" x14ac:dyDescent="0.25">
      <c r="A219" s="9" t="str">
        <f>IF(OR(B219="",M219,G219="— ignored"),"",MAX(A$1:A218)+1)</f>
        <v/>
      </c>
      <c r="B219" s="10"/>
      <c r="C219" s="11" t="str">
        <f>IF(I219="","",ROUND((I219+0.5*MAX(0,CEILING(ROUND((MAX(C$1:C218)-1/48-I219)/0.5,6),1)))*1440,0)/1440)</f>
        <v/>
      </c>
      <c r="D219" s="9" t="str" cm="1">
        <f t="array" ref="D219">IF(H219="","",IFERROR(INDEX(Log!$C$19:$G$19,VALUE(MID(H219,FIND("#",H219)+1,1))),""))</f>
        <v/>
      </c>
      <c r="E219" s="9" t="str" cm="1">
        <f t="array" ref="E219">IF(OR(H219="",M219),"",IFERROR(_xlfn.LET(_xlpm.t,SUBSTITUTE(UPPER(H219),"م","M"),_xlpm.u,SUBSTITUTE(_xlpm.t,"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19" s="12"/>
      <c r="G219" s="13" t="str">
        <f>IF(B219="","",IF(M219,"⚠ Duplicate (not counted)",IF(AND(I219="",D219="",E219=""),"— ignored",IF(C219="","⚠ Time",IF(D219="","⚠ Plant",IF(E219="","⚠ Quantity",IF(AND(ISNUMBER(L219),COUNTIF(L$1:L218,L219)&gt;0),"⚠ Same serial "&amp;L219,IF(AND(ISNUMBER(L219),L219&gt;MIN($L$2:$L$1001),COUNTIF($L$2:$L$1001,L219-1)=0,COUNTIF($L$2:$L$1001,L219-2)&lt;2),"⚠ Missing serial "&amp;(L219-1),IF(AND(MAX(K$1:K218)&gt;0,N(K219)-MAX(K$1:K218)&gt;180),"⚠ Gap &gt; 3h",IF(C219-I219&gt;=0.99,"next day",IF(C219-I219&gt;0.4,"12h → 24h","")))))))))))</f>
        <v/>
      </c>
      <c r="H219" s="4" t="str">
        <f t="shared" si="15"/>
        <v/>
      </c>
      <c r="I219" s="5" t="str">
        <f t="shared" si="16"/>
        <v/>
      </c>
      <c r="J219" s="6">
        <f t="shared" si="17"/>
        <v>0</v>
      </c>
      <c r="K219" s="4" t="str">
        <f t="shared" si="18"/>
        <v/>
      </c>
      <c r="L219" s="4" t="str">
        <f t="shared" si="19"/>
        <v/>
      </c>
      <c r="M219" s="4" t="b" cm="1">
        <f t="array" ref="M219">IF(H219="",FALSE,SUMPRODUCT(--(H$1:H218=H219))&gt;0)</f>
        <v>0</v>
      </c>
    </row>
    <row r="220" spans="1:13" x14ac:dyDescent="0.25">
      <c r="A220" s="9" t="str">
        <f>IF(OR(B220="",M220,G220="— ignored"),"",MAX(A$1:A219)+1)</f>
        <v/>
      </c>
      <c r="B220" s="10"/>
      <c r="C220" s="11" t="str">
        <f>IF(I220="","",ROUND((I220+0.5*MAX(0,CEILING(ROUND((MAX(C$1:C219)-1/48-I220)/0.5,6),1)))*1440,0)/1440)</f>
        <v/>
      </c>
      <c r="D220" s="9" t="str" cm="1">
        <f t="array" ref="D220">IF(H220="","",IFERROR(INDEX(Log!$C$19:$G$19,VALUE(MID(H220,FIND("#",H220)+1,1))),""))</f>
        <v/>
      </c>
      <c r="E220" s="9" t="str" cm="1">
        <f t="array" ref="E220">IF(OR(H220="",M220),"",IFERROR(_xlfn.LET(_xlpm.t,SUBSTITUTE(UPPER(H220),"م","M"),_xlpm.u,SUBSTITUTE(_xlpm.t,"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20" s="12"/>
      <c r="G220" s="13" t="str">
        <f>IF(B220="","",IF(M220,"⚠ Duplicate (not counted)",IF(AND(I220="",D220="",E220=""),"— ignored",IF(C220="","⚠ Time",IF(D220="","⚠ Plant",IF(E220="","⚠ Quantity",IF(AND(ISNUMBER(L220),COUNTIF(L$1:L219,L220)&gt;0),"⚠ Same serial "&amp;L220,IF(AND(ISNUMBER(L220),L220&gt;MIN($L$2:$L$1001),COUNTIF($L$2:$L$1001,L220-1)=0,COUNTIF($L$2:$L$1001,L220-2)&lt;2),"⚠ Missing serial "&amp;(L220-1),IF(AND(MAX(K$1:K219)&gt;0,N(K220)-MAX(K$1:K219)&gt;180),"⚠ Gap &gt; 3h",IF(C220-I220&gt;=0.99,"next day",IF(C220-I220&gt;0.4,"12h → 24h","")))))))))))</f>
        <v/>
      </c>
      <c r="H220" s="4" t="str">
        <f t="shared" si="15"/>
        <v/>
      </c>
      <c r="I220" s="5" t="str">
        <f t="shared" si="16"/>
        <v/>
      </c>
      <c r="J220" s="6">
        <f t="shared" si="17"/>
        <v>0</v>
      </c>
      <c r="K220" s="4" t="str">
        <f t="shared" si="18"/>
        <v/>
      </c>
      <c r="L220" s="4" t="str">
        <f t="shared" si="19"/>
        <v/>
      </c>
      <c r="M220" s="4" t="b" cm="1">
        <f t="array" ref="M220">IF(H220="",FALSE,SUMPRODUCT(--(H$1:H219=H220))&gt;0)</f>
        <v>0</v>
      </c>
    </row>
    <row r="221" spans="1:13" x14ac:dyDescent="0.25">
      <c r="A221" s="9" t="str">
        <f>IF(OR(B221="",M221,G221="— ignored"),"",MAX(A$1:A220)+1)</f>
        <v/>
      </c>
      <c r="B221" s="10"/>
      <c r="C221" s="11" t="str">
        <f>IF(I221="","",ROUND((I221+0.5*MAX(0,CEILING(ROUND((MAX(C$1:C220)-1/48-I221)/0.5,6),1)))*1440,0)/1440)</f>
        <v/>
      </c>
      <c r="D221" s="9" t="str" cm="1">
        <f t="array" ref="D221">IF(H221="","",IFERROR(INDEX(Log!$C$19:$G$19,VALUE(MID(H221,FIND("#",H221)+1,1))),""))</f>
        <v/>
      </c>
      <c r="E221" s="9" t="str" cm="1">
        <f t="array" ref="E221">IF(OR(H221="",M221),"",IFERROR(_xlfn.LET(_xlpm.t,SUBSTITUTE(UPPER(H221),"م","M"),_xlpm.u,SUBSTITUTE(_xlpm.t,"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21" s="12"/>
      <c r="G221" s="13" t="str">
        <f>IF(B221="","",IF(M221,"⚠ Duplicate (not counted)",IF(AND(I221="",D221="",E221=""),"— ignored",IF(C221="","⚠ Time",IF(D221="","⚠ Plant",IF(E221="","⚠ Quantity",IF(AND(ISNUMBER(L221),COUNTIF(L$1:L220,L221)&gt;0),"⚠ Same serial "&amp;L221,IF(AND(ISNUMBER(L221),L221&gt;MIN($L$2:$L$1001),COUNTIF($L$2:$L$1001,L221-1)=0,COUNTIF($L$2:$L$1001,L221-2)&lt;2),"⚠ Missing serial "&amp;(L221-1),IF(AND(MAX(K$1:K220)&gt;0,N(K221)-MAX(K$1:K220)&gt;180),"⚠ Gap &gt; 3h",IF(C221-I221&gt;=0.99,"next day",IF(C221-I221&gt;0.4,"12h → 24h","")))))))))))</f>
        <v/>
      </c>
      <c r="H221" s="4" t="str">
        <f t="shared" si="15"/>
        <v/>
      </c>
      <c r="I221" s="5" t="str">
        <f t="shared" si="16"/>
        <v/>
      </c>
      <c r="J221" s="6">
        <f t="shared" si="17"/>
        <v>0</v>
      </c>
      <c r="K221" s="4" t="str">
        <f t="shared" si="18"/>
        <v/>
      </c>
      <c r="L221" s="4" t="str">
        <f t="shared" si="19"/>
        <v/>
      </c>
      <c r="M221" s="4" t="b" cm="1">
        <f t="array" ref="M221">IF(H221="",FALSE,SUMPRODUCT(--(H$1:H220=H221))&gt;0)</f>
        <v>0</v>
      </c>
    </row>
    <row r="222" spans="1:13" x14ac:dyDescent="0.25">
      <c r="A222" s="9" t="str">
        <f>IF(OR(B222="",M222,G222="— ignored"),"",MAX(A$1:A221)+1)</f>
        <v/>
      </c>
      <c r="B222" s="10"/>
      <c r="C222" s="11" t="str">
        <f>IF(I222="","",ROUND((I222+0.5*MAX(0,CEILING(ROUND((MAX(C$1:C221)-1/48-I222)/0.5,6),1)))*1440,0)/1440)</f>
        <v/>
      </c>
      <c r="D222" s="9" t="str" cm="1">
        <f t="array" ref="D222">IF(H222="","",IFERROR(INDEX(Log!$C$19:$G$19,VALUE(MID(H222,FIND("#",H222)+1,1))),""))</f>
        <v/>
      </c>
      <c r="E222" s="9" t="str" cm="1">
        <f t="array" ref="E222">IF(OR(H222="",M222),"",IFERROR(_xlfn.LET(_xlpm.t,SUBSTITUTE(UPPER(H222),"م","M"),_xlpm.u,SUBSTITUTE(_xlpm.t,"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22" s="12"/>
      <c r="G222" s="13" t="str">
        <f>IF(B222="","",IF(M222,"⚠ Duplicate (not counted)",IF(AND(I222="",D222="",E222=""),"— ignored",IF(C222="","⚠ Time",IF(D222="","⚠ Plant",IF(E222="","⚠ Quantity",IF(AND(ISNUMBER(L222),COUNTIF(L$1:L221,L222)&gt;0),"⚠ Same serial "&amp;L222,IF(AND(ISNUMBER(L222),L222&gt;MIN($L$2:$L$1001),COUNTIF($L$2:$L$1001,L222-1)=0,COUNTIF($L$2:$L$1001,L222-2)&lt;2),"⚠ Missing serial "&amp;(L222-1),IF(AND(MAX(K$1:K221)&gt;0,N(K222)-MAX(K$1:K221)&gt;180),"⚠ Gap &gt; 3h",IF(C222-I222&gt;=0.99,"next day",IF(C222-I222&gt;0.4,"12h → 24h","")))))))))))</f>
        <v/>
      </c>
      <c r="H222" s="4" t="str">
        <f t="shared" si="15"/>
        <v/>
      </c>
      <c r="I222" s="5" t="str">
        <f t="shared" si="16"/>
        <v/>
      </c>
      <c r="J222" s="6">
        <f t="shared" si="17"/>
        <v>0</v>
      </c>
      <c r="K222" s="4" t="str">
        <f t="shared" si="18"/>
        <v/>
      </c>
      <c r="L222" s="4" t="str">
        <f t="shared" si="19"/>
        <v/>
      </c>
      <c r="M222" s="4" t="b" cm="1">
        <f t="array" ref="M222">IF(H222="",FALSE,SUMPRODUCT(--(H$1:H221=H222))&gt;0)</f>
        <v>0</v>
      </c>
    </row>
    <row r="223" spans="1:13" x14ac:dyDescent="0.25">
      <c r="A223" s="9" t="str">
        <f>IF(OR(B223="",M223,G223="— ignored"),"",MAX(A$1:A222)+1)</f>
        <v/>
      </c>
      <c r="B223" s="10"/>
      <c r="C223" s="11" t="str">
        <f>IF(I223="","",ROUND((I223+0.5*MAX(0,CEILING(ROUND((MAX(C$1:C222)-1/48-I223)/0.5,6),1)))*1440,0)/1440)</f>
        <v/>
      </c>
      <c r="D223" s="9" t="str" cm="1">
        <f t="array" ref="D223">IF(H223="","",IFERROR(INDEX(Log!$C$19:$G$19,VALUE(MID(H223,FIND("#",H223)+1,1))),""))</f>
        <v/>
      </c>
      <c r="E223" s="9" t="str" cm="1">
        <f t="array" ref="E223">IF(OR(H223="",M223),"",IFERROR(_xlfn.LET(_xlpm.t,SUBSTITUTE(UPPER(H223),"م","M"),_xlpm.u,SUBSTITUTE(_xlpm.t,"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23" s="12"/>
      <c r="G223" s="13" t="str">
        <f>IF(B223="","",IF(M223,"⚠ Duplicate (not counted)",IF(AND(I223="",D223="",E223=""),"— ignored",IF(C223="","⚠ Time",IF(D223="","⚠ Plant",IF(E223="","⚠ Quantity",IF(AND(ISNUMBER(L223),COUNTIF(L$1:L222,L223)&gt;0),"⚠ Same serial "&amp;L223,IF(AND(ISNUMBER(L223),L223&gt;MIN($L$2:$L$1001),COUNTIF($L$2:$L$1001,L223-1)=0,COUNTIF($L$2:$L$1001,L223-2)&lt;2),"⚠ Missing serial "&amp;(L223-1),IF(AND(MAX(K$1:K222)&gt;0,N(K223)-MAX(K$1:K222)&gt;180),"⚠ Gap &gt; 3h",IF(C223-I223&gt;=0.99,"next day",IF(C223-I223&gt;0.4,"12h → 24h","")))))))))))</f>
        <v/>
      </c>
      <c r="H223" s="4" t="str">
        <f t="shared" si="15"/>
        <v/>
      </c>
      <c r="I223" s="5" t="str">
        <f t="shared" si="16"/>
        <v/>
      </c>
      <c r="J223" s="6">
        <f t="shared" si="17"/>
        <v>0</v>
      </c>
      <c r="K223" s="4" t="str">
        <f t="shared" si="18"/>
        <v/>
      </c>
      <c r="L223" s="4" t="str">
        <f t="shared" si="19"/>
        <v/>
      </c>
      <c r="M223" s="4" t="b" cm="1">
        <f t="array" ref="M223">IF(H223="",FALSE,SUMPRODUCT(--(H$1:H222=H223))&gt;0)</f>
        <v>0</v>
      </c>
    </row>
    <row r="224" spans="1:13" x14ac:dyDescent="0.25">
      <c r="A224" s="9" t="str">
        <f>IF(OR(B224="",M224,G224="— ignored"),"",MAX(A$1:A223)+1)</f>
        <v/>
      </c>
      <c r="B224" s="10"/>
      <c r="C224" s="11" t="str">
        <f>IF(I224="","",ROUND((I224+0.5*MAX(0,CEILING(ROUND((MAX(C$1:C223)-1/48-I224)/0.5,6),1)))*1440,0)/1440)</f>
        <v/>
      </c>
      <c r="D224" s="9" t="str" cm="1">
        <f t="array" ref="D224">IF(H224="","",IFERROR(INDEX(Log!$C$19:$G$19,VALUE(MID(H224,FIND("#",H224)+1,1))),""))</f>
        <v/>
      </c>
      <c r="E224" s="9" t="str" cm="1">
        <f t="array" ref="E224">IF(OR(H224="",M224),"",IFERROR(_xlfn.LET(_xlpm.t,SUBSTITUTE(UPPER(H224),"م","M"),_xlpm.u,SUBSTITUTE(_xlpm.t,"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24" s="12"/>
      <c r="G224" s="13" t="str">
        <f>IF(B224="","",IF(M224,"⚠ Duplicate (not counted)",IF(AND(I224="",D224="",E224=""),"— ignored",IF(C224="","⚠ Time",IF(D224="","⚠ Plant",IF(E224="","⚠ Quantity",IF(AND(ISNUMBER(L224),COUNTIF(L$1:L223,L224)&gt;0),"⚠ Same serial "&amp;L224,IF(AND(ISNUMBER(L224),L224&gt;MIN($L$2:$L$1001),COUNTIF($L$2:$L$1001,L224-1)=0,COUNTIF($L$2:$L$1001,L224-2)&lt;2),"⚠ Missing serial "&amp;(L224-1),IF(AND(MAX(K$1:K223)&gt;0,N(K224)-MAX(K$1:K223)&gt;180),"⚠ Gap &gt; 3h",IF(C224-I224&gt;=0.99,"next day",IF(C224-I224&gt;0.4,"12h → 24h","")))))))))))</f>
        <v/>
      </c>
      <c r="H224" s="4" t="str">
        <f t="shared" si="15"/>
        <v/>
      </c>
      <c r="I224" s="5" t="str">
        <f t="shared" si="16"/>
        <v/>
      </c>
      <c r="J224" s="6">
        <f t="shared" si="17"/>
        <v>0</v>
      </c>
      <c r="K224" s="4" t="str">
        <f t="shared" si="18"/>
        <v/>
      </c>
      <c r="L224" s="4" t="str">
        <f t="shared" si="19"/>
        <v/>
      </c>
      <c r="M224" s="4" t="b" cm="1">
        <f t="array" ref="M224">IF(H224="",FALSE,SUMPRODUCT(--(H$1:H223=H224))&gt;0)</f>
        <v>0</v>
      </c>
    </row>
    <row r="225" spans="1:13" x14ac:dyDescent="0.25">
      <c r="A225" s="9" t="str">
        <f>IF(OR(B225="",M225,G225="— ignored"),"",MAX(A$1:A224)+1)</f>
        <v/>
      </c>
      <c r="B225" s="10"/>
      <c r="C225" s="11" t="str">
        <f>IF(I225="","",ROUND((I225+0.5*MAX(0,CEILING(ROUND((MAX(C$1:C224)-1/48-I225)/0.5,6),1)))*1440,0)/1440)</f>
        <v/>
      </c>
      <c r="D225" s="9" t="str" cm="1">
        <f t="array" ref="D225">IF(H225="","",IFERROR(INDEX(Log!$C$19:$G$19,VALUE(MID(H225,FIND("#",H225)+1,1))),""))</f>
        <v/>
      </c>
      <c r="E225" s="9" t="str" cm="1">
        <f t="array" ref="E225">IF(OR(H225="",M225),"",IFERROR(_xlfn.LET(_xlpm.t,SUBSTITUTE(UPPER(H225),"م","M"),_xlpm.u,SUBSTITUTE(_xlpm.t,"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25" s="12"/>
      <c r="G225" s="13" t="str">
        <f>IF(B225="","",IF(M225,"⚠ Duplicate (not counted)",IF(AND(I225="",D225="",E225=""),"— ignored",IF(C225="","⚠ Time",IF(D225="","⚠ Plant",IF(E225="","⚠ Quantity",IF(AND(ISNUMBER(L225),COUNTIF(L$1:L224,L225)&gt;0),"⚠ Same serial "&amp;L225,IF(AND(ISNUMBER(L225),L225&gt;MIN($L$2:$L$1001),COUNTIF($L$2:$L$1001,L225-1)=0,COUNTIF($L$2:$L$1001,L225-2)&lt;2),"⚠ Missing serial "&amp;(L225-1),IF(AND(MAX(K$1:K224)&gt;0,N(K225)-MAX(K$1:K224)&gt;180),"⚠ Gap &gt; 3h",IF(C225-I225&gt;=0.99,"next day",IF(C225-I225&gt;0.4,"12h → 24h","")))))))))))</f>
        <v/>
      </c>
      <c r="H225" s="4" t="str">
        <f t="shared" si="15"/>
        <v/>
      </c>
      <c r="I225" s="5" t="str">
        <f t="shared" si="16"/>
        <v/>
      </c>
      <c r="J225" s="6">
        <f t="shared" si="17"/>
        <v>0</v>
      </c>
      <c r="K225" s="4" t="str">
        <f t="shared" si="18"/>
        <v/>
      </c>
      <c r="L225" s="4" t="str">
        <f t="shared" si="19"/>
        <v/>
      </c>
      <c r="M225" s="4" t="b" cm="1">
        <f t="array" ref="M225">IF(H225="",FALSE,SUMPRODUCT(--(H$1:H224=H225))&gt;0)</f>
        <v>0</v>
      </c>
    </row>
    <row r="226" spans="1:13" x14ac:dyDescent="0.25">
      <c r="A226" s="9" t="str">
        <f>IF(OR(B226="",M226,G226="— ignored"),"",MAX(A$1:A225)+1)</f>
        <v/>
      </c>
      <c r="B226" s="10"/>
      <c r="C226" s="11" t="str">
        <f>IF(I226="","",ROUND((I226+0.5*MAX(0,CEILING(ROUND((MAX(C$1:C225)-1/48-I226)/0.5,6),1)))*1440,0)/1440)</f>
        <v/>
      </c>
      <c r="D226" s="9" t="str" cm="1">
        <f t="array" ref="D226">IF(H226="","",IFERROR(INDEX(Log!$C$19:$G$19,VALUE(MID(H226,FIND("#",H226)+1,1))),""))</f>
        <v/>
      </c>
      <c r="E226" s="9" t="str" cm="1">
        <f t="array" ref="E226">IF(OR(H226="",M226),"",IFERROR(_xlfn.LET(_xlpm.t,SUBSTITUTE(UPPER(H226),"م","M"),_xlpm.u,SUBSTITUTE(_xlpm.t,"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26" s="12"/>
      <c r="G226" s="13" t="str">
        <f>IF(B226="","",IF(M226,"⚠ Duplicate (not counted)",IF(AND(I226="",D226="",E226=""),"— ignored",IF(C226="","⚠ Time",IF(D226="","⚠ Plant",IF(E226="","⚠ Quantity",IF(AND(ISNUMBER(L226),COUNTIF(L$1:L225,L226)&gt;0),"⚠ Same serial "&amp;L226,IF(AND(ISNUMBER(L226),L226&gt;MIN($L$2:$L$1001),COUNTIF($L$2:$L$1001,L226-1)=0,COUNTIF($L$2:$L$1001,L226-2)&lt;2),"⚠ Missing serial "&amp;(L226-1),IF(AND(MAX(K$1:K225)&gt;0,N(K226)-MAX(K$1:K225)&gt;180),"⚠ Gap &gt; 3h",IF(C226-I226&gt;=0.99,"next day",IF(C226-I226&gt;0.4,"12h → 24h","")))))))))))</f>
        <v/>
      </c>
      <c r="H226" s="4" t="str">
        <f t="shared" si="15"/>
        <v/>
      </c>
      <c r="I226" s="5" t="str">
        <f t="shared" si="16"/>
        <v/>
      </c>
      <c r="J226" s="6">
        <f t="shared" si="17"/>
        <v>0</v>
      </c>
      <c r="K226" s="4" t="str">
        <f t="shared" si="18"/>
        <v/>
      </c>
      <c r="L226" s="4" t="str">
        <f t="shared" si="19"/>
        <v/>
      </c>
      <c r="M226" s="4" t="b" cm="1">
        <f t="array" ref="M226">IF(H226="",FALSE,SUMPRODUCT(--(H$1:H225=H226))&gt;0)</f>
        <v>0</v>
      </c>
    </row>
    <row r="227" spans="1:13" x14ac:dyDescent="0.25">
      <c r="A227" s="9" t="str">
        <f>IF(OR(B227="",M227,G227="— ignored"),"",MAX(A$1:A226)+1)</f>
        <v/>
      </c>
      <c r="B227" s="10"/>
      <c r="C227" s="11" t="str">
        <f>IF(I227="","",ROUND((I227+0.5*MAX(0,CEILING(ROUND((MAX(C$1:C226)-1/48-I227)/0.5,6),1)))*1440,0)/1440)</f>
        <v/>
      </c>
      <c r="D227" s="9" t="str" cm="1">
        <f t="array" ref="D227">IF(H227="","",IFERROR(INDEX(Log!$C$19:$G$19,VALUE(MID(H227,FIND("#",H227)+1,1))),""))</f>
        <v/>
      </c>
      <c r="E227" s="9" t="str" cm="1">
        <f t="array" ref="E227">IF(OR(H227="",M227),"",IFERROR(_xlfn.LET(_xlpm.t,SUBSTITUTE(UPPER(H227),"م","M"),_xlpm.u,SUBSTITUTE(_xlpm.t,"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27" s="12"/>
      <c r="G227" s="13" t="str">
        <f>IF(B227="","",IF(M227,"⚠ Duplicate (not counted)",IF(AND(I227="",D227="",E227=""),"— ignored",IF(C227="","⚠ Time",IF(D227="","⚠ Plant",IF(E227="","⚠ Quantity",IF(AND(ISNUMBER(L227),COUNTIF(L$1:L226,L227)&gt;0),"⚠ Same serial "&amp;L227,IF(AND(ISNUMBER(L227),L227&gt;MIN($L$2:$L$1001),COUNTIF($L$2:$L$1001,L227-1)=0,COUNTIF($L$2:$L$1001,L227-2)&lt;2),"⚠ Missing serial "&amp;(L227-1),IF(AND(MAX(K$1:K226)&gt;0,N(K227)-MAX(K$1:K226)&gt;180),"⚠ Gap &gt; 3h",IF(C227-I227&gt;=0.99,"next day",IF(C227-I227&gt;0.4,"12h → 24h","")))))))))))</f>
        <v/>
      </c>
      <c r="H227" s="4" t="str">
        <f t="shared" si="15"/>
        <v/>
      </c>
      <c r="I227" s="5" t="str">
        <f t="shared" si="16"/>
        <v/>
      </c>
      <c r="J227" s="6">
        <f t="shared" si="17"/>
        <v>0</v>
      </c>
      <c r="K227" s="4" t="str">
        <f t="shared" si="18"/>
        <v/>
      </c>
      <c r="L227" s="4" t="str">
        <f t="shared" si="19"/>
        <v/>
      </c>
      <c r="M227" s="4" t="b" cm="1">
        <f t="array" ref="M227">IF(H227="",FALSE,SUMPRODUCT(--(H$1:H226=H227))&gt;0)</f>
        <v>0</v>
      </c>
    </row>
    <row r="228" spans="1:13" x14ac:dyDescent="0.25">
      <c r="A228" s="9" t="str">
        <f>IF(OR(B228="",M228,G228="— ignored"),"",MAX(A$1:A227)+1)</f>
        <v/>
      </c>
      <c r="B228" s="10"/>
      <c r="C228" s="11" t="str">
        <f>IF(I228="","",ROUND((I228+0.5*MAX(0,CEILING(ROUND((MAX(C$1:C227)-1/48-I228)/0.5,6),1)))*1440,0)/1440)</f>
        <v/>
      </c>
      <c r="D228" s="9" t="str" cm="1">
        <f t="array" ref="D228">IF(H228="","",IFERROR(INDEX(Log!$C$19:$G$19,VALUE(MID(H228,FIND("#",H228)+1,1))),""))</f>
        <v/>
      </c>
      <c r="E228" s="9" t="str" cm="1">
        <f t="array" ref="E228">IF(OR(H228="",M228),"",IFERROR(_xlfn.LET(_xlpm.t,SUBSTITUTE(UPPER(H228),"م","M"),_xlpm.u,SUBSTITUTE(_xlpm.t,"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28" s="12"/>
      <c r="G228" s="13" t="str">
        <f>IF(B228="","",IF(M228,"⚠ Duplicate (not counted)",IF(AND(I228="",D228="",E228=""),"— ignored",IF(C228="","⚠ Time",IF(D228="","⚠ Plant",IF(E228="","⚠ Quantity",IF(AND(ISNUMBER(L228),COUNTIF(L$1:L227,L228)&gt;0),"⚠ Same serial "&amp;L228,IF(AND(ISNUMBER(L228),L228&gt;MIN($L$2:$L$1001),COUNTIF($L$2:$L$1001,L228-1)=0,COUNTIF($L$2:$L$1001,L228-2)&lt;2),"⚠ Missing serial "&amp;(L228-1),IF(AND(MAX(K$1:K227)&gt;0,N(K228)-MAX(K$1:K227)&gt;180),"⚠ Gap &gt; 3h",IF(C228-I228&gt;=0.99,"next day",IF(C228-I228&gt;0.4,"12h → 24h","")))))))))))</f>
        <v/>
      </c>
      <c r="H228" s="4" t="str">
        <f t="shared" si="15"/>
        <v/>
      </c>
      <c r="I228" s="5" t="str">
        <f t="shared" si="16"/>
        <v/>
      </c>
      <c r="J228" s="6">
        <f t="shared" si="17"/>
        <v>0</v>
      </c>
      <c r="K228" s="4" t="str">
        <f t="shared" si="18"/>
        <v/>
      </c>
      <c r="L228" s="4" t="str">
        <f t="shared" si="19"/>
        <v/>
      </c>
      <c r="M228" s="4" t="b" cm="1">
        <f t="array" ref="M228">IF(H228="",FALSE,SUMPRODUCT(--(H$1:H227=H228))&gt;0)</f>
        <v>0</v>
      </c>
    </row>
    <row r="229" spans="1:13" x14ac:dyDescent="0.25">
      <c r="A229" s="9" t="str">
        <f>IF(OR(B229="",M229,G229="— ignored"),"",MAX(A$1:A228)+1)</f>
        <v/>
      </c>
      <c r="B229" s="10"/>
      <c r="C229" s="11" t="str">
        <f>IF(I229="","",ROUND((I229+0.5*MAX(0,CEILING(ROUND((MAX(C$1:C228)-1/48-I229)/0.5,6),1)))*1440,0)/1440)</f>
        <v/>
      </c>
      <c r="D229" s="9" t="str" cm="1">
        <f t="array" ref="D229">IF(H229="","",IFERROR(INDEX(Log!$C$19:$G$19,VALUE(MID(H229,FIND("#",H229)+1,1))),""))</f>
        <v/>
      </c>
      <c r="E229" s="9" t="str" cm="1">
        <f t="array" ref="E229">IF(OR(H229="",M229),"",IFERROR(_xlfn.LET(_xlpm.t,SUBSTITUTE(UPPER(H229),"م","M"),_xlpm.u,SUBSTITUTE(_xlpm.t,"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29" s="12"/>
      <c r="G229" s="13" t="str">
        <f>IF(B229="","",IF(M229,"⚠ Duplicate (not counted)",IF(AND(I229="",D229="",E229=""),"— ignored",IF(C229="","⚠ Time",IF(D229="","⚠ Plant",IF(E229="","⚠ Quantity",IF(AND(ISNUMBER(L229),COUNTIF(L$1:L228,L229)&gt;0),"⚠ Same serial "&amp;L229,IF(AND(ISNUMBER(L229),L229&gt;MIN($L$2:$L$1001),COUNTIF($L$2:$L$1001,L229-1)=0,COUNTIF($L$2:$L$1001,L229-2)&lt;2),"⚠ Missing serial "&amp;(L229-1),IF(AND(MAX(K$1:K228)&gt;0,N(K229)-MAX(K$1:K228)&gt;180),"⚠ Gap &gt; 3h",IF(C229-I229&gt;=0.99,"next day",IF(C229-I229&gt;0.4,"12h → 24h","")))))))))))</f>
        <v/>
      </c>
      <c r="H229" s="4" t="str">
        <f t="shared" si="15"/>
        <v/>
      </c>
      <c r="I229" s="5" t="str">
        <f t="shared" si="16"/>
        <v/>
      </c>
      <c r="J229" s="6">
        <f t="shared" si="17"/>
        <v>0</v>
      </c>
      <c r="K229" s="4" t="str">
        <f t="shared" si="18"/>
        <v/>
      </c>
      <c r="L229" s="4" t="str">
        <f t="shared" si="19"/>
        <v/>
      </c>
      <c r="M229" s="4" t="b" cm="1">
        <f t="array" ref="M229">IF(H229="",FALSE,SUMPRODUCT(--(H$1:H228=H229))&gt;0)</f>
        <v>0</v>
      </c>
    </row>
    <row r="230" spans="1:13" x14ac:dyDescent="0.25">
      <c r="A230" s="9" t="str">
        <f>IF(OR(B230="",M230,G230="— ignored"),"",MAX(A$1:A229)+1)</f>
        <v/>
      </c>
      <c r="B230" s="10"/>
      <c r="C230" s="11" t="str">
        <f>IF(I230="","",ROUND((I230+0.5*MAX(0,CEILING(ROUND((MAX(C$1:C229)-1/48-I230)/0.5,6),1)))*1440,0)/1440)</f>
        <v/>
      </c>
      <c r="D230" s="9" t="str" cm="1">
        <f t="array" ref="D230">IF(H230="","",IFERROR(INDEX(Log!$C$19:$G$19,VALUE(MID(H230,FIND("#",H230)+1,1))),""))</f>
        <v/>
      </c>
      <c r="E230" s="9" t="str" cm="1">
        <f t="array" ref="E230">IF(OR(H230="",M230),"",IFERROR(_xlfn.LET(_xlpm.t,SUBSTITUTE(UPPER(H230),"م","M"),_xlpm.u,SUBSTITUTE(_xlpm.t,"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30" s="12"/>
      <c r="G230" s="13" t="str">
        <f>IF(B230="","",IF(M230,"⚠ Duplicate (not counted)",IF(AND(I230="",D230="",E230=""),"— ignored",IF(C230="","⚠ Time",IF(D230="","⚠ Plant",IF(E230="","⚠ Quantity",IF(AND(ISNUMBER(L230),COUNTIF(L$1:L229,L230)&gt;0),"⚠ Same serial "&amp;L230,IF(AND(ISNUMBER(L230),L230&gt;MIN($L$2:$L$1001),COUNTIF($L$2:$L$1001,L230-1)=0,COUNTIF($L$2:$L$1001,L230-2)&lt;2),"⚠ Missing serial "&amp;(L230-1),IF(AND(MAX(K$1:K229)&gt;0,N(K230)-MAX(K$1:K229)&gt;180),"⚠ Gap &gt; 3h",IF(C230-I230&gt;=0.99,"next day",IF(C230-I230&gt;0.4,"12h → 24h","")))))))))))</f>
        <v/>
      </c>
      <c r="H230" s="4" t="str">
        <f t="shared" si="15"/>
        <v/>
      </c>
      <c r="I230" s="5" t="str">
        <f t="shared" si="16"/>
        <v/>
      </c>
      <c r="J230" s="6">
        <f t="shared" si="17"/>
        <v>0</v>
      </c>
      <c r="K230" s="4" t="str">
        <f t="shared" si="18"/>
        <v/>
      </c>
      <c r="L230" s="4" t="str">
        <f t="shared" si="19"/>
        <v/>
      </c>
      <c r="M230" s="4" t="b" cm="1">
        <f t="array" ref="M230">IF(H230="",FALSE,SUMPRODUCT(--(H$1:H229=H230))&gt;0)</f>
        <v>0</v>
      </c>
    </row>
    <row r="231" spans="1:13" x14ac:dyDescent="0.25">
      <c r="A231" s="9" t="str">
        <f>IF(OR(B231="",M231,G231="— ignored"),"",MAX(A$1:A230)+1)</f>
        <v/>
      </c>
      <c r="B231" s="10"/>
      <c r="C231" s="11" t="str">
        <f>IF(I231="","",ROUND((I231+0.5*MAX(0,CEILING(ROUND((MAX(C$1:C230)-1/48-I231)/0.5,6),1)))*1440,0)/1440)</f>
        <v/>
      </c>
      <c r="D231" s="9" t="str" cm="1">
        <f t="array" ref="D231">IF(H231="","",IFERROR(INDEX(Log!$C$19:$G$19,VALUE(MID(H231,FIND("#",H231)+1,1))),""))</f>
        <v/>
      </c>
      <c r="E231" s="9" t="str" cm="1">
        <f t="array" ref="E231">IF(OR(H231="",M231),"",IFERROR(_xlfn.LET(_xlpm.t,SUBSTITUTE(UPPER(H231),"م","M"),_xlpm.u,SUBSTITUTE(_xlpm.t,"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31" s="12"/>
      <c r="G231" s="13" t="str">
        <f>IF(B231="","",IF(M231,"⚠ Duplicate (not counted)",IF(AND(I231="",D231="",E231=""),"— ignored",IF(C231="","⚠ Time",IF(D231="","⚠ Plant",IF(E231="","⚠ Quantity",IF(AND(ISNUMBER(L231),COUNTIF(L$1:L230,L231)&gt;0),"⚠ Same serial "&amp;L231,IF(AND(ISNUMBER(L231),L231&gt;MIN($L$2:$L$1001),COUNTIF($L$2:$L$1001,L231-1)=0,COUNTIF($L$2:$L$1001,L231-2)&lt;2),"⚠ Missing serial "&amp;(L231-1),IF(AND(MAX(K$1:K230)&gt;0,N(K231)-MAX(K$1:K230)&gt;180),"⚠ Gap &gt; 3h",IF(C231-I231&gt;=0.99,"next day",IF(C231-I231&gt;0.4,"12h → 24h","")))))))))))</f>
        <v/>
      </c>
      <c r="H231" s="4" t="str">
        <f t="shared" si="15"/>
        <v/>
      </c>
      <c r="I231" s="5" t="str">
        <f t="shared" si="16"/>
        <v/>
      </c>
      <c r="J231" s="6">
        <f t="shared" si="17"/>
        <v>0</v>
      </c>
      <c r="K231" s="4" t="str">
        <f t="shared" si="18"/>
        <v/>
      </c>
      <c r="L231" s="4" t="str">
        <f t="shared" si="19"/>
        <v/>
      </c>
      <c r="M231" s="4" t="b" cm="1">
        <f t="array" ref="M231">IF(H231="",FALSE,SUMPRODUCT(--(H$1:H230=H231))&gt;0)</f>
        <v>0</v>
      </c>
    </row>
    <row r="232" spans="1:13" x14ac:dyDescent="0.25">
      <c r="A232" s="9" t="str">
        <f>IF(OR(B232="",M232,G232="— ignored"),"",MAX(A$1:A231)+1)</f>
        <v/>
      </c>
      <c r="B232" s="10"/>
      <c r="C232" s="11" t="str">
        <f>IF(I232="","",ROUND((I232+0.5*MAX(0,CEILING(ROUND((MAX(C$1:C231)-1/48-I232)/0.5,6),1)))*1440,0)/1440)</f>
        <v/>
      </c>
      <c r="D232" s="9" t="str" cm="1">
        <f t="array" ref="D232">IF(H232="","",IFERROR(INDEX(Log!$C$19:$G$19,VALUE(MID(H232,FIND("#",H232)+1,1))),""))</f>
        <v/>
      </c>
      <c r="E232" s="9" t="str" cm="1">
        <f t="array" ref="E232">IF(OR(H232="",M232),"",IFERROR(_xlfn.LET(_xlpm.t,SUBSTITUTE(UPPER(H232),"م","M"),_xlpm.u,SUBSTITUTE(_xlpm.t,"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32" s="12"/>
      <c r="G232" s="13" t="str">
        <f>IF(B232="","",IF(M232,"⚠ Duplicate (not counted)",IF(AND(I232="",D232="",E232=""),"— ignored",IF(C232="","⚠ Time",IF(D232="","⚠ Plant",IF(E232="","⚠ Quantity",IF(AND(ISNUMBER(L232),COUNTIF(L$1:L231,L232)&gt;0),"⚠ Same serial "&amp;L232,IF(AND(ISNUMBER(L232),L232&gt;MIN($L$2:$L$1001),COUNTIF($L$2:$L$1001,L232-1)=0,COUNTIF($L$2:$L$1001,L232-2)&lt;2),"⚠ Missing serial "&amp;(L232-1),IF(AND(MAX(K$1:K231)&gt;0,N(K232)-MAX(K$1:K231)&gt;180),"⚠ Gap &gt; 3h",IF(C232-I232&gt;=0.99,"next day",IF(C232-I232&gt;0.4,"12h → 24h","")))))))))))</f>
        <v/>
      </c>
      <c r="H232" s="4" t="str">
        <f t="shared" si="15"/>
        <v/>
      </c>
      <c r="I232" s="5" t="str">
        <f t="shared" si="16"/>
        <v/>
      </c>
      <c r="J232" s="6">
        <f t="shared" si="17"/>
        <v>0</v>
      </c>
      <c r="K232" s="4" t="str">
        <f t="shared" si="18"/>
        <v/>
      </c>
      <c r="L232" s="4" t="str">
        <f t="shared" si="19"/>
        <v/>
      </c>
      <c r="M232" s="4" t="b" cm="1">
        <f t="array" ref="M232">IF(H232="",FALSE,SUMPRODUCT(--(H$1:H231=H232))&gt;0)</f>
        <v>0</v>
      </c>
    </row>
    <row r="233" spans="1:13" x14ac:dyDescent="0.25">
      <c r="A233" s="9" t="str">
        <f>IF(OR(B233="",M233,G233="— ignored"),"",MAX(A$1:A232)+1)</f>
        <v/>
      </c>
      <c r="B233" s="10"/>
      <c r="C233" s="11" t="str">
        <f>IF(I233="","",ROUND((I233+0.5*MAX(0,CEILING(ROUND((MAX(C$1:C232)-1/48-I233)/0.5,6),1)))*1440,0)/1440)</f>
        <v/>
      </c>
      <c r="D233" s="9" t="str" cm="1">
        <f t="array" ref="D233">IF(H233="","",IFERROR(INDEX(Log!$C$19:$G$19,VALUE(MID(H233,FIND("#",H233)+1,1))),""))</f>
        <v/>
      </c>
      <c r="E233" s="9" t="str" cm="1">
        <f t="array" ref="E233">IF(OR(H233="",M233),"",IFERROR(_xlfn.LET(_xlpm.t,SUBSTITUTE(UPPER(H233),"م","M"),_xlpm.u,SUBSTITUTE(_xlpm.t,"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33" s="12"/>
      <c r="G233" s="13" t="str">
        <f>IF(B233="","",IF(M233,"⚠ Duplicate (not counted)",IF(AND(I233="",D233="",E233=""),"— ignored",IF(C233="","⚠ Time",IF(D233="","⚠ Plant",IF(E233="","⚠ Quantity",IF(AND(ISNUMBER(L233),COUNTIF(L$1:L232,L233)&gt;0),"⚠ Same serial "&amp;L233,IF(AND(ISNUMBER(L233),L233&gt;MIN($L$2:$L$1001),COUNTIF($L$2:$L$1001,L233-1)=0,COUNTIF($L$2:$L$1001,L233-2)&lt;2),"⚠ Missing serial "&amp;(L233-1),IF(AND(MAX(K$1:K232)&gt;0,N(K233)-MAX(K$1:K232)&gt;180),"⚠ Gap &gt; 3h",IF(C233-I233&gt;=0.99,"next day",IF(C233-I233&gt;0.4,"12h → 24h","")))))))))))</f>
        <v/>
      </c>
      <c r="H233" s="4" t="str">
        <f t="shared" si="15"/>
        <v/>
      </c>
      <c r="I233" s="5" t="str">
        <f t="shared" si="16"/>
        <v/>
      </c>
      <c r="J233" s="6">
        <f t="shared" si="17"/>
        <v>0</v>
      </c>
      <c r="K233" s="4" t="str">
        <f t="shared" si="18"/>
        <v/>
      </c>
      <c r="L233" s="4" t="str">
        <f t="shared" si="19"/>
        <v/>
      </c>
      <c r="M233" s="4" t="b" cm="1">
        <f t="array" ref="M233">IF(H233="",FALSE,SUMPRODUCT(--(H$1:H232=H233))&gt;0)</f>
        <v>0</v>
      </c>
    </row>
    <row r="234" spans="1:13" x14ac:dyDescent="0.25">
      <c r="A234" s="9" t="str">
        <f>IF(OR(B234="",M234,G234="— ignored"),"",MAX(A$1:A233)+1)</f>
        <v/>
      </c>
      <c r="B234" s="10"/>
      <c r="C234" s="11" t="str">
        <f>IF(I234="","",ROUND((I234+0.5*MAX(0,CEILING(ROUND((MAX(C$1:C233)-1/48-I234)/0.5,6),1)))*1440,0)/1440)</f>
        <v/>
      </c>
      <c r="D234" s="9" t="str" cm="1">
        <f t="array" ref="D234">IF(H234="","",IFERROR(INDEX(Log!$C$19:$G$19,VALUE(MID(H234,FIND("#",H234)+1,1))),""))</f>
        <v/>
      </c>
      <c r="E234" s="9" t="str" cm="1">
        <f t="array" ref="E234">IF(OR(H234="",M234),"",IFERROR(_xlfn.LET(_xlpm.t,SUBSTITUTE(UPPER(H234),"م","M"),_xlpm.u,SUBSTITUTE(_xlpm.t,"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34" s="12"/>
      <c r="G234" s="13" t="str">
        <f>IF(B234="","",IF(M234,"⚠ Duplicate (not counted)",IF(AND(I234="",D234="",E234=""),"— ignored",IF(C234="","⚠ Time",IF(D234="","⚠ Plant",IF(E234="","⚠ Quantity",IF(AND(ISNUMBER(L234),COUNTIF(L$1:L233,L234)&gt;0),"⚠ Same serial "&amp;L234,IF(AND(ISNUMBER(L234),L234&gt;MIN($L$2:$L$1001),COUNTIF($L$2:$L$1001,L234-1)=0,COUNTIF($L$2:$L$1001,L234-2)&lt;2),"⚠ Missing serial "&amp;(L234-1),IF(AND(MAX(K$1:K233)&gt;0,N(K234)-MAX(K$1:K233)&gt;180),"⚠ Gap &gt; 3h",IF(C234-I234&gt;=0.99,"next day",IF(C234-I234&gt;0.4,"12h → 24h","")))))))))))</f>
        <v/>
      </c>
      <c r="H234" s="4" t="str">
        <f t="shared" si="15"/>
        <v/>
      </c>
      <c r="I234" s="5" t="str">
        <f t="shared" si="16"/>
        <v/>
      </c>
      <c r="J234" s="6">
        <f t="shared" si="17"/>
        <v>0</v>
      </c>
      <c r="K234" s="4" t="str">
        <f t="shared" si="18"/>
        <v/>
      </c>
      <c r="L234" s="4" t="str">
        <f t="shared" si="19"/>
        <v/>
      </c>
      <c r="M234" s="4" t="b" cm="1">
        <f t="array" ref="M234">IF(H234="",FALSE,SUMPRODUCT(--(H$1:H233=H234))&gt;0)</f>
        <v>0</v>
      </c>
    </row>
    <row r="235" spans="1:13" x14ac:dyDescent="0.25">
      <c r="A235" s="9" t="str">
        <f>IF(OR(B235="",M235,G235="— ignored"),"",MAX(A$1:A234)+1)</f>
        <v/>
      </c>
      <c r="B235" s="10"/>
      <c r="C235" s="11" t="str">
        <f>IF(I235="","",ROUND((I235+0.5*MAX(0,CEILING(ROUND((MAX(C$1:C234)-1/48-I235)/0.5,6),1)))*1440,0)/1440)</f>
        <v/>
      </c>
      <c r="D235" s="9" t="str" cm="1">
        <f t="array" ref="D235">IF(H235="","",IFERROR(INDEX(Log!$C$19:$G$19,VALUE(MID(H235,FIND("#",H235)+1,1))),""))</f>
        <v/>
      </c>
      <c r="E235" s="9" t="str" cm="1">
        <f t="array" ref="E235">IF(OR(H235="",M235),"",IFERROR(_xlfn.LET(_xlpm.t,SUBSTITUTE(UPPER(H235),"م","M"),_xlpm.u,SUBSTITUTE(_xlpm.t,"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35" s="12"/>
      <c r="G235" s="13" t="str">
        <f>IF(B235="","",IF(M235,"⚠ Duplicate (not counted)",IF(AND(I235="",D235="",E235=""),"— ignored",IF(C235="","⚠ Time",IF(D235="","⚠ Plant",IF(E235="","⚠ Quantity",IF(AND(ISNUMBER(L235),COUNTIF(L$1:L234,L235)&gt;0),"⚠ Same serial "&amp;L235,IF(AND(ISNUMBER(L235),L235&gt;MIN($L$2:$L$1001),COUNTIF($L$2:$L$1001,L235-1)=0,COUNTIF($L$2:$L$1001,L235-2)&lt;2),"⚠ Missing serial "&amp;(L235-1),IF(AND(MAX(K$1:K234)&gt;0,N(K235)-MAX(K$1:K234)&gt;180),"⚠ Gap &gt; 3h",IF(C235-I235&gt;=0.99,"next day",IF(C235-I235&gt;0.4,"12h → 24h","")))))))))))</f>
        <v/>
      </c>
      <c r="H235" s="4" t="str">
        <f t="shared" si="15"/>
        <v/>
      </c>
      <c r="I235" s="5" t="str">
        <f t="shared" si="16"/>
        <v/>
      </c>
      <c r="J235" s="6">
        <f t="shared" si="17"/>
        <v>0</v>
      </c>
      <c r="K235" s="4" t="str">
        <f t="shared" si="18"/>
        <v/>
      </c>
      <c r="L235" s="4" t="str">
        <f t="shared" si="19"/>
        <v/>
      </c>
      <c r="M235" s="4" t="b" cm="1">
        <f t="array" ref="M235">IF(H235="",FALSE,SUMPRODUCT(--(H$1:H234=H235))&gt;0)</f>
        <v>0</v>
      </c>
    </row>
    <row r="236" spans="1:13" x14ac:dyDescent="0.25">
      <c r="A236" s="9" t="str">
        <f>IF(OR(B236="",M236,G236="— ignored"),"",MAX(A$1:A235)+1)</f>
        <v/>
      </c>
      <c r="B236" s="10"/>
      <c r="C236" s="11" t="str">
        <f>IF(I236="","",ROUND((I236+0.5*MAX(0,CEILING(ROUND((MAX(C$1:C235)-1/48-I236)/0.5,6),1)))*1440,0)/1440)</f>
        <v/>
      </c>
      <c r="D236" s="9" t="str" cm="1">
        <f t="array" ref="D236">IF(H236="","",IFERROR(INDEX(Log!$C$19:$G$19,VALUE(MID(H236,FIND("#",H236)+1,1))),""))</f>
        <v/>
      </c>
      <c r="E236" s="9" t="str" cm="1">
        <f t="array" ref="E236">IF(OR(H236="",M236),"",IFERROR(_xlfn.LET(_xlpm.t,SUBSTITUTE(UPPER(H236),"م","M"),_xlpm.u,SUBSTITUTE(_xlpm.t,"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36" s="12"/>
      <c r="G236" s="13" t="str">
        <f>IF(B236="","",IF(M236,"⚠ Duplicate (not counted)",IF(AND(I236="",D236="",E236=""),"— ignored",IF(C236="","⚠ Time",IF(D236="","⚠ Plant",IF(E236="","⚠ Quantity",IF(AND(ISNUMBER(L236),COUNTIF(L$1:L235,L236)&gt;0),"⚠ Same serial "&amp;L236,IF(AND(ISNUMBER(L236),L236&gt;MIN($L$2:$L$1001),COUNTIF($L$2:$L$1001,L236-1)=0,COUNTIF($L$2:$L$1001,L236-2)&lt;2),"⚠ Missing serial "&amp;(L236-1),IF(AND(MAX(K$1:K235)&gt;0,N(K236)-MAX(K$1:K235)&gt;180),"⚠ Gap &gt; 3h",IF(C236-I236&gt;=0.99,"next day",IF(C236-I236&gt;0.4,"12h → 24h","")))))))))))</f>
        <v/>
      </c>
      <c r="H236" s="4" t="str">
        <f t="shared" si="15"/>
        <v/>
      </c>
      <c r="I236" s="5" t="str">
        <f t="shared" si="16"/>
        <v/>
      </c>
      <c r="J236" s="6">
        <f t="shared" si="17"/>
        <v>0</v>
      </c>
      <c r="K236" s="4" t="str">
        <f t="shared" si="18"/>
        <v/>
      </c>
      <c r="L236" s="4" t="str">
        <f t="shared" si="19"/>
        <v/>
      </c>
      <c r="M236" s="4" t="b" cm="1">
        <f t="array" ref="M236">IF(H236="",FALSE,SUMPRODUCT(--(H$1:H235=H236))&gt;0)</f>
        <v>0</v>
      </c>
    </row>
    <row r="237" spans="1:13" x14ac:dyDescent="0.25">
      <c r="A237" s="9" t="str">
        <f>IF(OR(B237="",M237,G237="— ignored"),"",MAX(A$1:A236)+1)</f>
        <v/>
      </c>
      <c r="B237" s="10"/>
      <c r="C237" s="11" t="str">
        <f>IF(I237="","",ROUND((I237+0.5*MAX(0,CEILING(ROUND((MAX(C$1:C236)-1/48-I237)/0.5,6),1)))*1440,0)/1440)</f>
        <v/>
      </c>
      <c r="D237" s="9" t="str" cm="1">
        <f t="array" ref="D237">IF(H237="","",IFERROR(INDEX(Log!$C$19:$G$19,VALUE(MID(H237,FIND("#",H237)+1,1))),""))</f>
        <v/>
      </c>
      <c r="E237" s="9" t="str" cm="1">
        <f t="array" ref="E237">IF(OR(H237="",M237),"",IFERROR(_xlfn.LET(_xlpm.t,SUBSTITUTE(UPPER(H237),"م","M"),_xlpm.u,SUBSTITUTE(_xlpm.t,"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37" s="12"/>
      <c r="G237" s="13" t="str">
        <f>IF(B237="","",IF(M237,"⚠ Duplicate (not counted)",IF(AND(I237="",D237="",E237=""),"— ignored",IF(C237="","⚠ Time",IF(D237="","⚠ Plant",IF(E237="","⚠ Quantity",IF(AND(ISNUMBER(L237),COUNTIF(L$1:L236,L237)&gt;0),"⚠ Same serial "&amp;L237,IF(AND(ISNUMBER(L237),L237&gt;MIN($L$2:$L$1001),COUNTIF($L$2:$L$1001,L237-1)=0,COUNTIF($L$2:$L$1001,L237-2)&lt;2),"⚠ Missing serial "&amp;(L237-1),IF(AND(MAX(K$1:K236)&gt;0,N(K237)-MAX(K$1:K236)&gt;180),"⚠ Gap &gt; 3h",IF(C237-I237&gt;=0.99,"next day",IF(C237-I237&gt;0.4,"12h → 24h","")))))))))))</f>
        <v/>
      </c>
      <c r="H237" s="4" t="str">
        <f t="shared" si="15"/>
        <v/>
      </c>
      <c r="I237" s="5" t="str">
        <f t="shared" si="16"/>
        <v/>
      </c>
      <c r="J237" s="6">
        <f t="shared" si="17"/>
        <v>0</v>
      </c>
      <c r="K237" s="4" t="str">
        <f t="shared" si="18"/>
        <v/>
      </c>
      <c r="L237" s="4" t="str">
        <f t="shared" si="19"/>
        <v/>
      </c>
      <c r="M237" s="4" t="b" cm="1">
        <f t="array" ref="M237">IF(H237="",FALSE,SUMPRODUCT(--(H$1:H236=H237))&gt;0)</f>
        <v>0</v>
      </c>
    </row>
    <row r="238" spans="1:13" x14ac:dyDescent="0.25">
      <c r="A238" s="9" t="str">
        <f>IF(OR(B238="",M238,G238="— ignored"),"",MAX(A$1:A237)+1)</f>
        <v/>
      </c>
      <c r="B238" s="10"/>
      <c r="C238" s="11" t="str">
        <f>IF(I238="","",ROUND((I238+0.5*MAX(0,CEILING(ROUND((MAX(C$1:C237)-1/48-I238)/0.5,6),1)))*1440,0)/1440)</f>
        <v/>
      </c>
      <c r="D238" s="9" t="str" cm="1">
        <f t="array" ref="D238">IF(H238="","",IFERROR(INDEX(Log!$C$19:$G$19,VALUE(MID(H238,FIND("#",H238)+1,1))),""))</f>
        <v/>
      </c>
      <c r="E238" s="9" t="str" cm="1">
        <f t="array" ref="E238">IF(OR(H238="",M238),"",IFERROR(_xlfn.LET(_xlpm.t,SUBSTITUTE(UPPER(H238),"م","M"),_xlpm.u,SUBSTITUTE(_xlpm.t,"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38" s="12"/>
      <c r="G238" s="13" t="str">
        <f>IF(B238="","",IF(M238,"⚠ Duplicate (not counted)",IF(AND(I238="",D238="",E238=""),"— ignored",IF(C238="","⚠ Time",IF(D238="","⚠ Plant",IF(E238="","⚠ Quantity",IF(AND(ISNUMBER(L238),COUNTIF(L$1:L237,L238)&gt;0),"⚠ Same serial "&amp;L238,IF(AND(ISNUMBER(L238),L238&gt;MIN($L$2:$L$1001),COUNTIF($L$2:$L$1001,L238-1)=0,COUNTIF($L$2:$L$1001,L238-2)&lt;2),"⚠ Missing serial "&amp;(L238-1),IF(AND(MAX(K$1:K237)&gt;0,N(K238)-MAX(K$1:K237)&gt;180),"⚠ Gap &gt; 3h",IF(C238-I238&gt;=0.99,"next day",IF(C238-I238&gt;0.4,"12h → 24h","")))))))))))</f>
        <v/>
      </c>
      <c r="H238" s="4" t="str">
        <f t="shared" si="15"/>
        <v/>
      </c>
      <c r="I238" s="5" t="str">
        <f t="shared" si="16"/>
        <v/>
      </c>
      <c r="J238" s="6">
        <f t="shared" si="17"/>
        <v>0</v>
      </c>
      <c r="K238" s="4" t="str">
        <f t="shared" si="18"/>
        <v/>
      </c>
      <c r="L238" s="4" t="str">
        <f t="shared" si="19"/>
        <v/>
      </c>
      <c r="M238" s="4" t="b" cm="1">
        <f t="array" ref="M238">IF(H238="",FALSE,SUMPRODUCT(--(H$1:H237=H238))&gt;0)</f>
        <v>0</v>
      </c>
    </row>
    <row r="239" spans="1:13" x14ac:dyDescent="0.25">
      <c r="A239" s="9" t="str">
        <f>IF(OR(B239="",M239,G239="— ignored"),"",MAX(A$1:A238)+1)</f>
        <v/>
      </c>
      <c r="B239" s="10"/>
      <c r="C239" s="11" t="str">
        <f>IF(I239="","",ROUND((I239+0.5*MAX(0,CEILING(ROUND((MAX(C$1:C238)-1/48-I239)/0.5,6),1)))*1440,0)/1440)</f>
        <v/>
      </c>
      <c r="D239" s="9" t="str" cm="1">
        <f t="array" ref="D239">IF(H239="","",IFERROR(INDEX(Log!$C$19:$G$19,VALUE(MID(H239,FIND("#",H239)+1,1))),""))</f>
        <v/>
      </c>
      <c r="E239" s="9" t="str" cm="1">
        <f t="array" ref="E239">IF(OR(H239="",M239),"",IFERROR(_xlfn.LET(_xlpm.t,SUBSTITUTE(UPPER(H239),"م","M"),_xlpm.u,SUBSTITUTE(_xlpm.t,"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39" s="12"/>
      <c r="G239" s="13" t="str">
        <f>IF(B239="","",IF(M239,"⚠ Duplicate (not counted)",IF(AND(I239="",D239="",E239=""),"— ignored",IF(C239="","⚠ Time",IF(D239="","⚠ Plant",IF(E239="","⚠ Quantity",IF(AND(ISNUMBER(L239),COUNTIF(L$1:L238,L239)&gt;0),"⚠ Same serial "&amp;L239,IF(AND(ISNUMBER(L239),L239&gt;MIN($L$2:$L$1001),COUNTIF($L$2:$L$1001,L239-1)=0,COUNTIF($L$2:$L$1001,L239-2)&lt;2),"⚠ Missing serial "&amp;(L239-1),IF(AND(MAX(K$1:K238)&gt;0,N(K239)-MAX(K$1:K238)&gt;180),"⚠ Gap &gt; 3h",IF(C239-I239&gt;=0.99,"next day",IF(C239-I239&gt;0.4,"12h → 24h","")))))))))))</f>
        <v/>
      </c>
      <c r="H239" s="4" t="str">
        <f t="shared" si="15"/>
        <v/>
      </c>
      <c r="I239" s="5" t="str">
        <f t="shared" si="16"/>
        <v/>
      </c>
      <c r="J239" s="6">
        <f t="shared" si="17"/>
        <v>0</v>
      </c>
      <c r="K239" s="4" t="str">
        <f t="shared" si="18"/>
        <v/>
      </c>
      <c r="L239" s="4" t="str">
        <f t="shared" si="19"/>
        <v/>
      </c>
      <c r="M239" s="4" t="b" cm="1">
        <f t="array" ref="M239">IF(H239="",FALSE,SUMPRODUCT(--(H$1:H238=H239))&gt;0)</f>
        <v>0</v>
      </c>
    </row>
    <row r="240" spans="1:13" x14ac:dyDescent="0.25">
      <c r="A240" s="9" t="str">
        <f>IF(OR(B240="",M240,G240="— ignored"),"",MAX(A$1:A239)+1)</f>
        <v/>
      </c>
      <c r="B240" s="10"/>
      <c r="C240" s="11" t="str">
        <f>IF(I240="","",ROUND((I240+0.5*MAX(0,CEILING(ROUND((MAX(C$1:C239)-1/48-I240)/0.5,6),1)))*1440,0)/1440)</f>
        <v/>
      </c>
      <c r="D240" s="9" t="str" cm="1">
        <f t="array" ref="D240">IF(H240="","",IFERROR(INDEX(Log!$C$19:$G$19,VALUE(MID(H240,FIND("#",H240)+1,1))),""))</f>
        <v/>
      </c>
      <c r="E240" s="9" t="str" cm="1">
        <f t="array" ref="E240">IF(OR(H240="",M240),"",IFERROR(_xlfn.LET(_xlpm.t,SUBSTITUTE(UPPER(H240),"م","M"),_xlpm.u,SUBSTITUTE(_xlpm.t,"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40" s="12"/>
      <c r="G240" s="13" t="str">
        <f>IF(B240="","",IF(M240,"⚠ Duplicate (not counted)",IF(AND(I240="",D240="",E240=""),"— ignored",IF(C240="","⚠ Time",IF(D240="","⚠ Plant",IF(E240="","⚠ Quantity",IF(AND(ISNUMBER(L240),COUNTIF(L$1:L239,L240)&gt;0),"⚠ Same serial "&amp;L240,IF(AND(ISNUMBER(L240),L240&gt;MIN($L$2:$L$1001),COUNTIF($L$2:$L$1001,L240-1)=0,COUNTIF($L$2:$L$1001,L240-2)&lt;2),"⚠ Missing serial "&amp;(L240-1),IF(AND(MAX(K$1:K239)&gt;0,N(K240)-MAX(K$1:K239)&gt;180),"⚠ Gap &gt; 3h",IF(C240-I240&gt;=0.99,"next day",IF(C240-I240&gt;0.4,"12h → 24h","")))))))))))</f>
        <v/>
      </c>
      <c r="H240" s="4" t="str">
        <f t="shared" si="15"/>
        <v/>
      </c>
      <c r="I240" s="5" t="str">
        <f t="shared" si="16"/>
        <v/>
      </c>
      <c r="J240" s="6">
        <f t="shared" si="17"/>
        <v>0</v>
      </c>
      <c r="K240" s="4" t="str">
        <f t="shared" si="18"/>
        <v/>
      </c>
      <c r="L240" s="4" t="str">
        <f t="shared" si="19"/>
        <v/>
      </c>
      <c r="M240" s="4" t="b" cm="1">
        <f t="array" ref="M240">IF(H240="",FALSE,SUMPRODUCT(--(H$1:H239=H240))&gt;0)</f>
        <v>0</v>
      </c>
    </row>
    <row r="241" spans="1:13" x14ac:dyDescent="0.25">
      <c r="A241" s="9" t="str">
        <f>IF(OR(B241="",M241,G241="— ignored"),"",MAX(A$1:A240)+1)</f>
        <v/>
      </c>
      <c r="B241" s="10"/>
      <c r="C241" s="11" t="str">
        <f>IF(I241="","",ROUND((I241+0.5*MAX(0,CEILING(ROUND((MAX(C$1:C240)-1/48-I241)/0.5,6),1)))*1440,0)/1440)</f>
        <v/>
      </c>
      <c r="D241" s="9" t="str" cm="1">
        <f t="array" ref="D241">IF(H241="","",IFERROR(INDEX(Log!$C$19:$G$19,VALUE(MID(H241,FIND("#",H241)+1,1))),""))</f>
        <v/>
      </c>
      <c r="E241" s="9" t="str" cm="1">
        <f t="array" ref="E241">IF(OR(H241="",M241),"",IFERROR(_xlfn.LET(_xlpm.t,SUBSTITUTE(UPPER(H241),"م","M"),_xlpm.u,SUBSTITUTE(_xlpm.t,"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41" s="12"/>
      <c r="G241" s="13" t="str">
        <f>IF(B241="","",IF(M241,"⚠ Duplicate (not counted)",IF(AND(I241="",D241="",E241=""),"— ignored",IF(C241="","⚠ Time",IF(D241="","⚠ Plant",IF(E241="","⚠ Quantity",IF(AND(ISNUMBER(L241),COUNTIF(L$1:L240,L241)&gt;0),"⚠ Same serial "&amp;L241,IF(AND(ISNUMBER(L241),L241&gt;MIN($L$2:$L$1001),COUNTIF($L$2:$L$1001,L241-1)=0,COUNTIF($L$2:$L$1001,L241-2)&lt;2),"⚠ Missing serial "&amp;(L241-1),IF(AND(MAX(K$1:K240)&gt;0,N(K241)-MAX(K$1:K240)&gt;180),"⚠ Gap &gt; 3h",IF(C241-I241&gt;=0.99,"next day",IF(C241-I241&gt;0.4,"12h → 24h","")))))))))))</f>
        <v/>
      </c>
      <c r="H241" s="4" t="str">
        <f t="shared" si="15"/>
        <v/>
      </c>
      <c r="I241" s="5" t="str">
        <f t="shared" si="16"/>
        <v/>
      </c>
      <c r="J241" s="6">
        <f t="shared" si="17"/>
        <v>0</v>
      </c>
      <c r="K241" s="4" t="str">
        <f t="shared" si="18"/>
        <v/>
      </c>
      <c r="L241" s="4" t="str">
        <f t="shared" si="19"/>
        <v/>
      </c>
      <c r="M241" s="4" t="b" cm="1">
        <f t="array" ref="M241">IF(H241="",FALSE,SUMPRODUCT(--(H$1:H240=H241))&gt;0)</f>
        <v>0</v>
      </c>
    </row>
    <row r="242" spans="1:13" x14ac:dyDescent="0.25">
      <c r="A242" s="9" t="str">
        <f>IF(OR(B242="",M242,G242="— ignored"),"",MAX(A$1:A241)+1)</f>
        <v/>
      </c>
      <c r="B242" s="10"/>
      <c r="C242" s="11" t="str">
        <f>IF(I242="","",ROUND((I242+0.5*MAX(0,CEILING(ROUND((MAX(C$1:C241)-1/48-I242)/0.5,6),1)))*1440,0)/1440)</f>
        <v/>
      </c>
      <c r="D242" s="9" t="str" cm="1">
        <f t="array" ref="D242">IF(H242="","",IFERROR(INDEX(Log!$C$19:$G$19,VALUE(MID(H242,FIND("#",H242)+1,1))),""))</f>
        <v/>
      </c>
      <c r="E242" s="9" t="str" cm="1">
        <f t="array" ref="E242">IF(OR(H242="",M242),"",IFERROR(_xlfn.LET(_xlpm.t,SUBSTITUTE(UPPER(H242),"م","M"),_xlpm.u,SUBSTITUTE(_xlpm.t,"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42" s="12"/>
      <c r="G242" s="13" t="str">
        <f>IF(B242="","",IF(M242,"⚠ Duplicate (not counted)",IF(AND(I242="",D242="",E242=""),"— ignored",IF(C242="","⚠ Time",IF(D242="","⚠ Plant",IF(E242="","⚠ Quantity",IF(AND(ISNUMBER(L242),COUNTIF(L$1:L241,L242)&gt;0),"⚠ Same serial "&amp;L242,IF(AND(ISNUMBER(L242),L242&gt;MIN($L$2:$L$1001),COUNTIF($L$2:$L$1001,L242-1)=0,COUNTIF($L$2:$L$1001,L242-2)&lt;2),"⚠ Missing serial "&amp;(L242-1),IF(AND(MAX(K$1:K241)&gt;0,N(K242)-MAX(K$1:K241)&gt;180),"⚠ Gap &gt; 3h",IF(C242-I242&gt;=0.99,"next day",IF(C242-I242&gt;0.4,"12h → 24h","")))))))))))</f>
        <v/>
      </c>
      <c r="H242" s="4" t="str">
        <f t="shared" si="15"/>
        <v/>
      </c>
      <c r="I242" s="5" t="str">
        <f t="shared" si="16"/>
        <v/>
      </c>
      <c r="J242" s="6">
        <f t="shared" si="17"/>
        <v>0</v>
      </c>
      <c r="K242" s="4" t="str">
        <f t="shared" si="18"/>
        <v/>
      </c>
      <c r="L242" s="4" t="str">
        <f t="shared" si="19"/>
        <v/>
      </c>
      <c r="M242" s="4" t="b" cm="1">
        <f t="array" ref="M242">IF(H242="",FALSE,SUMPRODUCT(--(H$1:H241=H242))&gt;0)</f>
        <v>0</v>
      </c>
    </row>
    <row r="243" spans="1:13" x14ac:dyDescent="0.25">
      <c r="A243" s="9" t="str">
        <f>IF(OR(B243="",M243,G243="— ignored"),"",MAX(A$1:A242)+1)</f>
        <v/>
      </c>
      <c r="B243" s="10"/>
      <c r="C243" s="11" t="str">
        <f>IF(I243="","",ROUND((I243+0.5*MAX(0,CEILING(ROUND((MAX(C$1:C242)-1/48-I243)/0.5,6),1)))*1440,0)/1440)</f>
        <v/>
      </c>
      <c r="D243" s="9" t="str" cm="1">
        <f t="array" ref="D243">IF(H243="","",IFERROR(INDEX(Log!$C$19:$G$19,VALUE(MID(H243,FIND("#",H243)+1,1))),""))</f>
        <v/>
      </c>
      <c r="E243" s="9" t="str" cm="1">
        <f t="array" ref="E243">IF(OR(H243="",M243),"",IFERROR(_xlfn.LET(_xlpm.t,SUBSTITUTE(UPPER(H243),"م","M"),_xlpm.u,SUBSTITUTE(_xlpm.t,"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43" s="12"/>
      <c r="G243" s="13" t="str">
        <f>IF(B243="","",IF(M243,"⚠ Duplicate (not counted)",IF(AND(I243="",D243="",E243=""),"— ignored",IF(C243="","⚠ Time",IF(D243="","⚠ Plant",IF(E243="","⚠ Quantity",IF(AND(ISNUMBER(L243),COUNTIF(L$1:L242,L243)&gt;0),"⚠ Same serial "&amp;L243,IF(AND(ISNUMBER(L243),L243&gt;MIN($L$2:$L$1001),COUNTIF($L$2:$L$1001,L243-1)=0,COUNTIF($L$2:$L$1001,L243-2)&lt;2),"⚠ Missing serial "&amp;(L243-1),IF(AND(MAX(K$1:K242)&gt;0,N(K243)-MAX(K$1:K242)&gt;180),"⚠ Gap &gt; 3h",IF(C243-I243&gt;=0.99,"next day",IF(C243-I243&gt;0.4,"12h → 24h","")))))))))))</f>
        <v/>
      </c>
      <c r="H243" s="4" t="str">
        <f t="shared" si="15"/>
        <v/>
      </c>
      <c r="I243" s="5" t="str">
        <f t="shared" si="16"/>
        <v/>
      </c>
      <c r="J243" s="6">
        <f t="shared" si="17"/>
        <v>0</v>
      </c>
      <c r="K243" s="4" t="str">
        <f t="shared" si="18"/>
        <v/>
      </c>
      <c r="L243" s="4" t="str">
        <f t="shared" si="19"/>
        <v/>
      </c>
      <c r="M243" s="4" t="b" cm="1">
        <f t="array" ref="M243">IF(H243="",FALSE,SUMPRODUCT(--(H$1:H242=H243))&gt;0)</f>
        <v>0</v>
      </c>
    </row>
    <row r="244" spans="1:13" x14ac:dyDescent="0.25">
      <c r="A244" s="9" t="str">
        <f>IF(OR(B244="",M244,G244="— ignored"),"",MAX(A$1:A243)+1)</f>
        <v/>
      </c>
      <c r="B244" s="10"/>
      <c r="C244" s="11" t="str">
        <f>IF(I244="","",ROUND((I244+0.5*MAX(0,CEILING(ROUND((MAX(C$1:C243)-1/48-I244)/0.5,6),1)))*1440,0)/1440)</f>
        <v/>
      </c>
      <c r="D244" s="9" t="str" cm="1">
        <f t="array" ref="D244">IF(H244="","",IFERROR(INDEX(Log!$C$19:$G$19,VALUE(MID(H244,FIND("#",H244)+1,1))),""))</f>
        <v/>
      </c>
      <c r="E244" s="9" t="str" cm="1">
        <f t="array" ref="E244">IF(OR(H244="",M244),"",IFERROR(_xlfn.LET(_xlpm.t,SUBSTITUTE(UPPER(H244),"م","M"),_xlpm.u,SUBSTITUTE(_xlpm.t,"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44" s="12"/>
      <c r="G244" s="13" t="str">
        <f>IF(B244="","",IF(M244,"⚠ Duplicate (not counted)",IF(AND(I244="",D244="",E244=""),"— ignored",IF(C244="","⚠ Time",IF(D244="","⚠ Plant",IF(E244="","⚠ Quantity",IF(AND(ISNUMBER(L244),COUNTIF(L$1:L243,L244)&gt;0),"⚠ Same serial "&amp;L244,IF(AND(ISNUMBER(L244),L244&gt;MIN($L$2:$L$1001),COUNTIF($L$2:$L$1001,L244-1)=0,COUNTIF($L$2:$L$1001,L244-2)&lt;2),"⚠ Missing serial "&amp;(L244-1),IF(AND(MAX(K$1:K243)&gt;0,N(K244)-MAX(K$1:K243)&gt;180),"⚠ Gap &gt; 3h",IF(C244-I244&gt;=0.99,"next day",IF(C244-I244&gt;0.4,"12h → 24h","")))))))))))</f>
        <v/>
      </c>
      <c r="H244" s="4" t="str">
        <f t="shared" si="15"/>
        <v/>
      </c>
      <c r="I244" s="5" t="str">
        <f t="shared" si="16"/>
        <v/>
      </c>
      <c r="J244" s="6">
        <f t="shared" si="17"/>
        <v>0</v>
      </c>
      <c r="K244" s="4" t="str">
        <f t="shared" si="18"/>
        <v/>
      </c>
      <c r="L244" s="4" t="str">
        <f t="shared" si="19"/>
        <v/>
      </c>
      <c r="M244" s="4" t="b" cm="1">
        <f t="array" ref="M244">IF(H244="",FALSE,SUMPRODUCT(--(H$1:H243=H244))&gt;0)</f>
        <v>0</v>
      </c>
    </row>
    <row r="245" spans="1:13" x14ac:dyDescent="0.25">
      <c r="A245" s="9" t="str">
        <f>IF(OR(B245="",M245,G245="— ignored"),"",MAX(A$1:A244)+1)</f>
        <v/>
      </c>
      <c r="B245" s="10"/>
      <c r="C245" s="11" t="str">
        <f>IF(I245="","",ROUND((I245+0.5*MAX(0,CEILING(ROUND((MAX(C$1:C244)-1/48-I245)/0.5,6),1)))*1440,0)/1440)</f>
        <v/>
      </c>
      <c r="D245" s="9" t="str" cm="1">
        <f t="array" ref="D245">IF(H245="","",IFERROR(INDEX(Log!$C$19:$G$19,VALUE(MID(H245,FIND("#",H245)+1,1))),""))</f>
        <v/>
      </c>
      <c r="E245" s="9" t="str" cm="1">
        <f t="array" ref="E245">IF(OR(H245="",M245),"",IFERROR(_xlfn.LET(_xlpm.t,SUBSTITUTE(UPPER(H245),"م","M"),_xlpm.u,SUBSTITUTE(_xlpm.t,"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45" s="12"/>
      <c r="G245" s="13" t="str">
        <f>IF(B245="","",IF(M245,"⚠ Duplicate (not counted)",IF(AND(I245="",D245="",E245=""),"— ignored",IF(C245="","⚠ Time",IF(D245="","⚠ Plant",IF(E245="","⚠ Quantity",IF(AND(ISNUMBER(L245),COUNTIF(L$1:L244,L245)&gt;0),"⚠ Same serial "&amp;L245,IF(AND(ISNUMBER(L245),L245&gt;MIN($L$2:$L$1001),COUNTIF($L$2:$L$1001,L245-1)=0,COUNTIF($L$2:$L$1001,L245-2)&lt;2),"⚠ Missing serial "&amp;(L245-1),IF(AND(MAX(K$1:K244)&gt;0,N(K245)-MAX(K$1:K244)&gt;180),"⚠ Gap &gt; 3h",IF(C245-I245&gt;=0.99,"next day",IF(C245-I245&gt;0.4,"12h → 24h","")))))))))))</f>
        <v/>
      </c>
      <c r="H245" s="4" t="str">
        <f t="shared" si="15"/>
        <v/>
      </c>
      <c r="I245" s="5" t="str">
        <f t="shared" si="16"/>
        <v/>
      </c>
      <c r="J245" s="6">
        <f t="shared" si="17"/>
        <v>0</v>
      </c>
      <c r="K245" s="4" t="str">
        <f t="shared" si="18"/>
        <v/>
      </c>
      <c r="L245" s="4" t="str">
        <f t="shared" si="19"/>
        <v/>
      </c>
      <c r="M245" s="4" t="b" cm="1">
        <f t="array" ref="M245">IF(H245="",FALSE,SUMPRODUCT(--(H$1:H244=H245))&gt;0)</f>
        <v>0</v>
      </c>
    </row>
    <row r="246" spans="1:13" x14ac:dyDescent="0.25">
      <c r="A246" s="9" t="str">
        <f>IF(OR(B246="",M246,G246="— ignored"),"",MAX(A$1:A245)+1)</f>
        <v/>
      </c>
      <c r="B246" s="10"/>
      <c r="C246" s="11" t="str">
        <f>IF(I246="","",ROUND((I246+0.5*MAX(0,CEILING(ROUND((MAX(C$1:C245)-1/48-I246)/0.5,6),1)))*1440,0)/1440)</f>
        <v/>
      </c>
      <c r="D246" s="9" t="str" cm="1">
        <f t="array" ref="D246">IF(H246="","",IFERROR(INDEX(Log!$C$19:$G$19,VALUE(MID(H246,FIND("#",H246)+1,1))),""))</f>
        <v/>
      </c>
      <c r="E246" s="9" t="str" cm="1">
        <f t="array" ref="E246">IF(OR(H246="",M246),"",IFERROR(_xlfn.LET(_xlpm.t,SUBSTITUTE(UPPER(H246),"م","M"),_xlpm.u,SUBSTITUTE(_xlpm.t,"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46" s="12"/>
      <c r="G246" s="13" t="str">
        <f>IF(B246="","",IF(M246,"⚠ Duplicate (not counted)",IF(AND(I246="",D246="",E246=""),"— ignored",IF(C246="","⚠ Time",IF(D246="","⚠ Plant",IF(E246="","⚠ Quantity",IF(AND(ISNUMBER(L246),COUNTIF(L$1:L245,L246)&gt;0),"⚠ Same serial "&amp;L246,IF(AND(ISNUMBER(L246),L246&gt;MIN($L$2:$L$1001),COUNTIF($L$2:$L$1001,L246-1)=0,COUNTIF($L$2:$L$1001,L246-2)&lt;2),"⚠ Missing serial "&amp;(L246-1),IF(AND(MAX(K$1:K245)&gt;0,N(K246)-MAX(K$1:K245)&gt;180),"⚠ Gap &gt; 3h",IF(C246-I246&gt;=0.99,"next day",IF(C246-I246&gt;0.4,"12h → 24h","")))))))))))</f>
        <v/>
      </c>
      <c r="H246" s="4" t="str">
        <f t="shared" si="15"/>
        <v/>
      </c>
      <c r="I246" s="5" t="str">
        <f t="shared" si="16"/>
        <v/>
      </c>
      <c r="J246" s="6">
        <f t="shared" si="17"/>
        <v>0</v>
      </c>
      <c r="K246" s="4" t="str">
        <f t="shared" si="18"/>
        <v/>
      </c>
      <c r="L246" s="4" t="str">
        <f t="shared" si="19"/>
        <v/>
      </c>
      <c r="M246" s="4" t="b" cm="1">
        <f t="array" ref="M246">IF(H246="",FALSE,SUMPRODUCT(--(H$1:H245=H246))&gt;0)</f>
        <v>0</v>
      </c>
    </row>
    <row r="247" spans="1:13" x14ac:dyDescent="0.25">
      <c r="A247" s="9" t="str">
        <f>IF(OR(B247="",M247,G247="— ignored"),"",MAX(A$1:A246)+1)</f>
        <v/>
      </c>
      <c r="B247" s="10"/>
      <c r="C247" s="11" t="str">
        <f>IF(I247="","",ROUND((I247+0.5*MAX(0,CEILING(ROUND((MAX(C$1:C246)-1/48-I247)/0.5,6),1)))*1440,0)/1440)</f>
        <v/>
      </c>
      <c r="D247" s="9" t="str" cm="1">
        <f t="array" ref="D247">IF(H247="","",IFERROR(INDEX(Log!$C$19:$G$19,VALUE(MID(H247,FIND("#",H247)+1,1))),""))</f>
        <v/>
      </c>
      <c r="E247" s="9" t="str" cm="1">
        <f t="array" ref="E247">IF(OR(H247="",M247),"",IFERROR(_xlfn.LET(_xlpm.t,SUBSTITUTE(UPPER(H247),"م","M"),_xlpm.u,SUBSTITUTE(_xlpm.t,"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47" s="12"/>
      <c r="G247" s="13" t="str">
        <f>IF(B247="","",IF(M247,"⚠ Duplicate (not counted)",IF(AND(I247="",D247="",E247=""),"— ignored",IF(C247="","⚠ Time",IF(D247="","⚠ Plant",IF(E247="","⚠ Quantity",IF(AND(ISNUMBER(L247),COUNTIF(L$1:L246,L247)&gt;0),"⚠ Same serial "&amp;L247,IF(AND(ISNUMBER(L247),L247&gt;MIN($L$2:$L$1001),COUNTIF($L$2:$L$1001,L247-1)=0,COUNTIF($L$2:$L$1001,L247-2)&lt;2),"⚠ Missing serial "&amp;(L247-1),IF(AND(MAX(K$1:K246)&gt;0,N(K247)-MAX(K$1:K246)&gt;180),"⚠ Gap &gt; 3h",IF(C247-I247&gt;=0.99,"next day",IF(C247-I247&gt;0.4,"12h → 24h","")))))))))))</f>
        <v/>
      </c>
      <c r="H247" s="4" t="str">
        <f t="shared" si="15"/>
        <v/>
      </c>
      <c r="I247" s="5" t="str">
        <f t="shared" si="16"/>
        <v/>
      </c>
      <c r="J247" s="6">
        <f t="shared" si="17"/>
        <v>0</v>
      </c>
      <c r="K247" s="4" t="str">
        <f t="shared" si="18"/>
        <v/>
      </c>
      <c r="L247" s="4" t="str">
        <f t="shared" si="19"/>
        <v/>
      </c>
      <c r="M247" s="4" t="b" cm="1">
        <f t="array" ref="M247">IF(H247="",FALSE,SUMPRODUCT(--(H$1:H246=H247))&gt;0)</f>
        <v>0</v>
      </c>
    </row>
    <row r="248" spans="1:13" x14ac:dyDescent="0.25">
      <c r="A248" s="9" t="str">
        <f>IF(OR(B248="",M248,G248="— ignored"),"",MAX(A$1:A247)+1)</f>
        <v/>
      </c>
      <c r="B248" s="10"/>
      <c r="C248" s="11" t="str">
        <f>IF(I248="","",ROUND((I248+0.5*MAX(0,CEILING(ROUND((MAX(C$1:C247)-1/48-I248)/0.5,6),1)))*1440,0)/1440)</f>
        <v/>
      </c>
      <c r="D248" s="9" t="str" cm="1">
        <f t="array" ref="D248">IF(H248="","",IFERROR(INDEX(Log!$C$19:$G$19,VALUE(MID(H248,FIND("#",H248)+1,1))),""))</f>
        <v/>
      </c>
      <c r="E248" s="9" t="str" cm="1">
        <f t="array" ref="E248">IF(OR(H248="",M248),"",IFERROR(_xlfn.LET(_xlpm.t,SUBSTITUTE(UPPER(H248),"م","M"),_xlpm.u,SUBSTITUTE(_xlpm.t,"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48" s="12"/>
      <c r="G248" s="13" t="str">
        <f>IF(B248="","",IF(M248,"⚠ Duplicate (not counted)",IF(AND(I248="",D248="",E248=""),"— ignored",IF(C248="","⚠ Time",IF(D248="","⚠ Plant",IF(E248="","⚠ Quantity",IF(AND(ISNUMBER(L248),COUNTIF(L$1:L247,L248)&gt;0),"⚠ Same serial "&amp;L248,IF(AND(ISNUMBER(L248),L248&gt;MIN($L$2:$L$1001),COUNTIF($L$2:$L$1001,L248-1)=0,COUNTIF($L$2:$L$1001,L248-2)&lt;2),"⚠ Missing serial "&amp;(L248-1),IF(AND(MAX(K$1:K247)&gt;0,N(K248)-MAX(K$1:K247)&gt;180),"⚠ Gap &gt; 3h",IF(C248-I248&gt;=0.99,"next day",IF(C248-I248&gt;0.4,"12h → 24h","")))))))))))</f>
        <v/>
      </c>
      <c r="H248" s="4" t="str">
        <f t="shared" si="15"/>
        <v/>
      </c>
      <c r="I248" s="5" t="str">
        <f t="shared" si="16"/>
        <v/>
      </c>
      <c r="J248" s="6">
        <f t="shared" si="17"/>
        <v>0</v>
      </c>
      <c r="K248" s="4" t="str">
        <f t="shared" si="18"/>
        <v/>
      </c>
      <c r="L248" s="4" t="str">
        <f t="shared" si="19"/>
        <v/>
      </c>
      <c r="M248" s="4" t="b" cm="1">
        <f t="array" ref="M248">IF(H248="",FALSE,SUMPRODUCT(--(H$1:H247=H248))&gt;0)</f>
        <v>0</v>
      </c>
    </row>
    <row r="249" spans="1:13" x14ac:dyDescent="0.25">
      <c r="A249" s="9" t="str">
        <f>IF(OR(B249="",M249,G249="— ignored"),"",MAX(A$1:A248)+1)</f>
        <v/>
      </c>
      <c r="B249" s="10"/>
      <c r="C249" s="11" t="str">
        <f>IF(I249="","",ROUND((I249+0.5*MAX(0,CEILING(ROUND((MAX(C$1:C248)-1/48-I249)/0.5,6),1)))*1440,0)/1440)</f>
        <v/>
      </c>
      <c r="D249" s="9" t="str" cm="1">
        <f t="array" ref="D249">IF(H249="","",IFERROR(INDEX(Log!$C$19:$G$19,VALUE(MID(H249,FIND("#",H249)+1,1))),""))</f>
        <v/>
      </c>
      <c r="E249" s="9" t="str" cm="1">
        <f t="array" ref="E249">IF(OR(H249="",M249),"",IFERROR(_xlfn.LET(_xlpm.t,SUBSTITUTE(UPPER(H249),"م","M"),_xlpm.u,SUBSTITUTE(_xlpm.t,"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49" s="12"/>
      <c r="G249" s="13" t="str">
        <f>IF(B249="","",IF(M249,"⚠ Duplicate (not counted)",IF(AND(I249="",D249="",E249=""),"— ignored",IF(C249="","⚠ Time",IF(D249="","⚠ Plant",IF(E249="","⚠ Quantity",IF(AND(ISNUMBER(L249),COUNTIF(L$1:L248,L249)&gt;0),"⚠ Same serial "&amp;L249,IF(AND(ISNUMBER(L249),L249&gt;MIN($L$2:$L$1001),COUNTIF($L$2:$L$1001,L249-1)=0,COUNTIF($L$2:$L$1001,L249-2)&lt;2),"⚠ Missing serial "&amp;(L249-1),IF(AND(MAX(K$1:K248)&gt;0,N(K249)-MAX(K$1:K248)&gt;180),"⚠ Gap &gt; 3h",IF(C249-I249&gt;=0.99,"next day",IF(C249-I249&gt;0.4,"12h → 24h","")))))))))))</f>
        <v/>
      </c>
      <c r="H249" s="4" t="str">
        <f t="shared" si="15"/>
        <v/>
      </c>
      <c r="I249" s="5" t="str">
        <f t="shared" si="16"/>
        <v/>
      </c>
      <c r="J249" s="6">
        <f t="shared" si="17"/>
        <v>0</v>
      </c>
      <c r="K249" s="4" t="str">
        <f t="shared" si="18"/>
        <v/>
      </c>
      <c r="L249" s="4" t="str">
        <f t="shared" si="19"/>
        <v/>
      </c>
      <c r="M249" s="4" t="b" cm="1">
        <f t="array" ref="M249">IF(H249="",FALSE,SUMPRODUCT(--(H$1:H248=H249))&gt;0)</f>
        <v>0</v>
      </c>
    </row>
    <row r="250" spans="1:13" x14ac:dyDescent="0.25">
      <c r="A250" s="9" t="str">
        <f>IF(OR(B250="",M250,G250="— ignored"),"",MAX(A$1:A249)+1)</f>
        <v/>
      </c>
      <c r="B250" s="10"/>
      <c r="C250" s="11" t="str">
        <f>IF(I250="","",ROUND((I250+0.5*MAX(0,CEILING(ROUND((MAX(C$1:C249)-1/48-I250)/0.5,6),1)))*1440,0)/1440)</f>
        <v/>
      </c>
      <c r="D250" s="9" t="str" cm="1">
        <f t="array" ref="D250">IF(H250="","",IFERROR(INDEX(Log!$C$19:$G$19,VALUE(MID(H250,FIND("#",H250)+1,1))),""))</f>
        <v/>
      </c>
      <c r="E250" s="9" t="str" cm="1">
        <f t="array" ref="E250">IF(OR(H250="",M250),"",IFERROR(_xlfn.LET(_xlpm.t,SUBSTITUTE(UPPER(H250),"م","M"),_xlpm.u,SUBSTITUTE(_xlpm.t,"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50" s="12"/>
      <c r="G250" s="13" t="str">
        <f>IF(B250="","",IF(M250,"⚠ Duplicate (not counted)",IF(AND(I250="",D250="",E250=""),"— ignored",IF(C250="","⚠ Time",IF(D250="","⚠ Plant",IF(E250="","⚠ Quantity",IF(AND(ISNUMBER(L250),COUNTIF(L$1:L249,L250)&gt;0),"⚠ Same serial "&amp;L250,IF(AND(ISNUMBER(L250),L250&gt;MIN($L$2:$L$1001),COUNTIF($L$2:$L$1001,L250-1)=0,COUNTIF($L$2:$L$1001,L250-2)&lt;2),"⚠ Missing serial "&amp;(L250-1),IF(AND(MAX(K$1:K249)&gt;0,N(K250)-MAX(K$1:K249)&gt;180),"⚠ Gap &gt; 3h",IF(C250-I250&gt;=0.99,"next day",IF(C250-I250&gt;0.4,"12h → 24h","")))))))))))</f>
        <v/>
      </c>
      <c r="H250" s="4" t="str">
        <f t="shared" si="15"/>
        <v/>
      </c>
      <c r="I250" s="5" t="str">
        <f t="shared" si="16"/>
        <v/>
      </c>
      <c r="J250" s="6">
        <f t="shared" si="17"/>
        <v>0</v>
      </c>
      <c r="K250" s="4" t="str">
        <f t="shared" si="18"/>
        <v/>
      </c>
      <c r="L250" s="4" t="str">
        <f t="shared" si="19"/>
        <v/>
      </c>
      <c r="M250" s="4" t="b" cm="1">
        <f t="array" ref="M250">IF(H250="",FALSE,SUMPRODUCT(--(H$1:H249=H250))&gt;0)</f>
        <v>0</v>
      </c>
    </row>
    <row r="251" spans="1:13" x14ac:dyDescent="0.25">
      <c r="A251" s="9" t="str">
        <f>IF(OR(B251="",M251,G251="— ignored"),"",MAX(A$1:A250)+1)</f>
        <v/>
      </c>
      <c r="B251" s="10"/>
      <c r="C251" s="11" t="str">
        <f>IF(I251="","",ROUND((I251+0.5*MAX(0,CEILING(ROUND((MAX(C$1:C250)-1/48-I251)/0.5,6),1)))*1440,0)/1440)</f>
        <v/>
      </c>
      <c r="D251" s="9" t="str" cm="1">
        <f t="array" ref="D251">IF(H251="","",IFERROR(INDEX(Log!$C$19:$G$19,VALUE(MID(H251,FIND("#",H251)+1,1))),""))</f>
        <v/>
      </c>
      <c r="E251" s="9" t="str" cm="1">
        <f t="array" ref="E251">IF(OR(H251="",M251),"",IFERROR(_xlfn.LET(_xlpm.t,SUBSTITUTE(UPPER(H251),"م","M"),_xlpm.u,SUBSTITUTE(_xlpm.t,"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51" s="12"/>
      <c r="G251" s="13" t="str">
        <f>IF(B251="","",IF(M251,"⚠ Duplicate (not counted)",IF(AND(I251="",D251="",E251=""),"— ignored",IF(C251="","⚠ Time",IF(D251="","⚠ Plant",IF(E251="","⚠ Quantity",IF(AND(ISNUMBER(L251),COUNTIF(L$1:L250,L251)&gt;0),"⚠ Same serial "&amp;L251,IF(AND(ISNUMBER(L251),L251&gt;MIN($L$2:$L$1001),COUNTIF($L$2:$L$1001,L251-1)=0,COUNTIF($L$2:$L$1001,L251-2)&lt;2),"⚠ Missing serial "&amp;(L251-1),IF(AND(MAX(K$1:K250)&gt;0,N(K251)-MAX(K$1:K250)&gt;180),"⚠ Gap &gt; 3h",IF(C251-I251&gt;=0.99,"next day",IF(C251-I251&gt;0.4,"12h → 24h","")))))))))))</f>
        <v/>
      </c>
      <c r="H251" s="4" t="str">
        <f t="shared" si="15"/>
        <v/>
      </c>
      <c r="I251" s="5" t="str">
        <f t="shared" si="16"/>
        <v/>
      </c>
      <c r="J251" s="6">
        <f t="shared" si="17"/>
        <v>0</v>
      </c>
      <c r="K251" s="4" t="str">
        <f t="shared" si="18"/>
        <v/>
      </c>
      <c r="L251" s="4" t="str">
        <f t="shared" si="19"/>
        <v/>
      </c>
      <c r="M251" s="4" t="b" cm="1">
        <f t="array" ref="M251">IF(H251="",FALSE,SUMPRODUCT(--(H$1:H250=H251))&gt;0)</f>
        <v>0</v>
      </c>
    </row>
    <row r="252" spans="1:13" x14ac:dyDescent="0.25">
      <c r="A252" s="9" t="str">
        <f>IF(OR(B252="",M252,G252="— ignored"),"",MAX(A$1:A251)+1)</f>
        <v/>
      </c>
      <c r="B252" s="10"/>
      <c r="C252" s="11" t="str">
        <f>IF(I252="","",ROUND((I252+0.5*MAX(0,CEILING(ROUND((MAX(C$1:C251)-1/48-I252)/0.5,6),1)))*1440,0)/1440)</f>
        <v/>
      </c>
      <c r="D252" s="9" t="str" cm="1">
        <f t="array" ref="D252">IF(H252="","",IFERROR(INDEX(Log!$C$19:$G$19,VALUE(MID(H252,FIND("#",H252)+1,1))),""))</f>
        <v/>
      </c>
      <c r="E252" s="9" t="str" cm="1">
        <f t="array" ref="E252">IF(OR(H252="",M252),"",IFERROR(_xlfn.LET(_xlpm.t,SUBSTITUTE(UPPER(H252),"م","M"),_xlpm.u,SUBSTITUTE(_xlpm.t,"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52" s="12"/>
      <c r="G252" s="13" t="str">
        <f>IF(B252="","",IF(M252,"⚠ Duplicate (not counted)",IF(AND(I252="",D252="",E252=""),"— ignored",IF(C252="","⚠ Time",IF(D252="","⚠ Plant",IF(E252="","⚠ Quantity",IF(AND(ISNUMBER(L252),COUNTIF(L$1:L251,L252)&gt;0),"⚠ Same serial "&amp;L252,IF(AND(ISNUMBER(L252),L252&gt;MIN($L$2:$L$1001),COUNTIF($L$2:$L$1001,L252-1)=0,COUNTIF($L$2:$L$1001,L252-2)&lt;2),"⚠ Missing serial "&amp;(L252-1),IF(AND(MAX(K$1:K251)&gt;0,N(K252)-MAX(K$1:K251)&gt;180),"⚠ Gap &gt; 3h",IF(C252-I252&gt;=0.99,"next day",IF(C252-I252&gt;0.4,"12h → 24h","")))))))))))</f>
        <v/>
      </c>
      <c r="H252" s="4" t="str">
        <f t="shared" si="15"/>
        <v/>
      </c>
      <c r="I252" s="5" t="str">
        <f t="shared" si="16"/>
        <v/>
      </c>
      <c r="J252" s="6">
        <f t="shared" si="17"/>
        <v>0</v>
      </c>
      <c r="K252" s="4" t="str">
        <f t="shared" si="18"/>
        <v/>
      </c>
      <c r="L252" s="4" t="str">
        <f t="shared" si="19"/>
        <v/>
      </c>
      <c r="M252" s="4" t="b" cm="1">
        <f t="array" ref="M252">IF(H252="",FALSE,SUMPRODUCT(--(H$1:H251=H252))&gt;0)</f>
        <v>0</v>
      </c>
    </row>
    <row r="253" spans="1:13" x14ac:dyDescent="0.25">
      <c r="A253" s="9" t="str">
        <f>IF(OR(B253="",M253,G253="— ignored"),"",MAX(A$1:A252)+1)</f>
        <v/>
      </c>
      <c r="B253" s="10"/>
      <c r="C253" s="11" t="str">
        <f>IF(I253="","",ROUND((I253+0.5*MAX(0,CEILING(ROUND((MAX(C$1:C252)-1/48-I253)/0.5,6),1)))*1440,0)/1440)</f>
        <v/>
      </c>
      <c r="D253" s="9" t="str" cm="1">
        <f t="array" ref="D253">IF(H253="","",IFERROR(INDEX(Log!$C$19:$G$19,VALUE(MID(H253,FIND("#",H253)+1,1))),""))</f>
        <v/>
      </c>
      <c r="E253" s="9" t="str" cm="1">
        <f t="array" ref="E253">IF(OR(H253="",M253),"",IFERROR(_xlfn.LET(_xlpm.t,SUBSTITUTE(UPPER(H253),"م","M"),_xlpm.u,SUBSTITUTE(_xlpm.t,"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53" s="12"/>
      <c r="G253" s="13" t="str">
        <f>IF(B253="","",IF(M253,"⚠ Duplicate (not counted)",IF(AND(I253="",D253="",E253=""),"— ignored",IF(C253="","⚠ Time",IF(D253="","⚠ Plant",IF(E253="","⚠ Quantity",IF(AND(ISNUMBER(L253),COUNTIF(L$1:L252,L253)&gt;0),"⚠ Same serial "&amp;L253,IF(AND(ISNUMBER(L253),L253&gt;MIN($L$2:$L$1001),COUNTIF($L$2:$L$1001,L253-1)=0,COUNTIF($L$2:$L$1001,L253-2)&lt;2),"⚠ Missing serial "&amp;(L253-1),IF(AND(MAX(K$1:K252)&gt;0,N(K253)-MAX(K$1:K252)&gt;180),"⚠ Gap &gt; 3h",IF(C253-I253&gt;=0.99,"next day",IF(C253-I253&gt;0.4,"12h → 24h","")))))))))))</f>
        <v/>
      </c>
      <c r="H253" s="4" t="str">
        <f t="shared" si="15"/>
        <v/>
      </c>
      <c r="I253" s="5" t="str">
        <f t="shared" si="16"/>
        <v/>
      </c>
      <c r="J253" s="6">
        <f t="shared" si="17"/>
        <v>0</v>
      </c>
      <c r="K253" s="4" t="str">
        <f t="shared" si="18"/>
        <v/>
      </c>
      <c r="L253" s="4" t="str">
        <f t="shared" si="19"/>
        <v/>
      </c>
      <c r="M253" s="4" t="b" cm="1">
        <f t="array" ref="M253">IF(H253="",FALSE,SUMPRODUCT(--(H$1:H252=H253))&gt;0)</f>
        <v>0</v>
      </c>
    </row>
    <row r="254" spans="1:13" x14ac:dyDescent="0.25">
      <c r="A254" s="9" t="str">
        <f>IF(OR(B254="",M254,G254="— ignored"),"",MAX(A$1:A253)+1)</f>
        <v/>
      </c>
      <c r="B254" s="10"/>
      <c r="C254" s="11" t="str">
        <f>IF(I254="","",ROUND((I254+0.5*MAX(0,CEILING(ROUND((MAX(C$1:C253)-1/48-I254)/0.5,6),1)))*1440,0)/1440)</f>
        <v/>
      </c>
      <c r="D254" s="9" t="str" cm="1">
        <f t="array" ref="D254">IF(H254="","",IFERROR(INDEX(Log!$C$19:$G$19,VALUE(MID(H254,FIND("#",H254)+1,1))),""))</f>
        <v/>
      </c>
      <c r="E254" s="9" t="str" cm="1">
        <f t="array" ref="E254">IF(OR(H254="",M254),"",IFERROR(_xlfn.LET(_xlpm.t,SUBSTITUTE(UPPER(H254),"م","M"),_xlpm.u,SUBSTITUTE(_xlpm.t,"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54" s="12"/>
      <c r="G254" s="13" t="str">
        <f>IF(B254="","",IF(M254,"⚠ Duplicate (not counted)",IF(AND(I254="",D254="",E254=""),"— ignored",IF(C254="","⚠ Time",IF(D254="","⚠ Plant",IF(E254="","⚠ Quantity",IF(AND(ISNUMBER(L254),COUNTIF(L$1:L253,L254)&gt;0),"⚠ Same serial "&amp;L254,IF(AND(ISNUMBER(L254),L254&gt;MIN($L$2:$L$1001),COUNTIF($L$2:$L$1001,L254-1)=0,COUNTIF($L$2:$L$1001,L254-2)&lt;2),"⚠ Missing serial "&amp;(L254-1),IF(AND(MAX(K$1:K253)&gt;0,N(K254)-MAX(K$1:K253)&gt;180),"⚠ Gap &gt; 3h",IF(C254-I254&gt;=0.99,"next day",IF(C254-I254&gt;0.4,"12h → 24h","")))))))))))</f>
        <v/>
      </c>
      <c r="H254" s="4" t="str">
        <f t="shared" si="15"/>
        <v/>
      </c>
      <c r="I254" s="5" t="str">
        <f t="shared" si="16"/>
        <v/>
      </c>
      <c r="J254" s="6">
        <f t="shared" si="17"/>
        <v>0</v>
      </c>
      <c r="K254" s="4" t="str">
        <f t="shared" si="18"/>
        <v/>
      </c>
      <c r="L254" s="4" t="str">
        <f t="shared" si="19"/>
        <v/>
      </c>
      <c r="M254" s="4" t="b" cm="1">
        <f t="array" ref="M254">IF(H254="",FALSE,SUMPRODUCT(--(H$1:H253=H254))&gt;0)</f>
        <v>0</v>
      </c>
    </row>
    <row r="255" spans="1:13" x14ac:dyDescent="0.25">
      <c r="A255" s="9" t="str">
        <f>IF(OR(B255="",M255,G255="— ignored"),"",MAX(A$1:A254)+1)</f>
        <v/>
      </c>
      <c r="B255" s="10"/>
      <c r="C255" s="11" t="str">
        <f>IF(I255="","",ROUND((I255+0.5*MAX(0,CEILING(ROUND((MAX(C$1:C254)-1/48-I255)/0.5,6),1)))*1440,0)/1440)</f>
        <v/>
      </c>
      <c r="D255" s="9" t="str" cm="1">
        <f t="array" ref="D255">IF(H255="","",IFERROR(INDEX(Log!$C$19:$G$19,VALUE(MID(H255,FIND("#",H255)+1,1))),""))</f>
        <v/>
      </c>
      <c r="E255" s="9" t="str" cm="1">
        <f t="array" ref="E255">IF(OR(H255="",M255),"",IFERROR(_xlfn.LET(_xlpm.t,SUBSTITUTE(UPPER(H255),"م","M"),_xlpm.u,SUBSTITUTE(_xlpm.t,"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55" s="12"/>
      <c r="G255" s="13" t="str">
        <f>IF(B255="","",IF(M255,"⚠ Duplicate (not counted)",IF(AND(I255="",D255="",E255=""),"— ignored",IF(C255="","⚠ Time",IF(D255="","⚠ Plant",IF(E255="","⚠ Quantity",IF(AND(ISNUMBER(L255),COUNTIF(L$1:L254,L255)&gt;0),"⚠ Same serial "&amp;L255,IF(AND(ISNUMBER(L255),L255&gt;MIN($L$2:$L$1001),COUNTIF($L$2:$L$1001,L255-1)=0,COUNTIF($L$2:$L$1001,L255-2)&lt;2),"⚠ Missing serial "&amp;(L255-1),IF(AND(MAX(K$1:K254)&gt;0,N(K255)-MAX(K$1:K254)&gt;180),"⚠ Gap &gt; 3h",IF(C255-I255&gt;=0.99,"next day",IF(C255-I255&gt;0.4,"12h → 24h","")))))))))))</f>
        <v/>
      </c>
      <c r="H255" s="4" t="str">
        <f t="shared" si="15"/>
        <v/>
      </c>
      <c r="I255" s="5" t="str">
        <f t="shared" si="16"/>
        <v/>
      </c>
      <c r="J255" s="6">
        <f t="shared" si="17"/>
        <v>0</v>
      </c>
      <c r="K255" s="4" t="str">
        <f t="shared" si="18"/>
        <v/>
      </c>
      <c r="L255" s="4" t="str">
        <f t="shared" si="19"/>
        <v/>
      </c>
      <c r="M255" s="4" t="b" cm="1">
        <f t="array" ref="M255">IF(H255="",FALSE,SUMPRODUCT(--(H$1:H254=H255))&gt;0)</f>
        <v>0</v>
      </c>
    </row>
    <row r="256" spans="1:13" x14ac:dyDescent="0.25">
      <c r="A256" s="9" t="str">
        <f>IF(OR(B256="",M256,G256="— ignored"),"",MAX(A$1:A255)+1)</f>
        <v/>
      </c>
      <c r="B256" s="10"/>
      <c r="C256" s="11" t="str">
        <f>IF(I256="","",ROUND((I256+0.5*MAX(0,CEILING(ROUND((MAX(C$1:C255)-1/48-I256)/0.5,6),1)))*1440,0)/1440)</f>
        <v/>
      </c>
      <c r="D256" s="9" t="str" cm="1">
        <f t="array" ref="D256">IF(H256="","",IFERROR(INDEX(Log!$C$19:$G$19,VALUE(MID(H256,FIND("#",H256)+1,1))),""))</f>
        <v/>
      </c>
      <c r="E256" s="9" t="str" cm="1">
        <f t="array" ref="E256">IF(OR(H256="",M256),"",IFERROR(_xlfn.LET(_xlpm.t,SUBSTITUTE(UPPER(H256),"م","M"),_xlpm.u,SUBSTITUTE(_xlpm.t,"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56" s="12"/>
      <c r="G256" s="13" t="str">
        <f>IF(B256="","",IF(M256,"⚠ Duplicate (not counted)",IF(AND(I256="",D256="",E256=""),"— ignored",IF(C256="","⚠ Time",IF(D256="","⚠ Plant",IF(E256="","⚠ Quantity",IF(AND(ISNUMBER(L256),COUNTIF(L$1:L255,L256)&gt;0),"⚠ Same serial "&amp;L256,IF(AND(ISNUMBER(L256),L256&gt;MIN($L$2:$L$1001),COUNTIF($L$2:$L$1001,L256-1)=0,COUNTIF($L$2:$L$1001,L256-2)&lt;2),"⚠ Missing serial "&amp;(L256-1),IF(AND(MAX(K$1:K255)&gt;0,N(K256)-MAX(K$1:K255)&gt;180),"⚠ Gap &gt; 3h",IF(C256-I256&gt;=0.99,"next day",IF(C256-I256&gt;0.4,"12h → 24h","")))))))))))</f>
        <v/>
      </c>
      <c r="H256" s="4" t="str">
        <f t="shared" si="15"/>
        <v/>
      </c>
      <c r="I256" s="5" t="str">
        <f t="shared" si="16"/>
        <v/>
      </c>
      <c r="J256" s="6">
        <f t="shared" si="17"/>
        <v>0</v>
      </c>
      <c r="K256" s="4" t="str">
        <f t="shared" si="18"/>
        <v/>
      </c>
      <c r="L256" s="4" t="str">
        <f t="shared" si="19"/>
        <v/>
      </c>
      <c r="M256" s="4" t="b" cm="1">
        <f t="array" ref="M256">IF(H256="",FALSE,SUMPRODUCT(--(H$1:H255=H256))&gt;0)</f>
        <v>0</v>
      </c>
    </row>
    <row r="257" spans="1:13" x14ac:dyDescent="0.25">
      <c r="A257" s="9" t="str">
        <f>IF(OR(B257="",M257,G257="— ignored"),"",MAX(A$1:A256)+1)</f>
        <v/>
      </c>
      <c r="B257" s="10"/>
      <c r="C257" s="11" t="str">
        <f>IF(I257="","",ROUND((I257+0.5*MAX(0,CEILING(ROUND((MAX(C$1:C256)-1/48-I257)/0.5,6),1)))*1440,0)/1440)</f>
        <v/>
      </c>
      <c r="D257" s="9" t="str" cm="1">
        <f t="array" ref="D257">IF(H257="","",IFERROR(INDEX(Log!$C$19:$G$19,VALUE(MID(H257,FIND("#",H257)+1,1))),""))</f>
        <v/>
      </c>
      <c r="E257" s="9" t="str" cm="1">
        <f t="array" ref="E257">IF(OR(H257="",M257),"",IFERROR(_xlfn.LET(_xlpm.t,SUBSTITUTE(UPPER(H257),"م","M"),_xlpm.u,SUBSTITUTE(_xlpm.t,"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57" s="12"/>
      <c r="G257" s="13" t="str">
        <f>IF(B257="","",IF(M257,"⚠ Duplicate (not counted)",IF(AND(I257="",D257="",E257=""),"— ignored",IF(C257="","⚠ Time",IF(D257="","⚠ Plant",IF(E257="","⚠ Quantity",IF(AND(ISNUMBER(L257),COUNTIF(L$1:L256,L257)&gt;0),"⚠ Same serial "&amp;L257,IF(AND(ISNUMBER(L257),L257&gt;MIN($L$2:$L$1001),COUNTIF($L$2:$L$1001,L257-1)=0,COUNTIF($L$2:$L$1001,L257-2)&lt;2),"⚠ Missing serial "&amp;(L257-1),IF(AND(MAX(K$1:K256)&gt;0,N(K257)-MAX(K$1:K256)&gt;180),"⚠ Gap &gt; 3h",IF(C257-I257&gt;=0.99,"next day",IF(C257-I257&gt;0.4,"12h → 24h","")))))))))))</f>
        <v/>
      </c>
      <c r="H257" s="4" t="str">
        <f t="shared" si="15"/>
        <v/>
      </c>
      <c r="I257" s="5" t="str">
        <f t="shared" si="16"/>
        <v/>
      </c>
      <c r="J257" s="6">
        <f t="shared" si="17"/>
        <v>0</v>
      </c>
      <c r="K257" s="4" t="str">
        <f t="shared" si="18"/>
        <v/>
      </c>
      <c r="L257" s="4" t="str">
        <f t="shared" si="19"/>
        <v/>
      </c>
      <c r="M257" s="4" t="b" cm="1">
        <f t="array" ref="M257">IF(H257="",FALSE,SUMPRODUCT(--(H$1:H256=H257))&gt;0)</f>
        <v>0</v>
      </c>
    </row>
    <row r="258" spans="1:13" x14ac:dyDescent="0.25">
      <c r="A258" s="9" t="str">
        <f>IF(OR(B258="",M258,G258="— ignored"),"",MAX(A$1:A257)+1)</f>
        <v/>
      </c>
      <c r="B258" s="10"/>
      <c r="C258" s="11" t="str">
        <f>IF(I258="","",ROUND((I258+0.5*MAX(0,CEILING(ROUND((MAX(C$1:C257)-1/48-I258)/0.5,6),1)))*1440,0)/1440)</f>
        <v/>
      </c>
      <c r="D258" s="9" t="str" cm="1">
        <f t="array" ref="D258">IF(H258="","",IFERROR(INDEX(Log!$C$19:$G$19,VALUE(MID(H258,FIND("#",H258)+1,1))),""))</f>
        <v/>
      </c>
      <c r="E258" s="9" t="str" cm="1">
        <f t="array" ref="E258">IF(OR(H258="",M258),"",IFERROR(_xlfn.LET(_xlpm.t,SUBSTITUTE(UPPER(H258),"م","M"),_xlpm.u,SUBSTITUTE(_xlpm.t,"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58" s="12"/>
      <c r="G258" s="13" t="str">
        <f>IF(B258="","",IF(M258,"⚠ Duplicate (not counted)",IF(AND(I258="",D258="",E258=""),"— ignored",IF(C258="","⚠ Time",IF(D258="","⚠ Plant",IF(E258="","⚠ Quantity",IF(AND(ISNUMBER(L258),COUNTIF(L$1:L257,L258)&gt;0),"⚠ Same serial "&amp;L258,IF(AND(ISNUMBER(L258),L258&gt;MIN($L$2:$L$1001),COUNTIF($L$2:$L$1001,L258-1)=0,COUNTIF($L$2:$L$1001,L258-2)&lt;2),"⚠ Missing serial "&amp;(L258-1),IF(AND(MAX(K$1:K257)&gt;0,N(K258)-MAX(K$1:K257)&gt;180),"⚠ Gap &gt; 3h",IF(C258-I258&gt;=0.99,"next day",IF(C258-I258&gt;0.4,"12h → 24h","")))))))))))</f>
        <v/>
      </c>
      <c r="H258" s="4" t="str">
        <f t="shared" ref="H258:H321" si="20">IF(B258="","",_xlfn.LET(_xlpm.t,TRIM(B258),IF(LEFT(_xlpm.t,1)="[",IFERROR(TRIM(MID(_xlpm.t,FIND(": ",_xlpm.t,FIND("]",_xlpm.t))+2,500)),_xlpm.t),_xlpm.t)))</f>
        <v/>
      </c>
      <c r="I258" s="5" t="str">
        <f t="shared" ref="I258:I321" si="21">IF(H258="","",IFERROR(TIMEVALUE(TRIM(SUBSTITUTE(SUBSTITUTE(MID(H258,SEARCH(":",H258)-2,5),".",""),"*",""))),""))</f>
        <v/>
      </c>
      <c r="J258" s="6">
        <f t="shared" ref="J258:J321" si="22">IF(OR(B258="",F258="",M258),0,IF(ISNUMBER(F258),F258,N(E258)))</f>
        <v>0</v>
      </c>
      <c r="K258" s="4" t="str">
        <f t="shared" ref="K258:K321" si="23">IF(OR(C258="",M258),"",ROUND(C258*1440,0))</f>
        <v/>
      </c>
      <c r="L258" s="4" t="str">
        <f t="shared" ref="L258:L321" si="24">IF(OR(H258="",AND(I258="",D258="")),"",IFERROR(_xlfn.LET(_xlpm.t,TRIM(SUBSTITUTE(SUBSTITUTE(H258,"*",""),"_","")),VALUE(SUBSTITUTE(LEFT(_xlpm.t,FIND(" ",_xlpm.t&amp;" ")-1),".",""))),""))</f>
        <v/>
      </c>
      <c r="M258" s="4" t="b" cm="1">
        <f t="array" ref="M258">IF(H258="",FALSE,SUMPRODUCT(--(H$1:H257=H258))&gt;0)</f>
        <v>0</v>
      </c>
    </row>
    <row r="259" spans="1:13" x14ac:dyDescent="0.25">
      <c r="A259" s="9" t="str">
        <f>IF(OR(B259="",M259,G259="— ignored"),"",MAX(A$1:A258)+1)</f>
        <v/>
      </c>
      <c r="B259" s="10"/>
      <c r="C259" s="11" t="str">
        <f>IF(I259="","",ROUND((I259+0.5*MAX(0,CEILING(ROUND((MAX(C$1:C258)-1/48-I259)/0.5,6),1)))*1440,0)/1440)</f>
        <v/>
      </c>
      <c r="D259" s="9" t="str" cm="1">
        <f t="array" ref="D259">IF(H259="","",IFERROR(INDEX(Log!$C$19:$G$19,VALUE(MID(H259,FIND("#",H259)+1,1))),""))</f>
        <v/>
      </c>
      <c r="E259" s="9" t="str" cm="1">
        <f t="array" ref="E259">IF(OR(H259="",M259),"",IFERROR(_xlfn.LET(_xlpm.t,SUBSTITUTE(UPPER(H259),"م","M"),_xlpm.u,SUBSTITUTE(_xlpm.t,"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59" s="12"/>
      <c r="G259" s="13" t="str">
        <f>IF(B259="","",IF(M259,"⚠ Duplicate (not counted)",IF(AND(I259="",D259="",E259=""),"— ignored",IF(C259="","⚠ Time",IF(D259="","⚠ Plant",IF(E259="","⚠ Quantity",IF(AND(ISNUMBER(L259),COUNTIF(L$1:L258,L259)&gt;0),"⚠ Same serial "&amp;L259,IF(AND(ISNUMBER(L259),L259&gt;MIN($L$2:$L$1001),COUNTIF($L$2:$L$1001,L259-1)=0,COUNTIF($L$2:$L$1001,L259-2)&lt;2),"⚠ Missing serial "&amp;(L259-1),IF(AND(MAX(K$1:K258)&gt;0,N(K259)-MAX(K$1:K258)&gt;180),"⚠ Gap &gt; 3h",IF(C259-I259&gt;=0.99,"next day",IF(C259-I259&gt;0.4,"12h → 24h","")))))))))))</f>
        <v/>
      </c>
      <c r="H259" s="4" t="str">
        <f t="shared" si="20"/>
        <v/>
      </c>
      <c r="I259" s="5" t="str">
        <f t="shared" si="21"/>
        <v/>
      </c>
      <c r="J259" s="6">
        <f t="shared" si="22"/>
        <v>0</v>
      </c>
      <c r="K259" s="4" t="str">
        <f t="shared" si="23"/>
        <v/>
      </c>
      <c r="L259" s="4" t="str">
        <f t="shared" si="24"/>
        <v/>
      </c>
      <c r="M259" s="4" t="b" cm="1">
        <f t="array" ref="M259">IF(H259="",FALSE,SUMPRODUCT(--(H$1:H258=H259))&gt;0)</f>
        <v>0</v>
      </c>
    </row>
    <row r="260" spans="1:13" x14ac:dyDescent="0.25">
      <c r="A260" s="9" t="str">
        <f>IF(OR(B260="",M260,G260="— ignored"),"",MAX(A$1:A259)+1)</f>
        <v/>
      </c>
      <c r="B260" s="10"/>
      <c r="C260" s="11" t="str">
        <f>IF(I260="","",ROUND((I260+0.5*MAX(0,CEILING(ROUND((MAX(C$1:C259)-1/48-I260)/0.5,6),1)))*1440,0)/1440)</f>
        <v/>
      </c>
      <c r="D260" s="9" t="str" cm="1">
        <f t="array" ref="D260">IF(H260="","",IFERROR(INDEX(Log!$C$19:$G$19,VALUE(MID(H260,FIND("#",H260)+1,1))),""))</f>
        <v/>
      </c>
      <c r="E260" s="9" t="str" cm="1">
        <f t="array" ref="E260">IF(OR(H260="",M260),"",IFERROR(_xlfn.LET(_xlpm.t,SUBSTITUTE(UPPER(H260),"م","M"),_xlpm.u,SUBSTITUTE(_xlpm.t,"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60" s="12"/>
      <c r="G260" s="13" t="str">
        <f>IF(B260="","",IF(M260,"⚠ Duplicate (not counted)",IF(AND(I260="",D260="",E260=""),"— ignored",IF(C260="","⚠ Time",IF(D260="","⚠ Plant",IF(E260="","⚠ Quantity",IF(AND(ISNUMBER(L260),COUNTIF(L$1:L259,L260)&gt;0),"⚠ Same serial "&amp;L260,IF(AND(ISNUMBER(L260),L260&gt;MIN($L$2:$L$1001),COUNTIF($L$2:$L$1001,L260-1)=0,COUNTIF($L$2:$L$1001,L260-2)&lt;2),"⚠ Missing serial "&amp;(L260-1),IF(AND(MAX(K$1:K259)&gt;0,N(K260)-MAX(K$1:K259)&gt;180),"⚠ Gap &gt; 3h",IF(C260-I260&gt;=0.99,"next day",IF(C260-I260&gt;0.4,"12h → 24h","")))))))))))</f>
        <v/>
      </c>
      <c r="H260" s="4" t="str">
        <f t="shared" si="20"/>
        <v/>
      </c>
      <c r="I260" s="5" t="str">
        <f t="shared" si="21"/>
        <v/>
      </c>
      <c r="J260" s="6">
        <f t="shared" si="22"/>
        <v>0</v>
      </c>
      <c r="K260" s="4" t="str">
        <f t="shared" si="23"/>
        <v/>
      </c>
      <c r="L260" s="4" t="str">
        <f t="shared" si="24"/>
        <v/>
      </c>
      <c r="M260" s="4" t="b" cm="1">
        <f t="array" ref="M260">IF(H260="",FALSE,SUMPRODUCT(--(H$1:H259=H260))&gt;0)</f>
        <v>0</v>
      </c>
    </row>
    <row r="261" spans="1:13" x14ac:dyDescent="0.25">
      <c r="A261" s="9" t="str">
        <f>IF(OR(B261="",M261,G261="— ignored"),"",MAX(A$1:A260)+1)</f>
        <v/>
      </c>
      <c r="B261" s="10"/>
      <c r="C261" s="11" t="str">
        <f>IF(I261="","",ROUND((I261+0.5*MAX(0,CEILING(ROUND((MAX(C$1:C260)-1/48-I261)/0.5,6),1)))*1440,0)/1440)</f>
        <v/>
      </c>
      <c r="D261" s="9" t="str" cm="1">
        <f t="array" ref="D261">IF(H261="","",IFERROR(INDEX(Log!$C$19:$G$19,VALUE(MID(H261,FIND("#",H261)+1,1))),""))</f>
        <v/>
      </c>
      <c r="E261" s="9" t="str" cm="1">
        <f t="array" ref="E261">IF(OR(H261="",M261),"",IFERROR(_xlfn.LET(_xlpm.t,SUBSTITUTE(UPPER(H261),"م","M"),_xlpm.u,SUBSTITUTE(_xlpm.t,"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61" s="12"/>
      <c r="G261" s="13" t="str">
        <f>IF(B261="","",IF(M261,"⚠ Duplicate (not counted)",IF(AND(I261="",D261="",E261=""),"— ignored",IF(C261="","⚠ Time",IF(D261="","⚠ Plant",IF(E261="","⚠ Quantity",IF(AND(ISNUMBER(L261),COUNTIF(L$1:L260,L261)&gt;0),"⚠ Same serial "&amp;L261,IF(AND(ISNUMBER(L261),L261&gt;MIN($L$2:$L$1001),COUNTIF($L$2:$L$1001,L261-1)=0,COUNTIF($L$2:$L$1001,L261-2)&lt;2),"⚠ Missing serial "&amp;(L261-1),IF(AND(MAX(K$1:K260)&gt;0,N(K261)-MAX(K$1:K260)&gt;180),"⚠ Gap &gt; 3h",IF(C261-I261&gt;=0.99,"next day",IF(C261-I261&gt;0.4,"12h → 24h","")))))))))))</f>
        <v/>
      </c>
      <c r="H261" s="4" t="str">
        <f t="shared" si="20"/>
        <v/>
      </c>
      <c r="I261" s="5" t="str">
        <f t="shared" si="21"/>
        <v/>
      </c>
      <c r="J261" s="6">
        <f t="shared" si="22"/>
        <v>0</v>
      </c>
      <c r="K261" s="4" t="str">
        <f t="shared" si="23"/>
        <v/>
      </c>
      <c r="L261" s="4" t="str">
        <f t="shared" si="24"/>
        <v/>
      </c>
      <c r="M261" s="4" t="b" cm="1">
        <f t="array" ref="M261">IF(H261="",FALSE,SUMPRODUCT(--(H$1:H260=H261))&gt;0)</f>
        <v>0</v>
      </c>
    </row>
    <row r="262" spans="1:13" x14ac:dyDescent="0.25">
      <c r="A262" s="9" t="str">
        <f>IF(OR(B262="",M262,G262="— ignored"),"",MAX(A$1:A261)+1)</f>
        <v/>
      </c>
      <c r="B262" s="10"/>
      <c r="C262" s="11" t="str">
        <f>IF(I262="","",ROUND((I262+0.5*MAX(0,CEILING(ROUND((MAX(C$1:C261)-1/48-I262)/0.5,6),1)))*1440,0)/1440)</f>
        <v/>
      </c>
      <c r="D262" s="9" t="str" cm="1">
        <f t="array" ref="D262">IF(H262="","",IFERROR(INDEX(Log!$C$19:$G$19,VALUE(MID(H262,FIND("#",H262)+1,1))),""))</f>
        <v/>
      </c>
      <c r="E262" s="9" t="str" cm="1">
        <f t="array" ref="E262">IF(OR(H262="",M262),"",IFERROR(_xlfn.LET(_xlpm.t,SUBSTITUTE(UPPER(H262),"م","M"),_xlpm.u,SUBSTITUTE(_xlpm.t,"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62" s="12"/>
      <c r="G262" s="13" t="str">
        <f>IF(B262="","",IF(M262,"⚠ Duplicate (not counted)",IF(AND(I262="",D262="",E262=""),"— ignored",IF(C262="","⚠ Time",IF(D262="","⚠ Plant",IF(E262="","⚠ Quantity",IF(AND(ISNUMBER(L262),COUNTIF(L$1:L261,L262)&gt;0),"⚠ Same serial "&amp;L262,IF(AND(ISNUMBER(L262),L262&gt;MIN($L$2:$L$1001),COUNTIF($L$2:$L$1001,L262-1)=0,COUNTIF($L$2:$L$1001,L262-2)&lt;2),"⚠ Missing serial "&amp;(L262-1),IF(AND(MAX(K$1:K261)&gt;0,N(K262)-MAX(K$1:K261)&gt;180),"⚠ Gap &gt; 3h",IF(C262-I262&gt;=0.99,"next day",IF(C262-I262&gt;0.4,"12h → 24h","")))))))))))</f>
        <v/>
      </c>
      <c r="H262" s="4" t="str">
        <f t="shared" si="20"/>
        <v/>
      </c>
      <c r="I262" s="5" t="str">
        <f t="shared" si="21"/>
        <v/>
      </c>
      <c r="J262" s="6">
        <f t="shared" si="22"/>
        <v>0</v>
      </c>
      <c r="K262" s="4" t="str">
        <f t="shared" si="23"/>
        <v/>
      </c>
      <c r="L262" s="4" t="str">
        <f t="shared" si="24"/>
        <v/>
      </c>
      <c r="M262" s="4" t="b" cm="1">
        <f t="array" ref="M262">IF(H262="",FALSE,SUMPRODUCT(--(H$1:H261=H262))&gt;0)</f>
        <v>0</v>
      </c>
    </row>
    <row r="263" spans="1:13" x14ac:dyDescent="0.25">
      <c r="A263" s="9" t="str">
        <f>IF(OR(B263="",M263,G263="— ignored"),"",MAX(A$1:A262)+1)</f>
        <v/>
      </c>
      <c r="B263" s="10"/>
      <c r="C263" s="11" t="str">
        <f>IF(I263="","",ROUND((I263+0.5*MAX(0,CEILING(ROUND((MAX(C$1:C262)-1/48-I263)/0.5,6),1)))*1440,0)/1440)</f>
        <v/>
      </c>
      <c r="D263" s="9" t="str" cm="1">
        <f t="array" ref="D263">IF(H263="","",IFERROR(INDEX(Log!$C$19:$G$19,VALUE(MID(H263,FIND("#",H263)+1,1))),""))</f>
        <v/>
      </c>
      <c r="E263" s="9" t="str" cm="1">
        <f t="array" ref="E263">IF(OR(H263="",M263),"",IFERROR(_xlfn.LET(_xlpm.t,SUBSTITUTE(UPPER(H263),"م","M"),_xlpm.u,SUBSTITUTE(_xlpm.t,"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63" s="12"/>
      <c r="G263" s="13" t="str">
        <f>IF(B263="","",IF(M263,"⚠ Duplicate (not counted)",IF(AND(I263="",D263="",E263=""),"— ignored",IF(C263="","⚠ Time",IF(D263="","⚠ Plant",IF(E263="","⚠ Quantity",IF(AND(ISNUMBER(L263),COUNTIF(L$1:L262,L263)&gt;0),"⚠ Same serial "&amp;L263,IF(AND(ISNUMBER(L263),L263&gt;MIN($L$2:$L$1001),COUNTIF($L$2:$L$1001,L263-1)=0,COUNTIF($L$2:$L$1001,L263-2)&lt;2),"⚠ Missing serial "&amp;(L263-1),IF(AND(MAX(K$1:K262)&gt;0,N(K263)-MAX(K$1:K262)&gt;180),"⚠ Gap &gt; 3h",IF(C263-I263&gt;=0.99,"next day",IF(C263-I263&gt;0.4,"12h → 24h","")))))))))))</f>
        <v/>
      </c>
      <c r="H263" s="4" t="str">
        <f t="shared" si="20"/>
        <v/>
      </c>
      <c r="I263" s="5" t="str">
        <f t="shared" si="21"/>
        <v/>
      </c>
      <c r="J263" s="6">
        <f t="shared" si="22"/>
        <v>0</v>
      </c>
      <c r="K263" s="4" t="str">
        <f t="shared" si="23"/>
        <v/>
      </c>
      <c r="L263" s="4" t="str">
        <f t="shared" si="24"/>
        <v/>
      </c>
      <c r="M263" s="4" t="b" cm="1">
        <f t="array" ref="M263">IF(H263="",FALSE,SUMPRODUCT(--(H$1:H262=H263))&gt;0)</f>
        <v>0</v>
      </c>
    </row>
    <row r="264" spans="1:13" x14ac:dyDescent="0.25">
      <c r="A264" s="9" t="str">
        <f>IF(OR(B264="",M264,G264="— ignored"),"",MAX(A$1:A263)+1)</f>
        <v/>
      </c>
      <c r="B264" s="10"/>
      <c r="C264" s="11" t="str">
        <f>IF(I264="","",ROUND((I264+0.5*MAX(0,CEILING(ROUND((MAX(C$1:C263)-1/48-I264)/0.5,6),1)))*1440,0)/1440)</f>
        <v/>
      </c>
      <c r="D264" s="9" t="str" cm="1">
        <f t="array" ref="D264">IF(H264="","",IFERROR(INDEX(Log!$C$19:$G$19,VALUE(MID(H264,FIND("#",H264)+1,1))),""))</f>
        <v/>
      </c>
      <c r="E264" s="9" t="str" cm="1">
        <f t="array" ref="E264">IF(OR(H264="",M264),"",IFERROR(_xlfn.LET(_xlpm.t,SUBSTITUTE(UPPER(H264),"م","M"),_xlpm.u,SUBSTITUTE(_xlpm.t,"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64" s="12"/>
      <c r="G264" s="13" t="str">
        <f>IF(B264="","",IF(M264,"⚠ Duplicate (not counted)",IF(AND(I264="",D264="",E264=""),"— ignored",IF(C264="","⚠ Time",IF(D264="","⚠ Plant",IF(E264="","⚠ Quantity",IF(AND(ISNUMBER(L264),COUNTIF(L$1:L263,L264)&gt;0),"⚠ Same serial "&amp;L264,IF(AND(ISNUMBER(L264),L264&gt;MIN($L$2:$L$1001),COUNTIF($L$2:$L$1001,L264-1)=0,COUNTIF($L$2:$L$1001,L264-2)&lt;2),"⚠ Missing serial "&amp;(L264-1),IF(AND(MAX(K$1:K263)&gt;0,N(K264)-MAX(K$1:K263)&gt;180),"⚠ Gap &gt; 3h",IF(C264-I264&gt;=0.99,"next day",IF(C264-I264&gt;0.4,"12h → 24h","")))))))))))</f>
        <v/>
      </c>
      <c r="H264" s="4" t="str">
        <f t="shared" si="20"/>
        <v/>
      </c>
      <c r="I264" s="5" t="str">
        <f t="shared" si="21"/>
        <v/>
      </c>
      <c r="J264" s="6">
        <f t="shared" si="22"/>
        <v>0</v>
      </c>
      <c r="K264" s="4" t="str">
        <f t="shared" si="23"/>
        <v/>
      </c>
      <c r="L264" s="4" t="str">
        <f t="shared" si="24"/>
        <v/>
      </c>
      <c r="M264" s="4" t="b" cm="1">
        <f t="array" ref="M264">IF(H264="",FALSE,SUMPRODUCT(--(H$1:H263=H264))&gt;0)</f>
        <v>0</v>
      </c>
    </row>
    <row r="265" spans="1:13" x14ac:dyDescent="0.25">
      <c r="A265" s="9" t="str">
        <f>IF(OR(B265="",M265,G265="— ignored"),"",MAX(A$1:A264)+1)</f>
        <v/>
      </c>
      <c r="B265" s="10"/>
      <c r="C265" s="11" t="str">
        <f>IF(I265="","",ROUND((I265+0.5*MAX(0,CEILING(ROUND((MAX(C$1:C264)-1/48-I265)/0.5,6),1)))*1440,0)/1440)</f>
        <v/>
      </c>
      <c r="D265" s="9" t="str" cm="1">
        <f t="array" ref="D265">IF(H265="","",IFERROR(INDEX(Log!$C$19:$G$19,VALUE(MID(H265,FIND("#",H265)+1,1))),""))</f>
        <v/>
      </c>
      <c r="E265" s="9" t="str" cm="1">
        <f t="array" ref="E265">IF(OR(H265="",M265),"",IFERROR(_xlfn.LET(_xlpm.t,SUBSTITUTE(UPPER(H265),"م","M"),_xlpm.u,SUBSTITUTE(_xlpm.t,"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65" s="12"/>
      <c r="G265" s="13" t="str">
        <f>IF(B265="","",IF(M265,"⚠ Duplicate (not counted)",IF(AND(I265="",D265="",E265=""),"— ignored",IF(C265="","⚠ Time",IF(D265="","⚠ Plant",IF(E265="","⚠ Quantity",IF(AND(ISNUMBER(L265),COUNTIF(L$1:L264,L265)&gt;0),"⚠ Same serial "&amp;L265,IF(AND(ISNUMBER(L265),L265&gt;MIN($L$2:$L$1001),COUNTIF($L$2:$L$1001,L265-1)=0,COUNTIF($L$2:$L$1001,L265-2)&lt;2),"⚠ Missing serial "&amp;(L265-1),IF(AND(MAX(K$1:K264)&gt;0,N(K265)-MAX(K$1:K264)&gt;180),"⚠ Gap &gt; 3h",IF(C265-I265&gt;=0.99,"next day",IF(C265-I265&gt;0.4,"12h → 24h","")))))))))))</f>
        <v/>
      </c>
      <c r="H265" s="4" t="str">
        <f t="shared" si="20"/>
        <v/>
      </c>
      <c r="I265" s="5" t="str">
        <f t="shared" si="21"/>
        <v/>
      </c>
      <c r="J265" s="6">
        <f t="shared" si="22"/>
        <v>0</v>
      </c>
      <c r="K265" s="4" t="str">
        <f t="shared" si="23"/>
        <v/>
      </c>
      <c r="L265" s="4" t="str">
        <f t="shared" si="24"/>
        <v/>
      </c>
      <c r="M265" s="4" t="b" cm="1">
        <f t="array" ref="M265">IF(H265="",FALSE,SUMPRODUCT(--(H$1:H264=H265))&gt;0)</f>
        <v>0</v>
      </c>
    </row>
    <row r="266" spans="1:13" x14ac:dyDescent="0.25">
      <c r="A266" s="9" t="str">
        <f>IF(OR(B266="",M266,G266="— ignored"),"",MAX(A$1:A265)+1)</f>
        <v/>
      </c>
      <c r="B266" s="10"/>
      <c r="C266" s="11" t="str">
        <f>IF(I266="","",ROUND((I266+0.5*MAX(0,CEILING(ROUND((MAX(C$1:C265)-1/48-I266)/0.5,6),1)))*1440,0)/1440)</f>
        <v/>
      </c>
      <c r="D266" s="9" t="str" cm="1">
        <f t="array" ref="D266">IF(H266="","",IFERROR(INDEX(Log!$C$19:$G$19,VALUE(MID(H266,FIND("#",H266)+1,1))),""))</f>
        <v/>
      </c>
      <c r="E266" s="9" t="str" cm="1">
        <f t="array" ref="E266">IF(OR(H266="",M266),"",IFERROR(_xlfn.LET(_xlpm.t,SUBSTITUTE(UPPER(H266),"م","M"),_xlpm.u,SUBSTITUTE(_xlpm.t,"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66" s="12"/>
      <c r="G266" s="13" t="str">
        <f>IF(B266="","",IF(M266,"⚠ Duplicate (not counted)",IF(AND(I266="",D266="",E266=""),"— ignored",IF(C266="","⚠ Time",IF(D266="","⚠ Plant",IF(E266="","⚠ Quantity",IF(AND(ISNUMBER(L266),COUNTIF(L$1:L265,L266)&gt;0),"⚠ Same serial "&amp;L266,IF(AND(ISNUMBER(L266),L266&gt;MIN($L$2:$L$1001),COUNTIF($L$2:$L$1001,L266-1)=0,COUNTIF($L$2:$L$1001,L266-2)&lt;2),"⚠ Missing serial "&amp;(L266-1),IF(AND(MAX(K$1:K265)&gt;0,N(K266)-MAX(K$1:K265)&gt;180),"⚠ Gap &gt; 3h",IF(C266-I266&gt;=0.99,"next day",IF(C266-I266&gt;0.4,"12h → 24h","")))))))))))</f>
        <v/>
      </c>
      <c r="H266" s="4" t="str">
        <f t="shared" si="20"/>
        <v/>
      </c>
      <c r="I266" s="5" t="str">
        <f t="shared" si="21"/>
        <v/>
      </c>
      <c r="J266" s="6">
        <f t="shared" si="22"/>
        <v>0</v>
      </c>
      <c r="K266" s="4" t="str">
        <f t="shared" si="23"/>
        <v/>
      </c>
      <c r="L266" s="4" t="str">
        <f t="shared" si="24"/>
        <v/>
      </c>
      <c r="M266" s="4" t="b" cm="1">
        <f t="array" ref="M266">IF(H266="",FALSE,SUMPRODUCT(--(H$1:H265=H266))&gt;0)</f>
        <v>0</v>
      </c>
    </row>
    <row r="267" spans="1:13" x14ac:dyDescent="0.25">
      <c r="A267" s="9" t="str">
        <f>IF(OR(B267="",M267,G267="— ignored"),"",MAX(A$1:A266)+1)</f>
        <v/>
      </c>
      <c r="B267" s="10"/>
      <c r="C267" s="11" t="str">
        <f>IF(I267="","",ROUND((I267+0.5*MAX(0,CEILING(ROUND((MAX(C$1:C266)-1/48-I267)/0.5,6),1)))*1440,0)/1440)</f>
        <v/>
      </c>
      <c r="D267" s="9" t="str" cm="1">
        <f t="array" ref="D267">IF(H267="","",IFERROR(INDEX(Log!$C$19:$G$19,VALUE(MID(H267,FIND("#",H267)+1,1))),""))</f>
        <v/>
      </c>
      <c r="E267" s="9" t="str" cm="1">
        <f t="array" ref="E267">IF(OR(H267="",M267),"",IFERROR(_xlfn.LET(_xlpm.t,SUBSTITUTE(UPPER(H267),"م","M"),_xlpm.u,SUBSTITUTE(_xlpm.t,"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67" s="12"/>
      <c r="G267" s="13" t="str">
        <f>IF(B267="","",IF(M267,"⚠ Duplicate (not counted)",IF(AND(I267="",D267="",E267=""),"— ignored",IF(C267="","⚠ Time",IF(D267="","⚠ Plant",IF(E267="","⚠ Quantity",IF(AND(ISNUMBER(L267),COUNTIF(L$1:L266,L267)&gt;0),"⚠ Same serial "&amp;L267,IF(AND(ISNUMBER(L267),L267&gt;MIN($L$2:$L$1001),COUNTIF($L$2:$L$1001,L267-1)=0,COUNTIF($L$2:$L$1001,L267-2)&lt;2),"⚠ Missing serial "&amp;(L267-1),IF(AND(MAX(K$1:K266)&gt;0,N(K267)-MAX(K$1:K266)&gt;180),"⚠ Gap &gt; 3h",IF(C267-I267&gt;=0.99,"next day",IF(C267-I267&gt;0.4,"12h → 24h","")))))))))))</f>
        <v/>
      </c>
      <c r="H267" s="4" t="str">
        <f t="shared" si="20"/>
        <v/>
      </c>
      <c r="I267" s="5" t="str">
        <f t="shared" si="21"/>
        <v/>
      </c>
      <c r="J267" s="6">
        <f t="shared" si="22"/>
        <v>0</v>
      </c>
      <c r="K267" s="4" t="str">
        <f t="shared" si="23"/>
        <v/>
      </c>
      <c r="L267" s="4" t="str">
        <f t="shared" si="24"/>
        <v/>
      </c>
      <c r="M267" s="4" t="b" cm="1">
        <f t="array" ref="M267">IF(H267="",FALSE,SUMPRODUCT(--(H$1:H266=H267))&gt;0)</f>
        <v>0</v>
      </c>
    </row>
    <row r="268" spans="1:13" x14ac:dyDescent="0.25">
      <c r="A268" s="9" t="str">
        <f>IF(OR(B268="",M268,G268="— ignored"),"",MAX(A$1:A267)+1)</f>
        <v/>
      </c>
      <c r="B268" s="10"/>
      <c r="C268" s="11" t="str">
        <f>IF(I268="","",ROUND((I268+0.5*MAX(0,CEILING(ROUND((MAX(C$1:C267)-1/48-I268)/0.5,6),1)))*1440,0)/1440)</f>
        <v/>
      </c>
      <c r="D268" s="9" t="str" cm="1">
        <f t="array" ref="D268">IF(H268="","",IFERROR(INDEX(Log!$C$19:$G$19,VALUE(MID(H268,FIND("#",H268)+1,1))),""))</f>
        <v/>
      </c>
      <c r="E268" s="9" t="str" cm="1">
        <f t="array" ref="E268">IF(OR(H268="",M268),"",IFERROR(_xlfn.LET(_xlpm.t,SUBSTITUTE(UPPER(H268),"م","M"),_xlpm.u,SUBSTITUTE(_xlpm.t,"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68" s="12"/>
      <c r="G268" s="13" t="str">
        <f>IF(B268="","",IF(M268,"⚠ Duplicate (not counted)",IF(AND(I268="",D268="",E268=""),"— ignored",IF(C268="","⚠ Time",IF(D268="","⚠ Plant",IF(E268="","⚠ Quantity",IF(AND(ISNUMBER(L268),COUNTIF(L$1:L267,L268)&gt;0),"⚠ Same serial "&amp;L268,IF(AND(ISNUMBER(L268),L268&gt;MIN($L$2:$L$1001),COUNTIF($L$2:$L$1001,L268-1)=0,COUNTIF($L$2:$L$1001,L268-2)&lt;2),"⚠ Missing serial "&amp;(L268-1),IF(AND(MAX(K$1:K267)&gt;0,N(K268)-MAX(K$1:K267)&gt;180),"⚠ Gap &gt; 3h",IF(C268-I268&gt;=0.99,"next day",IF(C268-I268&gt;0.4,"12h → 24h","")))))))))))</f>
        <v/>
      </c>
      <c r="H268" s="4" t="str">
        <f t="shared" si="20"/>
        <v/>
      </c>
      <c r="I268" s="5" t="str">
        <f t="shared" si="21"/>
        <v/>
      </c>
      <c r="J268" s="6">
        <f t="shared" si="22"/>
        <v>0</v>
      </c>
      <c r="K268" s="4" t="str">
        <f t="shared" si="23"/>
        <v/>
      </c>
      <c r="L268" s="4" t="str">
        <f t="shared" si="24"/>
        <v/>
      </c>
      <c r="M268" s="4" t="b" cm="1">
        <f t="array" ref="M268">IF(H268="",FALSE,SUMPRODUCT(--(H$1:H267=H268))&gt;0)</f>
        <v>0</v>
      </c>
    </row>
    <row r="269" spans="1:13" x14ac:dyDescent="0.25">
      <c r="A269" s="9" t="str">
        <f>IF(OR(B269="",M269,G269="— ignored"),"",MAX(A$1:A268)+1)</f>
        <v/>
      </c>
      <c r="B269" s="10"/>
      <c r="C269" s="11" t="str">
        <f>IF(I269="","",ROUND((I269+0.5*MAX(0,CEILING(ROUND((MAX(C$1:C268)-1/48-I269)/0.5,6),1)))*1440,0)/1440)</f>
        <v/>
      </c>
      <c r="D269" s="9" t="str" cm="1">
        <f t="array" ref="D269">IF(H269="","",IFERROR(INDEX(Log!$C$19:$G$19,VALUE(MID(H269,FIND("#",H269)+1,1))),""))</f>
        <v/>
      </c>
      <c r="E269" s="9" t="str" cm="1">
        <f t="array" ref="E269">IF(OR(H269="",M269),"",IFERROR(_xlfn.LET(_xlpm.t,SUBSTITUTE(UPPER(H269),"م","M"),_xlpm.u,SUBSTITUTE(_xlpm.t,"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69" s="12"/>
      <c r="G269" s="13" t="str">
        <f>IF(B269="","",IF(M269,"⚠ Duplicate (not counted)",IF(AND(I269="",D269="",E269=""),"— ignored",IF(C269="","⚠ Time",IF(D269="","⚠ Plant",IF(E269="","⚠ Quantity",IF(AND(ISNUMBER(L269),COUNTIF(L$1:L268,L269)&gt;0),"⚠ Same serial "&amp;L269,IF(AND(ISNUMBER(L269),L269&gt;MIN($L$2:$L$1001),COUNTIF($L$2:$L$1001,L269-1)=0,COUNTIF($L$2:$L$1001,L269-2)&lt;2),"⚠ Missing serial "&amp;(L269-1),IF(AND(MAX(K$1:K268)&gt;0,N(K269)-MAX(K$1:K268)&gt;180),"⚠ Gap &gt; 3h",IF(C269-I269&gt;=0.99,"next day",IF(C269-I269&gt;0.4,"12h → 24h","")))))))))))</f>
        <v/>
      </c>
      <c r="H269" s="4" t="str">
        <f t="shared" si="20"/>
        <v/>
      </c>
      <c r="I269" s="5" t="str">
        <f t="shared" si="21"/>
        <v/>
      </c>
      <c r="J269" s="6">
        <f t="shared" si="22"/>
        <v>0</v>
      </c>
      <c r="K269" s="4" t="str">
        <f t="shared" si="23"/>
        <v/>
      </c>
      <c r="L269" s="4" t="str">
        <f t="shared" si="24"/>
        <v/>
      </c>
      <c r="M269" s="4" t="b" cm="1">
        <f t="array" ref="M269">IF(H269="",FALSE,SUMPRODUCT(--(H$1:H268=H269))&gt;0)</f>
        <v>0</v>
      </c>
    </row>
    <row r="270" spans="1:13" x14ac:dyDescent="0.25">
      <c r="A270" s="9" t="str">
        <f>IF(OR(B270="",M270,G270="— ignored"),"",MAX(A$1:A269)+1)</f>
        <v/>
      </c>
      <c r="B270" s="10"/>
      <c r="C270" s="11" t="str">
        <f>IF(I270="","",ROUND((I270+0.5*MAX(0,CEILING(ROUND((MAX(C$1:C269)-1/48-I270)/0.5,6),1)))*1440,0)/1440)</f>
        <v/>
      </c>
      <c r="D270" s="9" t="str" cm="1">
        <f t="array" ref="D270">IF(H270="","",IFERROR(INDEX(Log!$C$19:$G$19,VALUE(MID(H270,FIND("#",H270)+1,1))),""))</f>
        <v/>
      </c>
      <c r="E270" s="9" t="str" cm="1">
        <f t="array" ref="E270">IF(OR(H270="",M270),"",IFERROR(_xlfn.LET(_xlpm.t,SUBSTITUTE(UPPER(H270),"م","M"),_xlpm.u,SUBSTITUTE(_xlpm.t,"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70" s="12"/>
      <c r="G270" s="13" t="str">
        <f>IF(B270="","",IF(M270,"⚠ Duplicate (not counted)",IF(AND(I270="",D270="",E270=""),"— ignored",IF(C270="","⚠ Time",IF(D270="","⚠ Plant",IF(E270="","⚠ Quantity",IF(AND(ISNUMBER(L270),COUNTIF(L$1:L269,L270)&gt;0),"⚠ Same serial "&amp;L270,IF(AND(ISNUMBER(L270),L270&gt;MIN($L$2:$L$1001),COUNTIF($L$2:$L$1001,L270-1)=0,COUNTIF($L$2:$L$1001,L270-2)&lt;2),"⚠ Missing serial "&amp;(L270-1),IF(AND(MAX(K$1:K269)&gt;0,N(K270)-MAX(K$1:K269)&gt;180),"⚠ Gap &gt; 3h",IF(C270-I270&gt;=0.99,"next day",IF(C270-I270&gt;0.4,"12h → 24h","")))))))))))</f>
        <v/>
      </c>
      <c r="H270" s="4" t="str">
        <f t="shared" si="20"/>
        <v/>
      </c>
      <c r="I270" s="5" t="str">
        <f t="shared" si="21"/>
        <v/>
      </c>
      <c r="J270" s="6">
        <f t="shared" si="22"/>
        <v>0</v>
      </c>
      <c r="K270" s="4" t="str">
        <f t="shared" si="23"/>
        <v/>
      </c>
      <c r="L270" s="4" t="str">
        <f t="shared" si="24"/>
        <v/>
      </c>
      <c r="M270" s="4" t="b" cm="1">
        <f t="array" ref="M270">IF(H270="",FALSE,SUMPRODUCT(--(H$1:H269=H270))&gt;0)</f>
        <v>0</v>
      </c>
    </row>
    <row r="271" spans="1:13" x14ac:dyDescent="0.25">
      <c r="A271" s="9" t="str">
        <f>IF(OR(B271="",M271,G271="— ignored"),"",MAX(A$1:A270)+1)</f>
        <v/>
      </c>
      <c r="B271" s="10"/>
      <c r="C271" s="11" t="str">
        <f>IF(I271="","",ROUND((I271+0.5*MAX(0,CEILING(ROUND((MAX(C$1:C270)-1/48-I271)/0.5,6),1)))*1440,0)/1440)</f>
        <v/>
      </c>
      <c r="D271" s="9" t="str" cm="1">
        <f t="array" ref="D271">IF(H271="","",IFERROR(INDEX(Log!$C$19:$G$19,VALUE(MID(H271,FIND("#",H271)+1,1))),""))</f>
        <v/>
      </c>
      <c r="E271" s="9" t="str" cm="1">
        <f t="array" ref="E271">IF(OR(H271="",M271),"",IFERROR(_xlfn.LET(_xlpm.t,SUBSTITUTE(UPPER(H271),"م","M"),_xlpm.u,SUBSTITUTE(_xlpm.t,"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71" s="12"/>
      <c r="G271" s="13" t="str">
        <f>IF(B271="","",IF(M271,"⚠ Duplicate (not counted)",IF(AND(I271="",D271="",E271=""),"— ignored",IF(C271="","⚠ Time",IF(D271="","⚠ Plant",IF(E271="","⚠ Quantity",IF(AND(ISNUMBER(L271),COUNTIF(L$1:L270,L271)&gt;0),"⚠ Same serial "&amp;L271,IF(AND(ISNUMBER(L271),L271&gt;MIN($L$2:$L$1001),COUNTIF($L$2:$L$1001,L271-1)=0,COUNTIF($L$2:$L$1001,L271-2)&lt;2),"⚠ Missing serial "&amp;(L271-1),IF(AND(MAX(K$1:K270)&gt;0,N(K271)-MAX(K$1:K270)&gt;180),"⚠ Gap &gt; 3h",IF(C271-I271&gt;=0.99,"next day",IF(C271-I271&gt;0.4,"12h → 24h","")))))))))))</f>
        <v/>
      </c>
      <c r="H271" s="4" t="str">
        <f t="shared" si="20"/>
        <v/>
      </c>
      <c r="I271" s="5" t="str">
        <f t="shared" si="21"/>
        <v/>
      </c>
      <c r="J271" s="6">
        <f t="shared" si="22"/>
        <v>0</v>
      </c>
      <c r="K271" s="4" t="str">
        <f t="shared" si="23"/>
        <v/>
      </c>
      <c r="L271" s="4" t="str">
        <f t="shared" si="24"/>
        <v/>
      </c>
      <c r="M271" s="4" t="b" cm="1">
        <f t="array" ref="M271">IF(H271="",FALSE,SUMPRODUCT(--(H$1:H270=H271))&gt;0)</f>
        <v>0</v>
      </c>
    </row>
    <row r="272" spans="1:13" x14ac:dyDescent="0.25">
      <c r="A272" s="9" t="str">
        <f>IF(OR(B272="",M272,G272="— ignored"),"",MAX(A$1:A271)+1)</f>
        <v/>
      </c>
      <c r="B272" s="10"/>
      <c r="C272" s="11" t="str">
        <f>IF(I272="","",ROUND((I272+0.5*MAX(0,CEILING(ROUND((MAX(C$1:C271)-1/48-I272)/0.5,6),1)))*1440,0)/1440)</f>
        <v/>
      </c>
      <c r="D272" s="9" t="str" cm="1">
        <f t="array" ref="D272">IF(H272="","",IFERROR(INDEX(Log!$C$19:$G$19,VALUE(MID(H272,FIND("#",H272)+1,1))),""))</f>
        <v/>
      </c>
      <c r="E272" s="9" t="str" cm="1">
        <f t="array" ref="E272">IF(OR(H272="",M272),"",IFERROR(_xlfn.LET(_xlpm.t,SUBSTITUTE(UPPER(H272),"م","M"),_xlpm.u,SUBSTITUTE(_xlpm.t,"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72" s="12"/>
      <c r="G272" s="13" t="str">
        <f>IF(B272="","",IF(M272,"⚠ Duplicate (not counted)",IF(AND(I272="",D272="",E272=""),"— ignored",IF(C272="","⚠ Time",IF(D272="","⚠ Plant",IF(E272="","⚠ Quantity",IF(AND(ISNUMBER(L272),COUNTIF(L$1:L271,L272)&gt;0),"⚠ Same serial "&amp;L272,IF(AND(ISNUMBER(L272),L272&gt;MIN($L$2:$L$1001),COUNTIF($L$2:$L$1001,L272-1)=0,COUNTIF($L$2:$L$1001,L272-2)&lt;2),"⚠ Missing serial "&amp;(L272-1),IF(AND(MAX(K$1:K271)&gt;0,N(K272)-MAX(K$1:K271)&gt;180),"⚠ Gap &gt; 3h",IF(C272-I272&gt;=0.99,"next day",IF(C272-I272&gt;0.4,"12h → 24h","")))))))))))</f>
        <v/>
      </c>
      <c r="H272" s="4" t="str">
        <f t="shared" si="20"/>
        <v/>
      </c>
      <c r="I272" s="5" t="str">
        <f t="shared" si="21"/>
        <v/>
      </c>
      <c r="J272" s="6">
        <f t="shared" si="22"/>
        <v>0</v>
      </c>
      <c r="K272" s="4" t="str">
        <f t="shared" si="23"/>
        <v/>
      </c>
      <c r="L272" s="4" t="str">
        <f t="shared" si="24"/>
        <v/>
      </c>
      <c r="M272" s="4" t="b" cm="1">
        <f t="array" ref="M272">IF(H272="",FALSE,SUMPRODUCT(--(H$1:H271=H272))&gt;0)</f>
        <v>0</v>
      </c>
    </row>
    <row r="273" spans="1:13" x14ac:dyDescent="0.25">
      <c r="A273" s="9" t="str">
        <f>IF(OR(B273="",M273,G273="— ignored"),"",MAX(A$1:A272)+1)</f>
        <v/>
      </c>
      <c r="B273" s="10"/>
      <c r="C273" s="11" t="str">
        <f>IF(I273="","",ROUND((I273+0.5*MAX(0,CEILING(ROUND((MAX(C$1:C272)-1/48-I273)/0.5,6),1)))*1440,0)/1440)</f>
        <v/>
      </c>
      <c r="D273" s="9" t="str" cm="1">
        <f t="array" ref="D273">IF(H273="","",IFERROR(INDEX(Log!$C$19:$G$19,VALUE(MID(H273,FIND("#",H273)+1,1))),""))</f>
        <v/>
      </c>
      <c r="E273" s="9" t="str" cm="1">
        <f t="array" ref="E273">IF(OR(H273="",M273),"",IFERROR(_xlfn.LET(_xlpm.t,SUBSTITUTE(UPPER(H273),"م","M"),_xlpm.u,SUBSTITUTE(_xlpm.t,"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73" s="12"/>
      <c r="G273" s="13" t="str">
        <f>IF(B273="","",IF(M273,"⚠ Duplicate (not counted)",IF(AND(I273="",D273="",E273=""),"— ignored",IF(C273="","⚠ Time",IF(D273="","⚠ Plant",IF(E273="","⚠ Quantity",IF(AND(ISNUMBER(L273),COUNTIF(L$1:L272,L273)&gt;0),"⚠ Same serial "&amp;L273,IF(AND(ISNUMBER(L273),L273&gt;MIN($L$2:$L$1001),COUNTIF($L$2:$L$1001,L273-1)=0,COUNTIF($L$2:$L$1001,L273-2)&lt;2),"⚠ Missing serial "&amp;(L273-1),IF(AND(MAX(K$1:K272)&gt;0,N(K273)-MAX(K$1:K272)&gt;180),"⚠ Gap &gt; 3h",IF(C273-I273&gt;=0.99,"next day",IF(C273-I273&gt;0.4,"12h → 24h","")))))))))))</f>
        <v/>
      </c>
      <c r="H273" s="4" t="str">
        <f t="shared" si="20"/>
        <v/>
      </c>
      <c r="I273" s="5" t="str">
        <f t="shared" si="21"/>
        <v/>
      </c>
      <c r="J273" s="6">
        <f t="shared" si="22"/>
        <v>0</v>
      </c>
      <c r="K273" s="4" t="str">
        <f t="shared" si="23"/>
        <v/>
      </c>
      <c r="L273" s="4" t="str">
        <f t="shared" si="24"/>
        <v/>
      </c>
      <c r="M273" s="4" t="b" cm="1">
        <f t="array" ref="M273">IF(H273="",FALSE,SUMPRODUCT(--(H$1:H272=H273))&gt;0)</f>
        <v>0</v>
      </c>
    </row>
    <row r="274" spans="1:13" x14ac:dyDescent="0.25">
      <c r="A274" s="9" t="str">
        <f>IF(OR(B274="",M274,G274="— ignored"),"",MAX(A$1:A273)+1)</f>
        <v/>
      </c>
      <c r="B274" s="10"/>
      <c r="C274" s="11" t="str">
        <f>IF(I274="","",ROUND((I274+0.5*MAX(0,CEILING(ROUND((MAX(C$1:C273)-1/48-I274)/0.5,6),1)))*1440,0)/1440)</f>
        <v/>
      </c>
      <c r="D274" s="9" t="str" cm="1">
        <f t="array" ref="D274">IF(H274="","",IFERROR(INDEX(Log!$C$19:$G$19,VALUE(MID(H274,FIND("#",H274)+1,1))),""))</f>
        <v/>
      </c>
      <c r="E274" s="9" t="str" cm="1">
        <f t="array" ref="E274">IF(OR(H274="",M274),"",IFERROR(_xlfn.LET(_xlpm.t,SUBSTITUTE(UPPER(H274),"م","M"),_xlpm.u,SUBSTITUTE(_xlpm.t,"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74" s="12"/>
      <c r="G274" s="13" t="str">
        <f>IF(B274="","",IF(M274,"⚠ Duplicate (not counted)",IF(AND(I274="",D274="",E274=""),"— ignored",IF(C274="","⚠ Time",IF(D274="","⚠ Plant",IF(E274="","⚠ Quantity",IF(AND(ISNUMBER(L274),COUNTIF(L$1:L273,L274)&gt;0),"⚠ Same serial "&amp;L274,IF(AND(ISNUMBER(L274),L274&gt;MIN($L$2:$L$1001),COUNTIF($L$2:$L$1001,L274-1)=0,COUNTIF($L$2:$L$1001,L274-2)&lt;2),"⚠ Missing serial "&amp;(L274-1),IF(AND(MAX(K$1:K273)&gt;0,N(K274)-MAX(K$1:K273)&gt;180),"⚠ Gap &gt; 3h",IF(C274-I274&gt;=0.99,"next day",IF(C274-I274&gt;0.4,"12h → 24h","")))))))))))</f>
        <v/>
      </c>
      <c r="H274" s="4" t="str">
        <f t="shared" si="20"/>
        <v/>
      </c>
      <c r="I274" s="5" t="str">
        <f t="shared" si="21"/>
        <v/>
      </c>
      <c r="J274" s="6">
        <f t="shared" si="22"/>
        <v>0</v>
      </c>
      <c r="K274" s="4" t="str">
        <f t="shared" si="23"/>
        <v/>
      </c>
      <c r="L274" s="4" t="str">
        <f t="shared" si="24"/>
        <v/>
      </c>
      <c r="M274" s="4" t="b" cm="1">
        <f t="array" ref="M274">IF(H274="",FALSE,SUMPRODUCT(--(H$1:H273=H274))&gt;0)</f>
        <v>0</v>
      </c>
    </row>
    <row r="275" spans="1:13" x14ac:dyDescent="0.25">
      <c r="A275" s="9" t="str">
        <f>IF(OR(B275="",M275,G275="— ignored"),"",MAX(A$1:A274)+1)</f>
        <v/>
      </c>
      <c r="B275" s="10"/>
      <c r="C275" s="11" t="str">
        <f>IF(I275="","",ROUND((I275+0.5*MAX(0,CEILING(ROUND((MAX(C$1:C274)-1/48-I275)/0.5,6),1)))*1440,0)/1440)</f>
        <v/>
      </c>
      <c r="D275" s="9" t="str" cm="1">
        <f t="array" ref="D275">IF(H275="","",IFERROR(INDEX(Log!$C$19:$G$19,VALUE(MID(H275,FIND("#",H275)+1,1))),""))</f>
        <v/>
      </c>
      <c r="E275" s="9" t="str" cm="1">
        <f t="array" ref="E275">IF(OR(H275="",M275),"",IFERROR(_xlfn.LET(_xlpm.t,SUBSTITUTE(UPPER(H275),"م","M"),_xlpm.u,SUBSTITUTE(_xlpm.t,"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75" s="12"/>
      <c r="G275" s="13" t="str">
        <f>IF(B275="","",IF(M275,"⚠ Duplicate (not counted)",IF(AND(I275="",D275="",E275=""),"— ignored",IF(C275="","⚠ Time",IF(D275="","⚠ Plant",IF(E275="","⚠ Quantity",IF(AND(ISNUMBER(L275),COUNTIF(L$1:L274,L275)&gt;0),"⚠ Same serial "&amp;L275,IF(AND(ISNUMBER(L275),L275&gt;MIN($L$2:$L$1001),COUNTIF($L$2:$L$1001,L275-1)=0,COUNTIF($L$2:$L$1001,L275-2)&lt;2),"⚠ Missing serial "&amp;(L275-1),IF(AND(MAX(K$1:K274)&gt;0,N(K275)-MAX(K$1:K274)&gt;180),"⚠ Gap &gt; 3h",IF(C275-I275&gt;=0.99,"next day",IF(C275-I275&gt;0.4,"12h → 24h","")))))))))))</f>
        <v/>
      </c>
      <c r="H275" s="4" t="str">
        <f t="shared" si="20"/>
        <v/>
      </c>
      <c r="I275" s="5" t="str">
        <f t="shared" si="21"/>
        <v/>
      </c>
      <c r="J275" s="6">
        <f t="shared" si="22"/>
        <v>0</v>
      </c>
      <c r="K275" s="4" t="str">
        <f t="shared" si="23"/>
        <v/>
      </c>
      <c r="L275" s="4" t="str">
        <f t="shared" si="24"/>
        <v/>
      </c>
      <c r="M275" s="4" t="b" cm="1">
        <f t="array" ref="M275">IF(H275="",FALSE,SUMPRODUCT(--(H$1:H274=H275))&gt;0)</f>
        <v>0</v>
      </c>
    </row>
    <row r="276" spans="1:13" x14ac:dyDescent="0.25">
      <c r="A276" s="9" t="str">
        <f>IF(OR(B276="",M276,G276="— ignored"),"",MAX(A$1:A275)+1)</f>
        <v/>
      </c>
      <c r="B276" s="10"/>
      <c r="C276" s="11" t="str">
        <f>IF(I276="","",ROUND((I276+0.5*MAX(0,CEILING(ROUND((MAX(C$1:C275)-1/48-I276)/0.5,6),1)))*1440,0)/1440)</f>
        <v/>
      </c>
      <c r="D276" s="9" t="str" cm="1">
        <f t="array" ref="D276">IF(H276="","",IFERROR(INDEX(Log!$C$19:$G$19,VALUE(MID(H276,FIND("#",H276)+1,1))),""))</f>
        <v/>
      </c>
      <c r="E276" s="9" t="str" cm="1">
        <f t="array" ref="E276">IF(OR(H276="",M276),"",IFERROR(_xlfn.LET(_xlpm.t,SUBSTITUTE(UPPER(H276),"م","M"),_xlpm.u,SUBSTITUTE(_xlpm.t,"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76" s="12"/>
      <c r="G276" s="13" t="str">
        <f>IF(B276="","",IF(M276,"⚠ Duplicate (not counted)",IF(AND(I276="",D276="",E276=""),"— ignored",IF(C276="","⚠ Time",IF(D276="","⚠ Plant",IF(E276="","⚠ Quantity",IF(AND(ISNUMBER(L276),COUNTIF(L$1:L275,L276)&gt;0),"⚠ Same serial "&amp;L276,IF(AND(ISNUMBER(L276),L276&gt;MIN($L$2:$L$1001),COUNTIF($L$2:$L$1001,L276-1)=0,COUNTIF($L$2:$L$1001,L276-2)&lt;2),"⚠ Missing serial "&amp;(L276-1),IF(AND(MAX(K$1:K275)&gt;0,N(K276)-MAX(K$1:K275)&gt;180),"⚠ Gap &gt; 3h",IF(C276-I276&gt;=0.99,"next day",IF(C276-I276&gt;0.4,"12h → 24h","")))))))))))</f>
        <v/>
      </c>
      <c r="H276" s="4" t="str">
        <f t="shared" si="20"/>
        <v/>
      </c>
      <c r="I276" s="5" t="str">
        <f t="shared" si="21"/>
        <v/>
      </c>
      <c r="J276" s="6">
        <f t="shared" si="22"/>
        <v>0</v>
      </c>
      <c r="K276" s="4" t="str">
        <f t="shared" si="23"/>
        <v/>
      </c>
      <c r="L276" s="4" t="str">
        <f t="shared" si="24"/>
        <v/>
      </c>
      <c r="M276" s="4" t="b" cm="1">
        <f t="array" ref="M276">IF(H276="",FALSE,SUMPRODUCT(--(H$1:H275=H276))&gt;0)</f>
        <v>0</v>
      </c>
    </row>
    <row r="277" spans="1:13" x14ac:dyDescent="0.25">
      <c r="A277" s="9" t="str">
        <f>IF(OR(B277="",M277,G277="— ignored"),"",MAX(A$1:A276)+1)</f>
        <v/>
      </c>
      <c r="B277" s="10"/>
      <c r="C277" s="11" t="str">
        <f>IF(I277="","",ROUND((I277+0.5*MAX(0,CEILING(ROUND((MAX(C$1:C276)-1/48-I277)/0.5,6),1)))*1440,0)/1440)</f>
        <v/>
      </c>
      <c r="D277" s="9" t="str" cm="1">
        <f t="array" ref="D277">IF(H277="","",IFERROR(INDEX(Log!$C$19:$G$19,VALUE(MID(H277,FIND("#",H277)+1,1))),""))</f>
        <v/>
      </c>
      <c r="E277" s="9" t="str" cm="1">
        <f t="array" ref="E277">IF(OR(H277="",M277),"",IFERROR(_xlfn.LET(_xlpm.t,SUBSTITUTE(UPPER(H277),"م","M"),_xlpm.u,SUBSTITUTE(_xlpm.t,"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77" s="12"/>
      <c r="G277" s="13" t="str">
        <f>IF(B277="","",IF(M277,"⚠ Duplicate (not counted)",IF(AND(I277="",D277="",E277=""),"— ignored",IF(C277="","⚠ Time",IF(D277="","⚠ Plant",IF(E277="","⚠ Quantity",IF(AND(ISNUMBER(L277),COUNTIF(L$1:L276,L277)&gt;0),"⚠ Same serial "&amp;L277,IF(AND(ISNUMBER(L277),L277&gt;MIN($L$2:$L$1001),COUNTIF($L$2:$L$1001,L277-1)=0,COUNTIF($L$2:$L$1001,L277-2)&lt;2),"⚠ Missing serial "&amp;(L277-1),IF(AND(MAX(K$1:K276)&gt;0,N(K277)-MAX(K$1:K276)&gt;180),"⚠ Gap &gt; 3h",IF(C277-I277&gt;=0.99,"next day",IF(C277-I277&gt;0.4,"12h → 24h","")))))))))))</f>
        <v/>
      </c>
      <c r="H277" s="4" t="str">
        <f t="shared" si="20"/>
        <v/>
      </c>
      <c r="I277" s="5" t="str">
        <f t="shared" si="21"/>
        <v/>
      </c>
      <c r="J277" s="6">
        <f t="shared" si="22"/>
        <v>0</v>
      </c>
      <c r="K277" s="4" t="str">
        <f t="shared" si="23"/>
        <v/>
      </c>
      <c r="L277" s="4" t="str">
        <f t="shared" si="24"/>
        <v/>
      </c>
      <c r="M277" s="4" t="b" cm="1">
        <f t="array" ref="M277">IF(H277="",FALSE,SUMPRODUCT(--(H$1:H276=H277))&gt;0)</f>
        <v>0</v>
      </c>
    </row>
    <row r="278" spans="1:13" x14ac:dyDescent="0.25">
      <c r="A278" s="9" t="str">
        <f>IF(OR(B278="",M278,G278="— ignored"),"",MAX(A$1:A277)+1)</f>
        <v/>
      </c>
      <c r="B278" s="10"/>
      <c r="C278" s="11" t="str">
        <f>IF(I278="","",ROUND((I278+0.5*MAX(0,CEILING(ROUND((MAX(C$1:C277)-1/48-I278)/0.5,6),1)))*1440,0)/1440)</f>
        <v/>
      </c>
      <c r="D278" s="9" t="str" cm="1">
        <f t="array" ref="D278">IF(H278="","",IFERROR(INDEX(Log!$C$19:$G$19,VALUE(MID(H278,FIND("#",H278)+1,1))),""))</f>
        <v/>
      </c>
      <c r="E278" s="9" t="str" cm="1">
        <f t="array" ref="E278">IF(OR(H278="",M278),"",IFERROR(_xlfn.LET(_xlpm.t,SUBSTITUTE(UPPER(H278),"م","M"),_xlpm.u,SUBSTITUTE(_xlpm.t,"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78" s="12"/>
      <c r="G278" s="13" t="str">
        <f>IF(B278="","",IF(M278,"⚠ Duplicate (not counted)",IF(AND(I278="",D278="",E278=""),"— ignored",IF(C278="","⚠ Time",IF(D278="","⚠ Plant",IF(E278="","⚠ Quantity",IF(AND(ISNUMBER(L278),COUNTIF(L$1:L277,L278)&gt;0),"⚠ Same serial "&amp;L278,IF(AND(ISNUMBER(L278),L278&gt;MIN($L$2:$L$1001),COUNTIF($L$2:$L$1001,L278-1)=0,COUNTIF($L$2:$L$1001,L278-2)&lt;2),"⚠ Missing serial "&amp;(L278-1),IF(AND(MAX(K$1:K277)&gt;0,N(K278)-MAX(K$1:K277)&gt;180),"⚠ Gap &gt; 3h",IF(C278-I278&gt;=0.99,"next day",IF(C278-I278&gt;0.4,"12h → 24h","")))))))))))</f>
        <v/>
      </c>
      <c r="H278" s="4" t="str">
        <f t="shared" si="20"/>
        <v/>
      </c>
      <c r="I278" s="5" t="str">
        <f t="shared" si="21"/>
        <v/>
      </c>
      <c r="J278" s="6">
        <f t="shared" si="22"/>
        <v>0</v>
      </c>
      <c r="K278" s="4" t="str">
        <f t="shared" si="23"/>
        <v/>
      </c>
      <c r="L278" s="4" t="str">
        <f t="shared" si="24"/>
        <v/>
      </c>
      <c r="M278" s="4" t="b" cm="1">
        <f t="array" ref="M278">IF(H278="",FALSE,SUMPRODUCT(--(H$1:H277=H278))&gt;0)</f>
        <v>0</v>
      </c>
    </row>
    <row r="279" spans="1:13" x14ac:dyDescent="0.25">
      <c r="A279" s="9" t="str">
        <f>IF(OR(B279="",M279,G279="— ignored"),"",MAX(A$1:A278)+1)</f>
        <v/>
      </c>
      <c r="B279" s="10"/>
      <c r="C279" s="11" t="str">
        <f>IF(I279="","",ROUND((I279+0.5*MAX(0,CEILING(ROUND((MAX(C$1:C278)-1/48-I279)/0.5,6),1)))*1440,0)/1440)</f>
        <v/>
      </c>
      <c r="D279" s="9" t="str" cm="1">
        <f t="array" ref="D279">IF(H279="","",IFERROR(INDEX(Log!$C$19:$G$19,VALUE(MID(H279,FIND("#",H279)+1,1))),""))</f>
        <v/>
      </c>
      <c r="E279" s="9" t="str" cm="1">
        <f t="array" ref="E279">IF(OR(H279="",M279),"",IFERROR(_xlfn.LET(_xlpm.t,SUBSTITUTE(UPPER(H279),"م","M"),_xlpm.u,SUBSTITUTE(_xlpm.t,"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79" s="12"/>
      <c r="G279" s="13" t="str">
        <f>IF(B279="","",IF(M279,"⚠ Duplicate (not counted)",IF(AND(I279="",D279="",E279=""),"— ignored",IF(C279="","⚠ Time",IF(D279="","⚠ Plant",IF(E279="","⚠ Quantity",IF(AND(ISNUMBER(L279),COUNTIF(L$1:L278,L279)&gt;0),"⚠ Same serial "&amp;L279,IF(AND(ISNUMBER(L279),L279&gt;MIN($L$2:$L$1001),COUNTIF($L$2:$L$1001,L279-1)=0,COUNTIF($L$2:$L$1001,L279-2)&lt;2),"⚠ Missing serial "&amp;(L279-1),IF(AND(MAX(K$1:K278)&gt;0,N(K279)-MAX(K$1:K278)&gt;180),"⚠ Gap &gt; 3h",IF(C279-I279&gt;=0.99,"next day",IF(C279-I279&gt;0.4,"12h → 24h","")))))))))))</f>
        <v/>
      </c>
      <c r="H279" s="4" t="str">
        <f t="shared" si="20"/>
        <v/>
      </c>
      <c r="I279" s="5" t="str">
        <f t="shared" si="21"/>
        <v/>
      </c>
      <c r="J279" s="6">
        <f t="shared" si="22"/>
        <v>0</v>
      </c>
      <c r="K279" s="4" t="str">
        <f t="shared" si="23"/>
        <v/>
      </c>
      <c r="L279" s="4" t="str">
        <f t="shared" si="24"/>
        <v/>
      </c>
      <c r="M279" s="4" t="b" cm="1">
        <f t="array" ref="M279">IF(H279="",FALSE,SUMPRODUCT(--(H$1:H278=H279))&gt;0)</f>
        <v>0</v>
      </c>
    </row>
    <row r="280" spans="1:13" x14ac:dyDescent="0.25">
      <c r="A280" s="9" t="str">
        <f>IF(OR(B280="",M280,G280="— ignored"),"",MAX(A$1:A279)+1)</f>
        <v/>
      </c>
      <c r="B280" s="10"/>
      <c r="C280" s="11" t="str">
        <f>IF(I280="","",ROUND((I280+0.5*MAX(0,CEILING(ROUND((MAX(C$1:C279)-1/48-I280)/0.5,6),1)))*1440,0)/1440)</f>
        <v/>
      </c>
      <c r="D280" s="9" t="str" cm="1">
        <f t="array" ref="D280">IF(H280="","",IFERROR(INDEX(Log!$C$19:$G$19,VALUE(MID(H280,FIND("#",H280)+1,1))),""))</f>
        <v/>
      </c>
      <c r="E280" s="9" t="str" cm="1">
        <f t="array" ref="E280">IF(OR(H280="",M280),"",IFERROR(_xlfn.LET(_xlpm.t,SUBSTITUTE(UPPER(H280),"م","M"),_xlpm.u,SUBSTITUTE(_xlpm.t,"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80" s="12"/>
      <c r="G280" s="13" t="str">
        <f>IF(B280="","",IF(M280,"⚠ Duplicate (not counted)",IF(AND(I280="",D280="",E280=""),"— ignored",IF(C280="","⚠ Time",IF(D280="","⚠ Plant",IF(E280="","⚠ Quantity",IF(AND(ISNUMBER(L280),COUNTIF(L$1:L279,L280)&gt;0),"⚠ Same serial "&amp;L280,IF(AND(ISNUMBER(L280),L280&gt;MIN($L$2:$L$1001),COUNTIF($L$2:$L$1001,L280-1)=0,COUNTIF($L$2:$L$1001,L280-2)&lt;2),"⚠ Missing serial "&amp;(L280-1),IF(AND(MAX(K$1:K279)&gt;0,N(K280)-MAX(K$1:K279)&gt;180),"⚠ Gap &gt; 3h",IF(C280-I280&gt;=0.99,"next day",IF(C280-I280&gt;0.4,"12h → 24h","")))))))))))</f>
        <v/>
      </c>
      <c r="H280" s="4" t="str">
        <f t="shared" si="20"/>
        <v/>
      </c>
      <c r="I280" s="5" t="str">
        <f t="shared" si="21"/>
        <v/>
      </c>
      <c r="J280" s="6">
        <f t="shared" si="22"/>
        <v>0</v>
      </c>
      <c r="K280" s="4" t="str">
        <f t="shared" si="23"/>
        <v/>
      </c>
      <c r="L280" s="4" t="str">
        <f t="shared" si="24"/>
        <v/>
      </c>
      <c r="M280" s="4" t="b" cm="1">
        <f t="array" ref="M280">IF(H280="",FALSE,SUMPRODUCT(--(H$1:H279=H280))&gt;0)</f>
        <v>0</v>
      </c>
    </row>
    <row r="281" spans="1:13" x14ac:dyDescent="0.25">
      <c r="A281" s="9" t="str">
        <f>IF(OR(B281="",M281,G281="— ignored"),"",MAX(A$1:A280)+1)</f>
        <v/>
      </c>
      <c r="B281" s="10"/>
      <c r="C281" s="11" t="str">
        <f>IF(I281="","",ROUND((I281+0.5*MAX(0,CEILING(ROUND((MAX(C$1:C280)-1/48-I281)/0.5,6),1)))*1440,0)/1440)</f>
        <v/>
      </c>
      <c r="D281" s="9" t="str" cm="1">
        <f t="array" ref="D281">IF(H281="","",IFERROR(INDEX(Log!$C$19:$G$19,VALUE(MID(H281,FIND("#",H281)+1,1))),""))</f>
        <v/>
      </c>
      <c r="E281" s="9" t="str" cm="1">
        <f t="array" ref="E281">IF(OR(H281="",M281),"",IFERROR(_xlfn.LET(_xlpm.t,SUBSTITUTE(UPPER(H281),"م","M"),_xlpm.u,SUBSTITUTE(_xlpm.t,"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81" s="12"/>
      <c r="G281" s="13" t="str">
        <f>IF(B281="","",IF(M281,"⚠ Duplicate (not counted)",IF(AND(I281="",D281="",E281=""),"— ignored",IF(C281="","⚠ Time",IF(D281="","⚠ Plant",IF(E281="","⚠ Quantity",IF(AND(ISNUMBER(L281),COUNTIF(L$1:L280,L281)&gt;0),"⚠ Same serial "&amp;L281,IF(AND(ISNUMBER(L281),L281&gt;MIN($L$2:$L$1001),COUNTIF($L$2:$L$1001,L281-1)=0,COUNTIF($L$2:$L$1001,L281-2)&lt;2),"⚠ Missing serial "&amp;(L281-1),IF(AND(MAX(K$1:K280)&gt;0,N(K281)-MAX(K$1:K280)&gt;180),"⚠ Gap &gt; 3h",IF(C281-I281&gt;=0.99,"next day",IF(C281-I281&gt;0.4,"12h → 24h","")))))))))))</f>
        <v/>
      </c>
      <c r="H281" s="4" t="str">
        <f t="shared" si="20"/>
        <v/>
      </c>
      <c r="I281" s="5" t="str">
        <f t="shared" si="21"/>
        <v/>
      </c>
      <c r="J281" s="6">
        <f t="shared" si="22"/>
        <v>0</v>
      </c>
      <c r="K281" s="4" t="str">
        <f t="shared" si="23"/>
        <v/>
      </c>
      <c r="L281" s="4" t="str">
        <f t="shared" si="24"/>
        <v/>
      </c>
      <c r="M281" s="4" t="b" cm="1">
        <f t="array" ref="M281">IF(H281="",FALSE,SUMPRODUCT(--(H$1:H280=H281))&gt;0)</f>
        <v>0</v>
      </c>
    </row>
    <row r="282" spans="1:13" x14ac:dyDescent="0.25">
      <c r="A282" s="9" t="str">
        <f>IF(OR(B282="",M282,G282="— ignored"),"",MAX(A$1:A281)+1)</f>
        <v/>
      </c>
      <c r="B282" s="10"/>
      <c r="C282" s="11" t="str">
        <f>IF(I282="","",ROUND((I282+0.5*MAX(0,CEILING(ROUND((MAX(C$1:C281)-1/48-I282)/0.5,6),1)))*1440,0)/1440)</f>
        <v/>
      </c>
      <c r="D282" s="9" t="str" cm="1">
        <f t="array" ref="D282">IF(H282="","",IFERROR(INDEX(Log!$C$19:$G$19,VALUE(MID(H282,FIND("#",H282)+1,1))),""))</f>
        <v/>
      </c>
      <c r="E282" s="9" t="str" cm="1">
        <f t="array" ref="E282">IF(OR(H282="",M282),"",IFERROR(_xlfn.LET(_xlpm.t,SUBSTITUTE(UPPER(H282),"م","M"),_xlpm.u,SUBSTITUTE(_xlpm.t,"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82" s="12"/>
      <c r="G282" s="13" t="str">
        <f>IF(B282="","",IF(M282,"⚠ Duplicate (not counted)",IF(AND(I282="",D282="",E282=""),"— ignored",IF(C282="","⚠ Time",IF(D282="","⚠ Plant",IF(E282="","⚠ Quantity",IF(AND(ISNUMBER(L282),COUNTIF(L$1:L281,L282)&gt;0),"⚠ Same serial "&amp;L282,IF(AND(ISNUMBER(L282),L282&gt;MIN($L$2:$L$1001),COUNTIF($L$2:$L$1001,L282-1)=0,COUNTIF($L$2:$L$1001,L282-2)&lt;2),"⚠ Missing serial "&amp;(L282-1),IF(AND(MAX(K$1:K281)&gt;0,N(K282)-MAX(K$1:K281)&gt;180),"⚠ Gap &gt; 3h",IF(C282-I282&gt;=0.99,"next day",IF(C282-I282&gt;0.4,"12h → 24h","")))))))))))</f>
        <v/>
      </c>
      <c r="H282" s="4" t="str">
        <f t="shared" si="20"/>
        <v/>
      </c>
      <c r="I282" s="5" t="str">
        <f t="shared" si="21"/>
        <v/>
      </c>
      <c r="J282" s="6">
        <f t="shared" si="22"/>
        <v>0</v>
      </c>
      <c r="K282" s="4" t="str">
        <f t="shared" si="23"/>
        <v/>
      </c>
      <c r="L282" s="4" t="str">
        <f t="shared" si="24"/>
        <v/>
      </c>
      <c r="M282" s="4" t="b" cm="1">
        <f t="array" ref="M282">IF(H282="",FALSE,SUMPRODUCT(--(H$1:H281=H282))&gt;0)</f>
        <v>0</v>
      </c>
    </row>
    <row r="283" spans="1:13" x14ac:dyDescent="0.25">
      <c r="A283" s="9" t="str">
        <f>IF(OR(B283="",M283,G283="— ignored"),"",MAX(A$1:A282)+1)</f>
        <v/>
      </c>
      <c r="B283" s="10"/>
      <c r="C283" s="11" t="str">
        <f>IF(I283="","",ROUND((I283+0.5*MAX(0,CEILING(ROUND((MAX(C$1:C282)-1/48-I283)/0.5,6),1)))*1440,0)/1440)</f>
        <v/>
      </c>
      <c r="D283" s="9" t="str" cm="1">
        <f t="array" ref="D283">IF(H283="","",IFERROR(INDEX(Log!$C$19:$G$19,VALUE(MID(H283,FIND("#",H283)+1,1))),""))</f>
        <v/>
      </c>
      <c r="E283" s="9" t="str" cm="1">
        <f t="array" ref="E283">IF(OR(H283="",M283),"",IFERROR(_xlfn.LET(_xlpm.t,SUBSTITUTE(UPPER(H283),"م","M"),_xlpm.u,SUBSTITUTE(_xlpm.t,"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83" s="12"/>
      <c r="G283" s="13" t="str">
        <f>IF(B283="","",IF(M283,"⚠ Duplicate (not counted)",IF(AND(I283="",D283="",E283=""),"— ignored",IF(C283="","⚠ Time",IF(D283="","⚠ Plant",IF(E283="","⚠ Quantity",IF(AND(ISNUMBER(L283),COUNTIF(L$1:L282,L283)&gt;0),"⚠ Same serial "&amp;L283,IF(AND(ISNUMBER(L283),L283&gt;MIN($L$2:$L$1001),COUNTIF($L$2:$L$1001,L283-1)=0,COUNTIF($L$2:$L$1001,L283-2)&lt;2),"⚠ Missing serial "&amp;(L283-1),IF(AND(MAX(K$1:K282)&gt;0,N(K283)-MAX(K$1:K282)&gt;180),"⚠ Gap &gt; 3h",IF(C283-I283&gt;=0.99,"next day",IF(C283-I283&gt;0.4,"12h → 24h","")))))))))))</f>
        <v/>
      </c>
      <c r="H283" s="4" t="str">
        <f t="shared" si="20"/>
        <v/>
      </c>
      <c r="I283" s="5" t="str">
        <f t="shared" si="21"/>
        <v/>
      </c>
      <c r="J283" s="6">
        <f t="shared" si="22"/>
        <v>0</v>
      </c>
      <c r="K283" s="4" t="str">
        <f t="shared" si="23"/>
        <v/>
      </c>
      <c r="L283" s="4" t="str">
        <f t="shared" si="24"/>
        <v/>
      </c>
      <c r="M283" s="4" t="b" cm="1">
        <f t="array" ref="M283">IF(H283="",FALSE,SUMPRODUCT(--(H$1:H282=H283))&gt;0)</f>
        <v>0</v>
      </c>
    </row>
    <row r="284" spans="1:13" x14ac:dyDescent="0.25">
      <c r="A284" s="9" t="str">
        <f>IF(OR(B284="",M284,G284="— ignored"),"",MAX(A$1:A283)+1)</f>
        <v/>
      </c>
      <c r="B284" s="10"/>
      <c r="C284" s="11" t="str">
        <f>IF(I284="","",ROUND((I284+0.5*MAX(0,CEILING(ROUND((MAX(C$1:C283)-1/48-I284)/0.5,6),1)))*1440,0)/1440)</f>
        <v/>
      </c>
      <c r="D284" s="9" t="str" cm="1">
        <f t="array" ref="D284">IF(H284="","",IFERROR(INDEX(Log!$C$19:$G$19,VALUE(MID(H284,FIND("#",H284)+1,1))),""))</f>
        <v/>
      </c>
      <c r="E284" s="9" t="str" cm="1">
        <f t="array" ref="E284">IF(OR(H284="",M284),"",IFERROR(_xlfn.LET(_xlpm.t,SUBSTITUTE(UPPER(H284),"م","M"),_xlpm.u,SUBSTITUTE(_xlpm.t,"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84" s="12"/>
      <c r="G284" s="13" t="str">
        <f>IF(B284="","",IF(M284,"⚠ Duplicate (not counted)",IF(AND(I284="",D284="",E284=""),"— ignored",IF(C284="","⚠ Time",IF(D284="","⚠ Plant",IF(E284="","⚠ Quantity",IF(AND(ISNUMBER(L284),COUNTIF(L$1:L283,L284)&gt;0),"⚠ Same serial "&amp;L284,IF(AND(ISNUMBER(L284),L284&gt;MIN($L$2:$L$1001),COUNTIF($L$2:$L$1001,L284-1)=0,COUNTIF($L$2:$L$1001,L284-2)&lt;2),"⚠ Missing serial "&amp;(L284-1),IF(AND(MAX(K$1:K283)&gt;0,N(K284)-MAX(K$1:K283)&gt;180),"⚠ Gap &gt; 3h",IF(C284-I284&gt;=0.99,"next day",IF(C284-I284&gt;0.4,"12h → 24h","")))))))))))</f>
        <v/>
      </c>
      <c r="H284" s="4" t="str">
        <f t="shared" si="20"/>
        <v/>
      </c>
      <c r="I284" s="5" t="str">
        <f t="shared" si="21"/>
        <v/>
      </c>
      <c r="J284" s="6">
        <f t="shared" si="22"/>
        <v>0</v>
      </c>
      <c r="K284" s="4" t="str">
        <f t="shared" si="23"/>
        <v/>
      </c>
      <c r="L284" s="4" t="str">
        <f t="shared" si="24"/>
        <v/>
      </c>
      <c r="M284" s="4" t="b" cm="1">
        <f t="array" ref="M284">IF(H284="",FALSE,SUMPRODUCT(--(H$1:H283=H284))&gt;0)</f>
        <v>0</v>
      </c>
    </row>
    <row r="285" spans="1:13" x14ac:dyDescent="0.25">
      <c r="A285" s="9" t="str">
        <f>IF(OR(B285="",M285,G285="— ignored"),"",MAX(A$1:A284)+1)</f>
        <v/>
      </c>
      <c r="B285" s="10"/>
      <c r="C285" s="11" t="str">
        <f>IF(I285="","",ROUND((I285+0.5*MAX(0,CEILING(ROUND((MAX(C$1:C284)-1/48-I285)/0.5,6),1)))*1440,0)/1440)</f>
        <v/>
      </c>
      <c r="D285" s="9" t="str" cm="1">
        <f t="array" ref="D285">IF(H285="","",IFERROR(INDEX(Log!$C$19:$G$19,VALUE(MID(H285,FIND("#",H285)+1,1))),""))</f>
        <v/>
      </c>
      <c r="E285" s="9" t="str" cm="1">
        <f t="array" ref="E285">IF(OR(H285="",M285),"",IFERROR(_xlfn.LET(_xlpm.t,SUBSTITUTE(UPPER(H285),"م","M"),_xlpm.u,SUBSTITUTE(_xlpm.t,"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85" s="12"/>
      <c r="G285" s="13" t="str">
        <f>IF(B285="","",IF(M285,"⚠ Duplicate (not counted)",IF(AND(I285="",D285="",E285=""),"— ignored",IF(C285="","⚠ Time",IF(D285="","⚠ Plant",IF(E285="","⚠ Quantity",IF(AND(ISNUMBER(L285),COUNTIF(L$1:L284,L285)&gt;0),"⚠ Same serial "&amp;L285,IF(AND(ISNUMBER(L285),L285&gt;MIN($L$2:$L$1001),COUNTIF($L$2:$L$1001,L285-1)=0,COUNTIF($L$2:$L$1001,L285-2)&lt;2),"⚠ Missing serial "&amp;(L285-1),IF(AND(MAX(K$1:K284)&gt;0,N(K285)-MAX(K$1:K284)&gt;180),"⚠ Gap &gt; 3h",IF(C285-I285&gt;=0.99,"next day",IF(C285-I285&gt;0.4,"12h → 24h","")))))))))))</f>
        <v/>
      </c>
      <c r="H285" s="4" t="str">
        <f t="shared" si="20"/>
        <v/>
      </c>
      <c r="I285" s="5" t="str">
        <f t="shared" si="21"/>
        <v/>
      </c>
      <c r="J285" s="6">
        <f t="shared" si="22"/>
        <v>0</v>
      </c>
      <c r="K285" s="4" t="str">
        <f t="shared" si="23"/>
        <v/>
      </c>
      <c r="L285" s="4" t="str">
        <f t="shared" si="24"/>
        <v/>
      </c>
      <c r="M285" s="4" t="b" cm="1">
        <f t="array" ref="M285">IF(H285="",FALSE,SUMPRODUCT(--(H$1:H284=H285))&gt;0)</f>
        <v>0</v>
      </c>
    </row>
    <row r="286" spans="1:13" x14ac:dyDescent="0.25">
      <c r="A286" s="9" t="str">
        <f>IF(OR(B286="",M286,G286="— ignored"),"",MAX(A$1:A285)+1)</f>
        <v/>
      </c>
      <c r="B286" s="10"/>
      <c r="C286" s="11" t="str">
        <f>IF(I286="","",ROUND((I286+0.5*MAX(0,CEILING(ROUND((MAX(C$1:C285)-1/48-I286)/0.5,6),1)))*1440,0)/1440)</f>
        <v/>
      </c>
      <c r="D286" s="9" t="str" cm="1">
        <f t="array" ref="D286">IF(H286="","",IFERROR(INDEX(Log!$C$19:$G$19,VALUE(MID(H286,FIND("#",H286)+1,1))),""))</f>
        <v/>
      </c>
      <c r="E286" s="9" t="str" cm="1">
        <f t="array" ref="E286">IF(OR(H286="",M286),"",IFERROR(_xlfn.LET(_xlpm.t,SUBSTITUTE(UPPER(H286),"م","M"),_xlpm.u,SUBSTITUTE(_xlpm.t,"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86" s="12"/>
      <c r="G286" s="13" t="str">
        <f>IF(B286="","",IF(M286,"⚠ Duplicate (not counted)",IF(AND(I286="",D286="",E286=""),"— ignored",IF(C286="","⚠ Time",IF(D286="","⚠ Plant",IF(E286="","⚠ Quantity",IF(AND(ISNUMBER(L286),COUNTIF(L$1:L285,L286)&gt;0),"⚠ Same serial "&amp;L286,IF(AND(ISNUMBER(L286),L286&gt;MIN($L$2:$L$1001),COUNTIF($L$2:$L$1001,L286-1)=0,COUNTIF($L$2:$L$1001,L286-2)&lt;2),"⚠ Missing serial "&amp;(L286-1),IF(AND(MAX(K$1:K285)&gt;0,N(K286)-MAX(K$1:K285)&gt;180),"⚠ Gap &gt; 3h",IF(C286-I286&gt;=0.99,"next day",IF(C286-I286&gt;0.4,"12h → 24h","")))))))))))</f>
        <v/>
      </c>
      <c r="H286" s="4" t="str">
        <f t="shared" si="20"/>
        <v/>
      </c>
      <c r="I286" s="5" t="str">
        <f t="shared" si="21"/>
        <v/>
      </c>
      <c r="J286" s="6">
        <f t="shared" si="22"/>
        <v>0</v>
      </c>
      <c r="K286" s="4" t="str">
        <f t="shared" si="23"/>
        <v/>
      </c>
      <c r="L286" s="4" t="str">
        <f t="shared" si="24"/>
        <v/>
      </c>
      <c r="M286" s="4" t="b" cm="1">
        <f t="array" ref="M286">IF(H286="",FALSE,SUMPRODUCT(--(H$1:H285=H286))&gt;0)</f>
        <v>0</v>
      </c>
    </row>
    <row r="287" spans="1:13" x14ac:dyDescent="0.25">
      <c r="A287" s="9" t="str">
        <f>IF(OR(B287="",M287,G287="— ignored"),"",MAX(A$1:A286)+1)</f>
        <v/>
      </c>
      <c r="B287" s="10"/>
      <c r="C287" s="11" t="str">
        <f>IF(I287="","",ROUND((I287+0.5*MAX(0,CEILING(ROUND((MAX(C$1:C286)-1/48-I287)/0.5,6),1)))*1440,0)/1440)</f>
        <v/>
      </c>
      <c r="D287" s="9" t="str" cm="1">
        <f t="array" ref="D287">IF(H287="","",IFERROR(INDEX(Log!$C$19:$G$19,VALUE(MID(H287,FIND("#",H287)+1,1))),""))</f>
        <v/>
      </c>
      <c r="E287" s="9" t="str" cm="1">
        <f t="array" ref="E287">IF(OR(H287="",M287),"",IFERROR(_xlfn.LET(_xlpm.t,SUBSTITUTE(UPPER(H287),"م","M"),_xlpm.u,SUBSTITUTE(_xlpm.t,"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87" s="12"/>
      <c r="G287" s="13" t="str">
        <f>IF(B287="","",IF(M287,"⚠ Duplicate (not counted)",IF(AND(I287="",D287="",E287=""),"— ignored",IF(C287="","⚠ Time",IF(D287="","⚠ Plant",IF(E287="","⚠ Quantity",IF(AND(ISNUMBER(L287),COUNTIF(L$1:L286,L287)&gt;0),"⚠ Same serial "&amp;L287,IF(AND(ISNUMBER(L287),L287&gt;MIN($L$2:$L$1001),COUNTIF($L$2:$L$1001,L287-1)=0,COUNTIF($L$2:$L$1001,L287-2)&lt;2),"⚠ Missing serial "&amp;(L287-1),IF(AND(MAX(K$1:K286)&gt;0,N(K287)-MAX(K$1:K286)&gt;180),"⚠ Gap &gt; 3h",IF(C287-I287&gt;=0.99,"next day",IF(C287-I287&gt;0.4,"12h → 24h","")))))))))))</f>
        <v/>
      </c>
      <c r="H287" s="4" t="str">
        <f t="shared" si="20"/>
        <v/>
      </c>
      <c r="I287" s="5" t="str">
        <f t="shared" si="21"/>
        <v/>
      </c>
      <c r="J287" s="6">
        <f t="shared" si="22"/>
        <v>0</v>
      </c>
      <c r="K287" s="4" t="str">
        <f t="shared" si="23"/>
        <v/>
      </c>
      <c r="L287" s="4" t="str">
        <f t="shared" si="24"/>
        <v/>
      </c>
      <c r="M287" s="4" t="b" cm="1">
        <f t="array" ref="M287">IF(H287="",FALSE,SUMPRODUCT(--(H$1:H286=H287))&gt;0)</f>
        <v>0</v>
      </c>
    </row>
    <row r="288" spans="1:13" x14ac:dyDescent="0.25">
      <c r="A288" s="9" t="str">
        <f>IF(OR(B288="",M288,G288="— ignored"),"",MAX(A$1:A287)+1)</f>
        <v/>
      </c>
      <c r="B288" s="10"/>
      <c r="C288" s="11" t="str">
        <f>IF(I288="","",ROUND((I288+0.5*MAX(0,CEILING(ROUND((MAX(C$1:C287)-1/48-I288)/0.5,6),1)))*1440,0)/1440)</f>
        <v/>
      </c>
      <c r="D288" s="9" t="str" cm="1">
        <f t="array" ref="D288">IF(H288="","",IFERROR(INDEX(Log!$C$19:$G$19,VALUE(MID(H288,FIND("#",H288)+1,1))),""))</f>
        <v/>
      </c>
      <c r="E288" s="9" t="str" cm="1">
        <f t="array" ref="E288">IF(OR(H288="",M288),"",IFERROR(_xlfn.LET(_xlpm.t,SUBSTITUTE(UPPER(H288),"م","M"),_xlpm.u,SUBSTITUTE(_xlpm.t,"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88" s="12"/>
      <c r="G288" s="13" t="str">
        <f>IF(B288="","",IF(M288,"⚠ Duplicate (not counted)",IF(AND(I288="",D288="",E288=""),"— ignored",IF(C288="","⚠ Time",IF(D288="","⚠ Plant",IF(E288="","⚠ Quantity",IF(AND(ISNUMBER(L288),COUNTIF(L$1:L287,L288)&gt;0),"⚠ Same serial "&amp;L288,IF(AND(ISNUMBER(L288),L288&gt;MIN($L$2:$L$1001),COUNTIF($L$2:$L$1001,L288-1)=0,COUNTIF($L$2:$L$1001,L288-2)&lt;2),"⚠ Missing serial "&amp;(L288-1),IF(AND(MAX(K$1:K287)&gt;0,N(K288)-MAX(K$1:K287)&gt;180),"⚠ Gap &gt; 3h",IF(C288-I288&gt;=0.99,"next day",IF(C288-I288&gt;0.4,"12h → 24h","")))))))))))</f>
        <v/>
      </c>
      <c r="H288" s="4" t="str">
        <f t="shared" si="20"/>
        <v/>
      </c>
      <c r="I288" s="5" t="str">
        <f t="shared" si="21"/>
        <v/>
      </c>
      <c r="J288" s="6">
        <f t="shared" si="22"/>
        <v>0</v>
      </c>
      <c r="K288" s="4" t="str">
        <f t="shared" si="23"/>
        <v/>
      </c>
      <c r="L288" s="4" t="str">
        <f t="shared" si="24"/>
        <v/>
      </c>
      <c r="M288" s="4" t="b" cm="1">
        <f t="array" ref="M288">IF(H288="",FALSE,SUMPRODUCT(--(H$1:H287=H288))&gt;0)</f>
        <v>0</v>
      </c>
    </row>
    <row r="289" spans="1:13" x14ac:dyDescent="0.25">
      <c r="A289" s="9" t="str">
        <f>IF(OR(B289="",M289,G289="— ignored"),"",MAX(A$1:A288)+1)</f>
        <v/>
      </c>
      <c r="B289" s="10"/>
      <c r="C289" s="11" t="str">
        <f>IF(I289="","",ROUND((I289+0.5*MAX(0,CEILING(ROUND((MAX(C$1:C288)-1/48-I289)/0.5,6),1)))*1440,0)/1440)</f>
        <v/>
      </c>
      <c r="D289" s="9" t="str" cm="1">
        <f t="array" ref="D289">IF(H289="","",IFERROR(INDEX(Log!$C$19:$G$19,VALUE(MID(H289,FIND("#",H289)+1,1))),""))</f>
        <v/>
      </c>
      <c r="E289" s="9" t="str" cm="1">
        <f t="array" ref="E289">IF(OR(H289="",M289),"",IFERROR(_xlfn.LET(_xlpm.t,SUBSTITUTE(UPPER(H289),"م","M"),_xlpm.u,SUBSTITUTE(_xlpm.t,"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89" s="12"/>
      <c r="G289" s="13" t="str">
        <f>IF(B289="","",IF(M289,"⚠ Duplicate (not counted)",IF(AND(I289="",D289="",E289=""),"— ignored",IF(C289="","⚠ Time",IF(D289="","⚠ Plant",IF(E289="","⚠ Quantity",IF(AND(ISNUMBER(L289),COUNTIF(L$1:L288,L289)&gt;0),"⚠ Same serial "&amp;L289,IF(AND(ISNUMBER(L289),L289&gt;MIN($L$2:$L$1001),COUNTIF($L$2:$L$1001,L289-1)=0,COUNTIF($L$2:$L$1001,L289-2)&lt;2),"⚠ Missing serial "&amp;(L289-1),IF(AND(MAX(K$1:K288)&gt;0,N(K289)-MAX(K$1:K288)&gt;180),"⚠ Gap &gt; 3h",IF(C289-I289&gt;=0.99,"next day",IF(C289-I289&gt;0.4,"12h → 24h","")))))))))))</f>
        <v/>
      </c>
      <c r="H289" s="4" t="str">
        <f t="shared" si="20"/>
        <v/>
      </c>
      <c r="I289" s="5" t="str">
        <f t="shared" si="21"/>
        <v/>
      </c>
      <c r="J289" s="6">
        <f t="shared" si="22"/>
        <v>0</v>
      </c>
      <c r="K289" s="4" t="str">
        <f t="shared" si="23"/>
        <v/>
      </c>
      <c r="L289" s="4" t="str">
        <f t="shared" si="24"/>
        <v/>
      </c>
      <c r="M289" s="4" t="b" cm="1">
        <f t="array" ref="M289">IF(H289="",FALSE,SUMPRODUCT(--(H$1:H288=H289))&gt;0)</f>
        <v>0</v>
      </c>
    </row>
    <row r="290" spans="1:13" x14ac:dyDescent="0.25">
      <c r="A290" s="9" t="str">
        <f>IF(OR(B290="",M290,G290="— ignored"),"",MAX(A$1:A289)+1)</f>
        <v/>
      </c>
      <c r="B290" s="10"/>
      <c r="C290" s="11" t="str">
        <f>IF(I290="","",ROUND((I290+0.5*MAX(0,CEILING(ROUND((MAX(C$1:C289)-1/48-I290)/0.5,6),1)))*1440,0)/1440)</f>
        <v/>
      </c>
      <c r="D290" s="9" t="str" cm="1">
        <f t="array" ref="D290">IF(H290="","",IFERROR(INDEX(Log!$C$19:$G$19,VALUE(MID(H290,FIND("#",H290)+1,1))),""))</f>
        <v/>
      </c>
      <c r="E290" s="9" t="str" cm="1">
        <f t="array" ref="E290">IF(OR(H290="",M290),"",IFERROR(_xlfn.LET(_xlpm.t,SUBSTITUTE(UPPER(H290),"م","M"),_xlpm.u,SUBSTITUTE(_xlpm.t,"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90" s="12"/>
      <c r="G290" s="13" t="str">
        <f>IF(B290="","",IF(M290,"⚠ Duplicate (not counted)",IF(AND(I290="",D290="",E290=""),"— ignored",IF(C290="","⚠ Time",IF(D290="","⚠ Plant",IF(E290="","⚠ Quantity",IF(AND(ISNUMBER(L290),COUNTIF(L$1:L289,L290)&gt;0),"⚠ Same serial "&amp;L290,IF(AND(ISNUMBER(L290),L290&gt;MIN($L$2:$L$1001),COUNTIF($L$2:$L$1001,L290-1)=0,COUNTIF($L$2:$L$1001,L290-2)&lt;2),"⚠ Missing serial "&amp;(L290-1),IF(AND(MAX(K$1:K289)&gt;0,N(K290)-MAX(K$1:K289)&gt;180),"⚠ Gap &gt; 3h",IF(C290-I290&gt;=0.99,"next day",IF(C290-I290&gt;0.4,"12h → 24h","")))))))))))</f>
        <v/>
      </c>
      <c r="H290" s="4" t="str">
        <f t="shared" si="20"/>
        <v/>
      </c>
      <c r="I290" s="5" t="str">
        <f t="shared" si="21"/>
        <v/>
      </c>
      <c r="J290" s="6">
        <f t="shared" si="22"/>
        <v>0</v>
      </c>
      <c r="K290" s="4" t="str">
        <f t="shared" si="23"/>
        <v/>
      </c>
      <c r="L290" s="4" t="str">
        <f t="shared" si="24"/>
        <v/>
      </c>
      <c r="M290" s="4" t="b" cm="1">
        <f t="array" ref="M290">IF(H290="",FALSE,SUMPRODUCT(--(H$1:H289=H290))&gt;0)</f>
        <v>0</v>
      </c>
    </row>
    <row r="291" spans="1:13" x14ac:dyDescent="0.25">
      <c r="A291" s="9" t="str">
        <f>IF(OR(B291="",M291,G291="— ignored"),"",MAX(A$1:A290)+1)</f>
        <v/>
      </c>
      <c r="B291" s="10"/>
      <c r="C291" s="11" t="str">
        <f>IF(I291="","",ROUND((I291+0.5*MAX(0,CEILING(ROUND((MAX(C$1:C290)-1/48-I291)/0.5,6),1)))*1440,0)/1440)</f>
        <v/>
      </c>
      <c r="D291" s="9" t="str" cm="1">
        <f t="array" ref="D291">IF(H291="","",IFERROR(INDEX(Log!$C$19:$G$19,VALUE(MID(H291,FIND("#",H291)+1,1))),""))</f>
        <v/>
      </c>
      <c r="E291" s="9" t="str" cm="1">
        <f t="array" ref="E291">IF(OR(H291="",M291),"",IFERROR(_xlfn.LET(_xlpm.t,SUBSTITUTE(UPPER(H291),"م","M"),_xlpm.u,SUBSTITUTE(_xlpm.t,"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91" s="12"/>
      <c r="G291" s="13" t="str">
        <f>IF(B291="","",IF(M291,"⚠ Duplicate (not counted)",IF(AND(I291="",D291="",E291=""),"— ignored",IF(C291="","⚠ Time",IF(D291="","⚠ Plant",IF(E291="","⚠ Quantity",IF(AND(ISNUMBER(L291),COUNTIF(L$1:L290,L291)&gt;0),"⚠ Same serial "&amp;L291,IF(AND(ISNUMBER(L291),L291&gt;MIN($L$2:$L$1001),COUNTIF($L$2:$L$1001,L291-1)=0,COUNTIF($L$2:$L$1001,L291-2)&lt;2),"⚠ Missing serial "&amp;(L291-1),IF(AND(MAX(K$1:K290)&gt;0,N(K291)-MAX(K$1:K290)&gt;180),"⚠ Gap &gt; 3h",IF(C291-I291&gt;=0.99,"next day",IF(C291-I291&gt;0.4,"12h → 24h","")))))))))))</f>
        <v/>
      </c>
      <c r="H291" s="4" t="str">
        <f t="shared" si="20"/>
        <v/>
      </c>
      <c r="I291" s="5" t="str">
        <f t="shared" si="21"/>
        <v/>
      </c>
      <c r="J291" s="6">
        <f t="shared" si="22"/>
        <v>0</v>
      </c>
      <c r="K291" s="4" t="str">
        <f t="shared" si="23"/>
        <v/>
      </c>
      <c r="L291" s="4" t="str">
        <f t="shared" si="24"/>
        <v/>
      </c>
      <c r="M291" s="4" t="b" cm="1">
        <f t="array" ref="M291">IF(H291="",FALSE,SUMPRODUCT(--(H$1:H290=H291))&gt;0)</f>
        <v>0</v>
      </c>
    </row>
    <row r="292" spans="1:13" x14ac:dyDescent="0.25">
      <c r="A292" s="9" t="str">
        <f>IF(OR(B292="",M292,G292="— ignored"),"",MAX(A$1:A291)+1)</f>
        <v/>
      </c>
      <c r="B292" s="10"/>
      <c r="C292" s="11" t="str">
        <f>IF(I292="","",ROUND((I292+0.5*MAX(0,CEILING(ROUND((MAX(C$1:C291)-1/48-I292)/0.5,6),1)))*1440,0)/1440)</f>
        <v/>
      </c>
      <c r="D292" s="9" t="str" cm="1">
        <f t="array" ref="D292">IF(H292="","",IFERROR(INDEX(Log!$C$19:$G$19,VALUE(MID(H292,FIND("#",H292)+1,1))),""))</f>
        <v/>
      </c>
      <c r="E292" s="9" t="str" cm="1">
        <f t="array" ref="E292">IF(OR(H292="",M292),"",IFERROR(_xlfn.LET(_xlpm.t,SUBSTITUTE(UPPER(H292),"م","M"),_xlpm.u,SUBSTITUTE(_xlpm.t,"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92" s="12"/>
      <c r="G292" s="13" t="str">
        <f>IF(B292="","",IF(M292,"⚠ Duplicate (not counted)",IF(AND(I292="",D292="",E292=""),"— ignored",IF(C292="","⚠ Time",IF(D292="","⚠ Plant",IF(E292="","⚠ Quantity",IF(AND(ISNUMBER(L292),COUNTIF(L$1:L291,L292)&gt;0),"⚠ Same serial "&amp;L292,IF(AND(ISNUMBER(L292),L292&gt;MIN($L$2:$L$1001),COUNTIF($L$2:$L$1001,L292-1)=0,COUNTIF($L$2:$L$1001,L292-2)&lt;2),"⚠ Missing serial "&amp;(L292-1),IF(AND(MAX(K$1:K291)&gt;0,N(K292)-MAX(K$1:K291)&gt;180),"⚠ Gap &gt; 3h",IF(C292-I292&gt;=0.99,"next day",IF(C292-I292&gt;0.4,"12h → 24h","")))))))))))</f>
        <v/>
      </c>
      <c r="H292" s="4" t="str">
        <f t="shared" si="20"/>
        <v/>
      </c>
      <c r="I292" s="5" t="str">
        <f t="shared" si="21"/>
        <v/>
      </c>
      <c r="J292" s="6">
        <f t="shared" si="22"/>
        <v>0</v>
      </c>
      <c r="K292" s="4" t="str">
        <f t="shared" si="23"/>
        <v/>
      </c>
      <c r="L292" s="4" t="str">
        <f t="shared" si="24"/>
        <v/>
      </c>
      <c r="M292" s="4" t="b" cm="1">
        <f t="array" ref="M292">IF(H292="",FALSE,SUMPRODUCT(--(H$1:H291=H292))&gt;0)</f>
        <v>0</v>
      </c>
    </row>
    <row r="293" spans="1:13" x14ac:dyDescent="0.25">
      <c r="A293" s="9" t="str">
        <f>IF(OR(B293="",M293,G293="— ignored"),"",MAX(A$1:A292)+1)</f>
        <v/>
      </c>
      <c r="B293" s="10"/>
      <c r="C293" s="11" t="str">
        <f>IF(I293="","",ROUND((I293+0.5*MAX(0,CEILING(ROUND((MAX(C$1:C292)-1/48-I293)/0.5,6),1)))*1440,0)/1440)</f>
        <v/>
      </c>
      <c r="D293" s="9" t="str" cm="1">
        <f t="array" ref="D293">IF(H293="","",IFERROR(INDEX(Log!$C$19:$G$19,VALUE(MID(H293,FIND("#",H293)+1,1))),""))</f>
        <v/>
      </c>
      <c r="E293" s="9" t="str" cm="1">
        <f t="array" ref="E293">IF(OR(H293="",M293),"",IFERROR(_xlfn.LET(_xlpm.t,SUBSTITUTE(UPPER(H293),"م","M"),_xlpm.u,SUBSTITUTE(_xlpm.t,"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93" s="12"/>
      <c r="G293" s="13" t="str">
        <f>IF(B293="","",IF(M293,"⚠ Duplicate (not counted)",IF(AND(I293="",D293="",E293=""),"— ignored",IF(C293="","⚠ Time",IF(D293="","⚠ Plant",IF(E293="","⚠ Quantity",IF(AND(ISNUMBER(L293),COUNTIF(L$1:L292,L293)&gt;0),"⚠ Same serial "&amp;L293,IF(AND(ISNUMBER(L293),L293&gt;MIN($L$2:$L$1001),COUNTIF($L$2:$L$1001,L293-1)=0,COUNTIF($L$2:$L$1001,L293-2)&lt;2),"⚠ Missing serial "&amp;(L293-1),IF(AND(MAX(K$1:K292)&gt;0,N(K293)-MAX(K$1:K292)&gt;180),"⚠ Gap &gt; 3h",IF(C293-I293&gt;=0.99,"next day",IF(C293-I293&gt;0.4,"12h → 24h","")))))))))))</f>
        <v/>
      </c>
      <c r="H293" s="4" t="str">
        <f t="shared" si="20"/>
        <v/>
      </c>
      <c r="I293" s="5" t="str">
        <f t="shared" si="21"/>
        <v/>
      </c>
      <c r="J293" s="6">
        <f t="shared" si="22"/>
        <v>0</v>
      </c>
      <c r="K293" s="4" t="str">
        <f t="shared" si="23"/>
        <v/>
      </c>
      <c r="L293" s="4" t="str">
        <f t="shared" si="24"/>
        <v/>
      </c>
      <c r="M293" s="4" t="b" cm="1">
        <f t="array" ref="M293">IF(H293="",FALSE,SUMPRODUCT(--(H$1:H292=H293))&gt;0)</f>
        <v>0</v>
      </c>
    </row>
    <row r="294" spans="1:13" x14ac:dyDescent="0.25">
      <c r="A294" s="9" t="str">
        <f>IF(OR(B294="",M294,G294="— ignored"),"",MAX(A$1:A293)+1)</f>
        <v/>
      </c>
      <c r="B294" s="10"/>
      <c r="C294" s="11" t="str">
        <f>IF(I294="","",ROUND((I294+0.5*MAX(0,CEILING(ROUND((MAX(C$1:C293)-1/48-I294)/0.5,6),1)))*1440,0)/1440)</f>
        <v/>
      </c>
      <c r="D294" s="9" t="str" cm="1">
        <f t="array" ref="D294">IF(H294="","",IFERROR(INDEX(Log!$C$19:$G$19,VALUE(MID(H294,FIND("#",H294)+1,1))),""))</f>
        <v/>
      </c>
      <c r="E294" s="9" t="str" cm="1">
        <f t="array" ref="E294">IF(OR(H294="",M294),"",IFERROR(_xlfn.LET(_xlpm.t,SUBSTITUTE(UPPER(H294),"م","M"),_xlpm.u,SUBSTITUTE(_xlpm.t,"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94" s="12"/>
      <c r="G294" s="13" t="str">
        <f>IF(B294="","",IF(M294,"⚠ Duplicate (not counted)",IF(AND(I294="",D294="",E294=""),"— ignored",IF(C294="","⚠ Time",IF(D294="","⚠ Plant",IF(E294="","⚠ Quantity",IF(AND(ISNUMBER(L294),COUNTIF(L$1:L293,L294)&gt;0),"⚠ Same serial "&amp;L294,IF(AND(ISNUMBER(L294),L294&gt;MIN($L$2:$L$1001),COUNTIF($L$2:$L$1001,L294-1)=0,COUNTIF($L$2:$L$1001,L294-2)&lt;2),"⚠ Missing serial "&amp;(L294-1),IF(AND(MAX(K$1:K293)&gt;0,N(K294)-MAX(K$1:K293)&gt;180),"⚠ Gap &gt; 3h",IF(C294-I294&gt;=0.99,"next day",IF(C294-I294&gt;0.4,"12h → 24h","")))))))))))</f>
        <v/>
      </c>
      <c r="H294" s="4" t="str">
        <f t="shared" si="20"/>
        <v/>
      </c>
      <c r="I294" s="5" t="str">
        <f t="shared" si="21"/>
        <v/>
      </c>
      <c r="J294" s="6">
        <f t="shared" si="22"/>
        <v>0</v>
      </c>
      <c r="K294" s="4" t="str">
        <f t="shared" si="23"/>
        <v/>
      </c>
      <c r="L294" s="4" t="str">
        <f t="shared" si="24"/>
        <v/>
      </c>
      <c r="M294" s="4" t="b" cm="1">
        <f t="array" ref="M294">IF(H294="",FALSE,SUMPRODUCT(--(H$1:H293=H294))&gt;0)</f>
        <v>0</v>
      </c>
    </row>
    <row r="295" spans="1:13" x14ac:dyDescent="0.25">
      <c r="A295" s="9" t="str">
        <f>IF(OR(B295="",M295,G295="— ignored"),"",MAX(A$1:A294)+1)</f>
        <v/>
      </c>
      <c r="B295" s="10"/>
      <c r="C295" s="11" t="str">
        <f>IF(I295="","",ROUND((I295+0.5*MAX(0,CEILING(ROUND((MAX(C$1:C294)-1/48-I295)/0.5,6),1)))*1440,0)/1440)</f>
        <v/>
      </c>
      <c r="D295" s="9" t="str" cm="1">
        <f t="array" ref="D295">IF(H295="","",IFERROR(INDEX(Log!$C$19:$G$19,VALUE(MID(H295,FIND("#",H295)+1,1))),""))</f>
        <v/>
      </c>
      <c r="E295" s="9" t="str" cm="1">
        <f t="array" ref="E295">IF(OR(H295="",M295),"",IFERROR(_xlfn.LET(_xlpm.t,SUBSTITUTE(UPPER(H295),"م","M"),_xlpm.u,SUBSTITUTE(_xlpm.t,"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95" s="12"/>
      <c r="G295" s="13" t="str">
        <f>IF(B295="","",IF(M295,"⚠ Duplicate (not counted)",IF(AND(I295="",D295="",E295=""),"— ignored",IF(C295="","⚠ Time",IF(D295="","⚠ Plant",IF(E295="","⚠ Quantity",IF(AND(ISNUMBER(L295),COUNTIF(L$1:L294,L295)&gt;0),"⚠ Same serial "&amp;L295,IF(AND(ISNUMBER(L295),L295&gt;MIN($L$2:$L$1001),COUNTIF($L$2:$L$1001,L295-1)=0,COUNTIF($L$2:$L$1001,L295-2)&lt;2),"⚠ Missing serial "&amp;(L295-1),IF(AND(MAX(K$1:K294)&gt;0,N(K295)-MAX(K$1:K294)&gt;180),"⚠ Gap &gt; 3h",IF(C295-I295&gt;=0.99,"next day",IF(C295-I295&gt;0.4,"12h → 24h","")))))))))))</f>
        <v/>
      </c>
      <c r="H295" s="4" t="str">
        <f t="shared" si="20"/>
        <v/>
      </c>
      <c r="I295" s="5" t="str">
        <f t="shared" si="21"/>
        <v/>
      </c>
      <c r="J295" s="6">
        <f t="shared" si="22"/>
        <v>0</v>
      </c>
      <c r="K295" s="4" t="str">
        <f t="shared" si="23"/>
        <v/>
      </c>
      <c r="L295" s="4" t="str">
        <f t="shared" si="24"/>
        <v/>
      </c>
      <c r="M295" s="4" t="b" cm="1">
        <f t="array" ref="M295">IF(H295="",FALSE,SUMPRODUCT(--(H$1:H294=H295))&gt;0)</f>
        <v>0</v>
      </c>
    </row>
    <row r="296" spans="1:13" x14ac:dyDescent="0.25">
      <c r="A296" s="9" t="str">
        <f>IF(OR(B296="",M296,G296="— ignored"),"",MAX(A$1:A295)+1)</f>
        <v/>
      </c>
      <c r="B296" s="10"/>
      <c r="C296" s="11" t="str">
        <f>IF(I296="","",ROUND((I296+0.5*MAX(0,CEILING(ROUND((MAX(C$1:C295)-1/48-I296)/0.5,6),1)))*1440,0)/1440)</f>
        <v/>
      </c>
      <c r="D296" s="9" t="str" cm="1">
        <f t="array" ref="D296">IF(H296="","",IFERROR(INDEX(Log!$C$19:$G$19,VALUE(MID(H296,FIND("#",H296)+1,1))),""))</f>
        <v/>
      </c>
      <c r="E296" s="9" t="str" cm="1">
        <f t="array" ref="E296">IF(OR(H296="",M296),"",IFERROR(_xlfn.LET(_xlpm.t,SUBSTITUTE(UPPER(H296),"م","M"),_xlpm.u,SUBSTITUTE(_xlpm.t,"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96" s="12"/>
      <c r="G296" s="13" t="str">
        <f>IF(B296="","",IF(M296,"⚠ Duplicate (not counted)",IF(AND(I296="",D296="",E296=""),"— ignored",IF(C296="","⚠ Time",IF(D296="","⚠ Plant",IF(E296="","⚠ Quantity",IF(AND(ISNUMBER(L296),COUNTIF(L$1:L295,L296)&gt;0),"⚠ Same serial "&amp;L296,IF(AND(ISNUMBER(L296),L296&gt;MIN($L$2:$L$1001),COUNTIF($L$2:$L$1001,L296-1)=0,COUNTIF($L$2:$L$1001,L296-2)&lt;2),"⚠ Missing serial "&amp;(L296-1),IF(AND(MAX(K$1:K295)&gt;0,N(K296)-MAX(K$1:K295)&gt;180),"⚠ Gap &gt; 3h",IF(C296-I296&gt;=0.99,"next day",IF(C296-I296&gt;0.4,"12h → 24h","")))))))))))</f>
        <v/>
      </c>
      <c r="H296" s="4" t="str">
        <f t="shared" si="20"/>
        <v/>
      </c>
      <c r="I296" s="5" t="str">
        <f t="shared" si="21"/>
        <v/>
      </c>
      <c r="J296" s="6">
        <f t="shared" si="22"/>
        <v>0</v>
      </c>
      <c r="K296" s="4" t="str">
        <f t="shared" si="23"/>
        <v/>
      </c>
      <c r="L296" s="4" t="str">
        <f t="shared" si="24"/>
        <v/>
      </c>
      <c r="M296" s="4" t="b" cm="1">
        <f t="array" ref="M296">IF(H296="",FALSE,SUMPRODUCT(--(H$1:H295=H296))&gt;0)</f>
        <v>0</v>
      </c>
    </row>
    <row r="297" spans="1:13" x14ac:dyDescent="0.25">
      <c r="A297" s="9" t="str">
        <f>IF(OR(B297="",M297,G297="— ignored"),"",MAX(A$1:A296)+1)</f>
        <v/>
      </c>
      <c r="B297" s="10"/>
      <c r="C297" s="11" t="str">
        <f>IF(I297="","",ROUND((I297+0.5*MAX(0,CEILING(ROUND((MAX(C$1:C296)-1/48-I297)/0.5,6),1)))*1440,0)/1440)</f>
        <v/>
      </c>
      <c r="D297" s="9" t="str" cm="1">
        <f t="array" ref="D297">IF(H297="","",IFERROR(INDEX(Log!$C$19:$G$19,VALUE(MID(H297,FIND("#",H297)+1,1))),""))</f>
        <v/>
      </c>
      <c r="E297" s="9" t="str" cm="1">
        <f t="array" ref="E297">IF(OR(H297="",M297),"",IFERROR(_xlfn.LET(_xlpm.t,SUBSTITUTE(UPPER(H297),"م","M"),_xlpm.u,SUBSTITUTE(_xlpm.t,"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97" s="12"/>
      <c r="G297" s="13" t="str">
        <f>IF(B297="","",IF(M297,"⚠ Duplicate (not counted)",IF(AND(I297="",D297="",E297=""),"— ignored",IF(C297="","⚠ Time",IF(D297="","⚠ Plant",IF(E297="","⚠ Quantity",IF(AND(ISNUMBER(L297),COUNTIF(L$1:L296,L297)&gt;0),"⚠ Same serial "&amp;L297,IF(AND(ISNUMBER(L297),L297&gt;MIN($L$2:$L$1001),COUNTIF($L$2:$L$1001,L297-1)=0,COUNTIF($L$2:$L$1001,L297-2)&lt;2),"⚠ Missing serial "&amp;(L297-1),IF(AND(MAX(K$1:K296)&gt;0,N(K297)-MAX(K$1:K296)&gt;180),"⚠ Gap &gt; 3h",IF(C297-I297&gt;=0.99,"next day",IF(C297-I297&gt;0.4,"12h → 24h","")))))))))))</f>
        <v/>
      </c>
      <c r="H297" s="4" t="str">
        <f t="shared" si="20"/>
        <v/>
      </c>
      <c r="I297" s="5" t="str">
        <f t="shared" si="21"/>
        <v/>
      </c>
      <c r="J297" s="6">
        <f t="shared" si="22"/>
        <v>0</v>
      </c>
      <c r="K297" s="4" t="str">
        <f t="shared" si="23"/>
        <v/>
      </c>
      <c r="L297" s="4" t="str">
        <f t="shared" si="24"/>
        <v/>
      </c>
      <c r="M297" s="4" t="b" cm="1">
        <f t="array" ref="M297">IF(H297="",FALSE,SUMPRODUCT(--(H$1:H296=H297))&gt;0)</f>
        <v>0</v>
      </c>
    </row>
    <row r="298" spans="1:13" x14ac:dyDescent="0.25">
      <c r="A298" s="9" t="str">
        <f>IF(OR(B298="",M298,G298="— ignored"),"",MAX(A$1:A297)+1)</f>
        <v/>
      </c>
      <c r="B298" s="10"/>
      <c r="C298" s="11" t="str">
        <f>IF(I298="","",ROUND((I298+0.5*MAX(0,CEILING(ROUND((MAX(C$1:C297)-1/48-I298)/0.5,6),1)))*1440,0)/1440)</f>
        <v/>
      </c>
      <c r="D298" s="9" t="str" cm="1">
        <f t="array" ref="D298">IF(H298="","",IFERROR(INDEX(Log!$C$19:$G$19,VALUE(MID(H298,FIND("#",H298)+1,1))),""))</f>
        <v/>
      </c>
      <c r="E298" s="9" t="str" cm="1">
        <f t="array" ref="E298">IF(OR(H298="",M298),"",IFERROR(_xlfn.LET(_xlpm.t,SUBSTITUTE(UPPER(H298),"م","M"),_xlpm.u,SUBSTITUTE(_xlpm.t,"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98" s="12"/>
      <c r="G298" s="13" t="str">
        <f>IF(B298="","",IF(M298,"⚠ Duplicate (not counted)",IF(AND(I298="",D298="",E298=""),"— ignored",IF(C298="","⚠ Time",IF(D298="","⚠ Plant",IF(E298="","⚠ Quantity",IF(AND(ISNUMBER(L298),COUNTIF(L$1:L297,L298)&gt;0),"⚠ Same serial "&amp;L298,IF(AND(ISNUMBER(L298),L298&gt;MIN($L$2:$L$1001),COUNTIF($L$2:$L$1001,L298-1)=0,COUNTIF($L$2:$L$1001,L298-2)&lt;2),"⚠ Missing serial "&amp;(L298-1),IF(AND(MAX(K$1:K297)&gt;0,N(K298)-MAX(K$1:K297)&gt;180),"⚠ Gap &gt; 3h",IF(C298-I298&gt;=0.99,"next day",IF(C298-I298&gt;0.4,"12h → 24h","")))))))))))</f>
        <v/>
      </c>
      <c r="H298" s="4" t="str">
        <f t="shared" si="20"/>
        <v/>
      </c>
      <c r="I298" s="5" t="str">
        <f t="shared" si="21"/>
        <v/>
      </c>
      <c r="J298" s="6">
        <f t="shared" si="22"/>
        <v>0</v>
      </c>
      <c r="K298" s="4" t="str">
        <f t="shared" si="23"/>
        <v/>
      </c>
      <c r="L298" s="4" t="str">
        <f t="shared" si="24"/>
        <v/>
      </c>
      <c r="M298" s="4" t="b" cm="1">
        <f t="array" ref="M298">IF(H298="",FALSE,SUMPRODUCT(--(H$1:H297=H298))&gt;0)</f>
        <v>0</v>
      </c>
    </row>
    <row r="299" spans="1:13" x14ac:dyDescent="0.25">
      <c r="A299" s="9" t="str">
        <f>IF(OR(B299="",M299,G299="— ignored"),"",MAX(A$1:A298)+1)</f>
        <v/>
      </c>
      <c r="B299" s="10"/>
      <c r="C299" s="11" t="str">
        <f>IF(I299="","",ROUND((I299+0.5*MAX(0,CEILING(ROUND((MAX(C$1:C298)-1/48-I299)/0.5,6),1)))*1440,0)/1440)</f>
        <v/>
      </c>
      <c r="D299" s="9" t="str" cm="1">
        <f t="array" ref="D299">IF(H299="","",IFERROR(INDEX(Log!$C$19:$G$19,VALUE(MID(H299,FIND("#",H299)+1,1))),""))</f>
        <v/>
      </c>
      <c r="E299" s="9" t="str" cm="1">
        <f t="array" ref="E299">IF(OR(H299="",M299),"",IFERROR(_xlfn.LET(_xlpm.t,SUBSTITUTE(UPPER(H299),"م","M"),_xlpm.u,SUBSTITUTE(_xlpm.t,"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299" s="12"/>
      <c r="G299" s="13" t="str">
        <f>IF(B299="","",IF(M299,"⚠ Duplicate (not counted)",IF(AND(I299="",D299="",E299=""),"— ignored",IF(C299="","⚠ Time",IF(D299="","⚠ Plant",IF(E299="","⚠ Quantity",IF(AND(ISNUMBER(L299),COUNTIF(L$1:L298,L299)&gt;0),"⚠ Same serial "&amp;L299,IF(AND(ISNUMBER(L299),L299&gt;MIN($L$2:$L$1001),COUNTIF($L$2:$L$1001,L299-1)=0,COUNTIF($L$2:$L$1001,L299-2)&lt;2),"⚠ Missing serial "&amp;(L299-1),IF(AND(MAX(K$1:K298)&gt;0,N(K299)-MAX(K$1:K298)&gt;180),"⚠ Gap &gt; 3h",IF(C299-I299&gt;=0.99,"next day",IF(C299-I299&gt;0.4,"12h → 24h","")))))))))))</f>
        <v/>
      </c>
      <c r="H299" s="4" t="str">
        <f t="shared" si="20"/>
        <v/>
      </c>
      <c r="I299" s="5" t="str">
        <f t="shared" si="21"/>
        <v/>
      </c>
      <c r="J299" s="6">
        <f t="shared" si="22"/>
        <v>0</v>
      </c>
      <c r="K299" s="4" t="str">
        <f t="shared" si="23"/>
        <v/>
      </c>
      <c r="L299" s="4" t="str">
        <f t="shared" si="24"/>
        <v/>
      </c>
      <c r="M299" s="4" t="b" cm="1">
        <f t="array" ref="M299">IF(H299="",FALSE,SUMPRODUCT(--(H$1:H298=H299))&gt;0)</f>
        <v>0</v>
      </c>
    </row>
    <row r="300" spans="1:13" x14ac:dyDescent="0.25">
      <c r="A300" s="9" t="str">
        <f>IF(OR(B300="",M300,G300="— ignored"),"",MAX(A$1:A299)+1)</f>
        <v/>
      </c>
      <c r="B300" s="10"/>
      <c r="C300" s="11" t="str">
        <f>IF(I300="","",ROUND((I300+0.5*MAX(0,CEILING(ROUND((MAX(C$1:C299)-1/48-I300)/0.5,6),1)))*1440,0)/1440)</f>
        <v/>
      </c>
      <c r="D300" s="9" t="str" cm="1">
        <f t="array" ref="D300">IF(H300="","",IFERROR(INDEX(Log!$C$19:$G$19,VALUE(MID(H300,FIND("#",H300)+1,1))),""))</f>
        <v/>
      </c>
      <c r="E300" s="9" t="str" cm="1">
        <f t="array" ref="E300">IF(OR(H300="",M300),"",IFERROR(_xlfn.LET(_xlpm.t,SUBSTITUTE(UPPER(H300),"م","M"),_xlpm.u,SUBSTITUTE(_xlpm.t,"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00" s="12"/>
      <c r="G300" s="13" t="str">
        <f>IF(B300="","",IF(M300,"⚠ Duplicate (not counted)",IF(AND(I300="",D300="",E300=""),"— ignored",IF(C300="","⚠ Time",IF(D300="","⚠ Plant",IF(E300="","⚠ Quantity",IF(AND(ISNUMBER(L300),COUNTIF(L$1:L299,L300)&gt;0),"⚠ Same serial "&amp;L300,IF(AND(ISNUMBER(L300),L300&gt;MIN($L$2:$L$1001),COUNTIF($L$2:$L$1001,L300-1)=0,COUNTIF($L$2:$L$1001,L300-2)&lt;2),"⚠ Missing serial "&amp;(L300-1),IF(AND(MAX(K$1:K299)&gt;0,N(K300)-MAX(K$1:K299)&gt;180),"⚠ Gap &gt; 3h",IF(C300-I300&gt;=0.99,"next day",IF(C300-I300&gt;0.4,"12h → 24h","")))))))))))</f>
        <v/>
      </c>
      <c r="H300" s="4" t="str">
        <f t="shared" si="20"/>
        <v/>
      </c>
      <c r="I300" s="5" t="str">
        <f t="shared" si="21"/>
        <v/>
      </c>
      <c r="J300" s="6">
        <f t="shared" si="22"/>
        <v>0</v>
      </c>
      <c r="K300" s="4" t="str">
        <f t="shared" si="23"/>
        <v/>
      </c>
      <c r="L300" s="4" t="str">
        <f t="shared" si="24"/>
        <v/>
      </c>
      <c r="M300" s="4" t="b" cm="1">
        <f t="array" ref="M300">IF(H300="",FALSE,SUMPRODUCT(--(H$1:H299=H300))&gt;0)</f>
        <v>0</v>
      </c>
    </row>
    <row r="301" spans="1:13" x14ac:dyDescent="0.25">
      <c r="A301" s="9" t="str">
        <f>IF(OR(B301="",M301,G301="— ignored"),"",MAX(A$1:A300)+1)</f>
        <v/>
      </c>
      <c r="B301" s="10"/>
      <c r="C301" s="11" t="str">
        <f>IF(I301="","",ROUND((I301+0.5*MAX(0,CEILING(ROUND((MAX(C$1:C300)-1/48-I301)/0.5,6),1)))*1440,0)/1440)</f>
        <v/>
      </c>
      <c r="D301" s="9" t="str" cm="1">
        <f t="array" ref="D301">IF(H301="","",IFERROR(INDEX(Log!$C$19:$G$19,VALUE(MID(H301,FIND("#",H301)+1,1))),""))</f>
        <v/>
      </c>
      <c r="E301" s="9" t="str" cm="1">
        <f t="array" ref="E301">IF(OR(H301="",M301),"",IFERROR(_xlfn.LET(_xlpm.t,SUBSTITUTE(UPPER(H301),"م","M"),_xlpm.u,SUBSTITUTE(_xlpm.t,"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01" s="12"/>
      <c r="G301" s="13" t="str">
        <f>IF(B301="","",IF(M301,"⚠ Duplicate (not counted)",IF(AND(I301="",D301="",E301=""),"— ignored",IF(C301="","⚠ Time",IF(D301="","⚠ Plant",IF(E301="","⚠ Quantity",IF(AND(ISNUMBER(L301),COUNTIF(L$1:L300,L301)&gt;0),"⚠ Same serial "&amp;L301,IF(AND(ISNUMBER(L301),L301&gt;MIN($L$2:$L$1001),COUNTIF($L$2:$L$1001,L301-1)=0,COUNTIF($L$2:$L$1001,L301-2)&lt;2),"⚠ Missing serial "&amp;(L301-1),IF(AND(MAX(K$1:K300)&gt;0,N(K301)-MAX(K$1:K300)&gt;180),"⚠ Gap &gt; 3h",IF(C301-I301&gt;=0.99,"next day",IF(C301-I301&gt;0.4,"12h → 24h","")))))))))))</f>
        <v/>
      </c>
      <c r="H301" s="4" t="str">
        <f t="shared" si="20"/>
        <v/>
      </c>
      <c r="I301" s="5" t="str">
        <f t="shared" si="21"/>
        <v/>
      </c>
      <c r="J301" s="6">
        <f t="shared" si="22"/>
        <v>0</v>
      </c>
      <c r="K301" s="4" t="str">
        <f t="shared" si="23"/>
        <v/>
      </c>
      <c r="L301" s="4" t="str">
        <f t="shared" si="24"/>
        <v/>
      </c>
      <c r="M301" s="4" t="b" cm="1">
        <f t="array" ref="M301">IF(H301="",FALSE,SUMPRODUCT(--(H$1:H300=H301))&gt;0)</f>
        <v>0</v>
      </c>
    </row>
    <row r="302" spans="1:13" x14ac:dyDescent="0.25">
      <c r="A302" s="9" t="str">
        <f>IF(OR(B302="",M302,G302="— ignored"),"",MAX(A$1:A301)+1)</f>
        <v/>
      </c>
      <c r="B302" s="10"/>
      <c r="C302" s="11" t="str">
        <f>IF(I302="","",ROUND((I302+0.5*MAX(0,CEILING(ROUND((MAX(C$1:C301)-1/48-I302)/0.5,6),1)))*1440,0)/1440)</f>
        <v/>
      </c>
      <c r="D302" s="9" t="str" cm="1">
        <f t="array" ref="D302">IF(H302="","",IFERROR(INDEX(Log!$C$19:$G$19,VALUE(MID(H302,FIND("#",H302)+1,1))),""))</f>
        <v/>
      </c>
      <c r="E302" s="9" t="str" cm="1">
        <f t="array" ref="E302">IF(OR(H302="",M302),"",IFERROR(_xlfn.LET(_xlpm.t,SUBSTITUTE(UPPER(H302),"م","M"),_xlpm.u,SUBSTITUTE(_xlpm.t,"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02" s="12"/>
      <c r="G302" s="13" t="str">
        <f>IF(B302="","",IF(M302,"⚠ Duplicate (not counted)",IF(AND(I302="",D302="",E302=""),"— ignored",IF(C302="","⚠ Time",IF(D302="","⚠ Plant",IF(E302="","⚠ Quantity",IF(AND(ISNUMBER(L302),COUNTIF(L$1:L301,L302)&gt;0),"⚠ Same serial "&amp;L302,IF(AND(ISNUMBER(L302),L302&gt;MIN($L$2:$L$1001),COUNTIF($L$2:$L$1001,L302-1)=0,COUNTIF($L$2:$L$1001,L302-2)&lt;2),"⚠ Missing serial "&amp;(L302-1),IF(AND(MAX(K$1:K301)&gt;0,N(K302)-MAX(K$1:K301)&gt;180),"⚠ Gap &gt; 3h",IF(C302-I302&gt;=0.99,"next day",IF(C302-I302&gt;0.4,"12h → 24h","")))))))))))</f>
        <v/>
      </c>
      <c r="H302" s="4" t="str">
        <f t="shared" si="20"/>
        <v/>
      </c>
      <c r="I302" s="5" t="str">
        <f t="shared" si="21"/>
        <v/>
      </c>
      <c r="J302" s="6">
        <f t="shared" si="22"/>
        <v>0</v>
      </c>
      <c r="K302" s="4" t="str">
        <f t="shared" si="23"/>
        <v/>
      </c>
      <c r="L302" s="4" t="str">
        <f t="shared" si="24"/>
        <v/>
      </c>
      <c r="M302" s="4" t="b" cm="1">
        <f t="array" ref="M302">IF(H302="",FALSE,SUMPRODUCT(--(H$1:H301=H302))&gt;0)</f>
        <v>0</v>
      </c>
    </row>
    <row r="303" spans="1:13" x14ac:dyDescent="0.25">
      <c r="A303" s="9" t="str">
        <f>IF(OR(B303="",M303,G303="— ignored"),"",MAX(A$1:A302)+1)</f>
        <v/>
      </c>
      <c r="B303" s="10"/>
      <c r="C303" s="11" t="str">
        <f>IF(I303="","",ROUND((I303+0.5*MAX(0,CEILING(ROUND((MAX(C$1:C302)-1/48-I303)/0.5,6),1)))*1440,0)/1440)</f>
        <v/>
      </c>
      <c r="D303" s="9" t="str" cm="1">
        <f t="array" ref="D303">IF(H303="","",IFERROR(INDEX(Log!$C$19:$G$19,VALUE(MID(H303,FIND("#",H303)+1,1))),""))</f>
        <v/>
      </c>
      <c r="E303" s="9" t="str" cm="1">
        <f t="array" ref="E303">IF(OR(H303="",M303),"",IFERROR(_xlfn.LET(_xlpm.t,SUBSTITUTE(UPPER(H303),"م","M"),_xlpm.u,SUBSTITUTE(_xlpm.t,"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03" s="12"/>
      <c r="G303" s="13" t="str">
        <f>IF(B303="","",IF(M303,"⚠ Duplicate (not counted)",IF(AND(I303="",D303="",E303=""),"— ignored",IF(C303="","⚠ Time",IF(D303="","⚠ Plant",IF(E303="","⚠ Quantity",IF(AND(ISNUMBER(L303),COUNTIF(L$1:L302,L303)&gt;0),"⚠ Same serial "&amp;L303,IF(AND(ISNUMBER(L303),L303&gt;MIN($L$2:$L$1001),COUNTIF($L$2:$L$1001,L303-1)=0,COUNTIF($L$2:$L$1001,L303-2)&lt;2),"⚠ Missing serial "&amp;(L303-1),IF(AND(MAX(K$1:K302)&gt;0,N(K303)-MAX(K$1:K302)&gt;180),"⚠ Gap &gt; 3h",IF(C303-I303&gt;=0.99,"next day",IF(C303-I303&gt;0.4,"12h → 24h","")))))))))))</f>
        <v/>
      </c>
      <c r="H303" s="4" t="str">
        <f t="shared" si="20"/>
        <v/>
      </c>
      <c r="I303" s="5" t="str">
        <f t="shared" si="21"/>
        <v/>
      </c>
      <c r="J303" s="6">
        <f t="shared" si="22"/>
        <v>0</v>
      </c>
      <c r="K303" s="4" t="str">
        <f t="shared" si="23"/>
        <v/>
      </c>
      <c r="L303" s="4" t="str">
        <f t="shared" si="24"/>
        <v/>
      </c>
      <c r="M303" s="4" t="b" cm="1">
        <f t="array" ref="M303">IF(H303="",FALSE,SUMPRODUCT(--(H$1:H302=H303))&gt;0)</f>
        <v>0</v>
      </c>
    </row>
    <row r="304" spans="1:13" x14ac:dyDescent="0.25">
      <c r="A304" s="9" t="str">
        <f>IF(OR(B304="",M304,G304="— ignored"),"",MAX(A$1:A303)+1)</f>
        <v/>
      </c>
      <c r="B304" s="10"/>
      <c r="C304" s="11" t="str">
        <f>IF(I304="","",ROUND((I304+0.5*MAX(0,CEILING(ROUND((MAX(C$1:C303)-1/48-I304)/0.5,6),1)))*1440,0)/1440)</f>
        <v/>
      </c>
      <c r="D304" s="9" t="str" cm="1">
        <f t="array" ref="D304">IF(H304="","",IFERROR(INDEX(Log!$C$19:$G$19,VALUE(MID(H304,FIND("#",H304)+1,1))),""))</f>
        <v/>
      </c>
      <c r="E304" s="9" t="str" cm="1">
        <f t="array" ref="E304">IF(OR(H304="",M304),"",IFERROR(_xlfn.LET(_xlpm.t,SUBSTITUTE(UPPER(H304),"م","M"),_xlpm.u,SUBSTITUTE(_xlpm.t,"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04" s="12"/>
      <c r="G304" s="13" t="str">
        <f>IF(B304="","",IF(M304,"⚠ Duplicate (not counted)",IF(AND(I304="",D304="",E304=""),"— ignored",IF(C304="","⚠ Time",IF(D304="","⚠ Plant",IF(E304="","⚠ Quantity",IF(AND(ISNUMBER(L304),COUNTIF(L$1:L303,L304)&gt;0),"⚠ Same serial "&amp;L304,IF(AND(ISNUMBER(L304),L304&gt;MIN($L$2:$L$1001),COUNTIF($L$2:$L$1001,L304-1)=0,COUNTIF($L$2:$L$1001,L304-2)&lt;2),"⚠ Missing serial "&amp;(L304-1),IF(AND(MAX(K$1:K303)&gt;0,N(K304)-MAX(K$1:K303)&gt;180),"⚠ Gap &gt; 3h",IF(C304-I304&gt;=0.99,"next day",IF(C304-I304&gt;0.4,"12h → 24h","")))))))))))</f>
        <v/>
      </c>
      <c r="H304" s="4" t="str">
        <f t="shared" si="20"/>
        <v/>
      </c>
      <c r="I304" s="5" t="str">
        <f t="shared" si="21"/>
        <v/>
      </c>
      <c r="J304" s="6">
        <f t="shared" si="22"/>
        <v>0</v>
      </c>
      <c r="K304" s="4" t="str">
        <f t="shared" si="23"/>
        <v/>
      </c>
      <c r="L304" s="4" t="str">
        <f t="shared" si="24"/>
        <v/>
      </c>
      <c r="M304" s="4" t="b" cm="1">
        <f t="array" ref="M304">IF(H304="",FALSE,SUMPRODUCT(--(H$1:H303=H304))&gt;0)</f>
        <v>0</v>
      </c>
    </row>
    <row r="305" spans="1:13" x14ac:dyDescent="0.25">
      <c r="A305" s="9" t="str">
        <f>IF(OR(B305="",M305,G305="— ignored"),"",MAX(A$1:A304)+1)</f>
        <v/>
      </c>
      <c r="B305" s="10"/>
      <c r="C305" s="11" t="str">
        <f>IF(I305="","",ROUND((I305+0.5*MAX(0,CEILING(ROUND((MAX(C$1:C304)-1/48-I305)/0.5,6),1)))*1440,0)/1440)</f>
        <v/>
      </c>
      <c r="D305" s="9" t="str" cm="1">
        <f t="array" ref="D305">IF(H305="","",IFERROR(INDEX(Log!$C$19:$G$19,VALUE(MID(H305,FIND("#",H305)+1,1))),""))</f>
        <v/>
      </c>
      <c r="E305" s="9" t="str" cm="1">
        <f t="array" ref="E305">IF(OR(H305="",M305),"",IFERROR(_xlfn.LET(_xlpm.t,SUBSTITUTE(UPPER(H305),"م","M"),_xlpm.u,SUBSTITUTE(_xlpm.t,"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05" s="12"/>
      <c r="G305" s="13" t="str">
        <f>IF(B305="","",IF(M305,"⚠ Duplicate (not counted)",IF(AND(I305="",D305="",E305=""),"— ignored",IF(C305="","⚠ Time",IF(D305="","⚠ Plant",IF(E305="","⚠ Quantity",IF(AND(ISNUMBER(L305),COUNTIF(L$1:L304,L305)&gt;0),"⚠ Same serial "&amp;L305,IF(AND(ISNUMBER(L305),L305&gt;MIN($L$2:$L$1001),COUNTIF($L$2:$L$1001,L305-1)=0,COUNTIF($L$2:$L$1001,L305-2)&lt;2),"⚠ Missing serial "&amp;(L305-1),IF(AND(MAX(K$1:K304)&gt;0,N(K305)-MAX(K$1:K304)&gt;180),"⚠ Gap &gt; 3h",IF(C305-I305&gt;=0.99,"next day",IF(C305-I305&gt;0.4,"12h → 24h","")))))))))))</f>
        <v/>
      </c>
      <c r="H305" s="4" t="str">
        <f t="shared" si="20"/>
        <v/>
      </c>
      <c r="I305" s="5" t="str">
        <f t="shared" si="21"/>
        <v/>
      </c>
      <c r="J305" s="6">
        <f t="shared" si="22"/>
        <v>0</v>
      </c>
      <c r="K305" s="4" t="str">
        <f t="shared" si="23"/>
        <v/>
      </c>
      <c r="L305" s="4" t="str">
        <f t="shared" si="24"/>
        <v/>
      </c>
      <c r="M305" s="4" t="b" cm="1">
        <f t="array" ref="M305">IF(H305="",FALSE,SUMPRODUCT(--(H$1:H304=H305))&gt;0)</f>
        <v>0</v>
      </c>
    </row>
    <row r="306" spans="1:13" x14ac:dyDescent="0.25">
      <c r="A306" s="9" t="str">
        <f>IF(OR(B306="",M306,G306="— ignored"),"",MAX(A$1:A305)+1)</f>
        <v/>
      </c>
      <c r="B306" s="10"/>
      <c r="C306" s="11" t="str">
        <f>IF(I306="","",ROUND((I306+0.5*MAX(0,CEILING(ROUND((MAX(C$1:C305)-1/48-I306)/0.5,6),1)))*1440,0)/1440)</f>
        <v/>
      </c>
      <c r="D306" s="9" t="str" cm="1">
        <f t="array" ref="D306">IF(H306="","",IFERROR(INDEX(Log!$C$19:$G$19,VALUE(MID(H306,FIND("#",H306)+1,1))),""))</f>
        <v/>
      </c>
      <c r="E306" s="9" t="str" cm="1">
        <f t="array" ref="E306">IF(OR(H306="",M306),"",IFERROR(_xlfn.LET(_xlpm.t,SUBSTITUTE(UPPER(H306),"م","M"),_xlpm.u,SUBSTITUTE(_xlpm.t,"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06" s="12"/>
      <c r="G306" s="13" t="str">
        <f>IF(B306="","",IF(M306,"⚠ Duplicate (not counted)",IF(AND(I306="",D306="",E306=""),"— ignored",IF(C306="","⚠ Time",IF(D306="","⚠ Plant",IF(E306="","⚠ Quantity",IF(AND(ISNUMBER(L306),COUNTIF(L$1:L305,L306)&gt;0),"⚠ Same serial "&amp;L306,IF(AND(ISNUMBER(L306),L306&gt;MIN($L$2:$L$1001),COUNTIF($L$2:$L$1001,L306-1)=0,COUNTIF($L$2:$L$1001,L306-2)&lt;2),"⚠ Missing serial "&amp;(L306-1),IF(AND(MAX(K$1:K305)&gt;0,N(K306)-MAX(K$1:K305)&gt;180),"⚠ Gap &gt; 3h",IF(C306-I306&gt;=0.99,"next day",IF(C306-I306&gt;0.4,"12h → 24h","")))))))))))</f>
        <v/>
      </c>
      <c r="H306" s="4" t="str">
        <f t="shared" si="20"/>
        <v/>
      </c>
      <c r="I306" s="5" t="str">
        <f t="shared" si="21"/>
        <v/>
      </c>
      <c r="J306" s="6">
        <f t="shared" si="22"/>
        <v>0</v>
      </c>
      <c r="K306" s="4" t="str">
        <f t="shared" si="23"/>
        <v/>
      </c>
      <c r="L306" s="4" t="str">
        <f t="shared" si="24"/>
        <v/>
      </c>
      <c r="M306" s="4" t="b" cm="1">
        <f t="array" ref="M306">IF(H306="",FALSE,SUMPRODUCT(--(H$1:H305=H306))&gt;0)</f>
        <v>0</v>
      </c>
    </row>
    <row r="307" spans="1:13" x14ac:dyDescent="0.25">
      <c r="A307" s="9" t="str">
        <f>IF(OR(B307="",M307,G307="— ignored"),"",MAX(A$1:A306)+1)</f>
        <v/>
      </c>
      <c r="B307" s="10"/>
      <c r="C307" s="11" t="str">
        <f>IF(I307="","",ROUND((I307+0.5*MAX(0,CEILING(ROUND((MAX(C$1:C306)-1/48-I307)/0.5,6),1)))*1440,0)/1440)</f>
        <v/>
      </c>
      <c r="D307" s="9" t="str" cm="1">
        <f t="array" ref="D307">IF(H307="","",IFERROR(INDEX(Log!$C$19:$G$19,VALUE(MID(H307,FIND("#",H307)+1,1))),""))</f>
        <v/>
      </c>
      <c r="E307" s="9" t="str" cm="1">
        <f t="array" ref="E307">IF(OR(H307="",M307),"",IFERROR(_xlfn.LET(_xlpm.t,SUBSTITUTE(UPPER(H307),"م","M"),_xlpm.u,SUBSTITUTE(_xlpm.t,"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07" s="12"/>
      <c r="G307" s="13" t="str">
        <f>IF(B307="","",IF(M307,"⚠ Duplicate (not counted)",IF(AND(I307="",D307="",E307=""),"— ignored",IF(C307="","⚠ Time",IF(D307="","⚠ Plant",IF(E307="","⚠ Quantity",IF(AND(ISNUMBER(L307),COUNTIF(L$1:L306,L307)&gt;0),"⚠ Same serial "&amp;L307,IF(AND(ISNUMBER(L307),L307&gt;MIN($L$2:$L$1001),COUNTIF($L$2:$L$1001,L307-1)=0,COUNTIF($L$2:$L$1001,L307-2)&lt;2),"⚠ Missing serial "&amp;(L307-1),IF(AND(MAX(K$1:K306)&gt;0,N(K307)-MAX(K$1:K306)&gt;180),"⚠ Gap &gt; 3h",IF(C307-I307&gt;=0.99,"next day",IF(C307-I307&gt;0.4,"12h → 24h","")))))))))))</f>
        <v/>
      </c>
      <c r="H307" s="4" t="str">
        <f t="shared" si="20"/>
        <v/>
      </c>
      <c r="I307" s="5" t="str">
        <f t="shared" si="21"/>
        <v/>
      </c>
      <c r="J307" s="6">
        <f t="shared" si="22"/>
        <v>0</v>
      </c>
      <c r="K307" s="4" t="str">
        <f t="shared" si="23"/>
        <v/>
      </c>
      <c r="L307" s="4" t="str">
        <f t="shared" si="24"/>
        <v/>
      </c>
      <c r="M307" s="4" t="b" cm="1">
        <f t="array" ref="M307">IF(H307="",FALSE,SUMPRODUCT(--(H$1:H306=H307))&gt;0)</f>
        <v>0</v>
      </c>
    </row>
    <row r="308" spans="1:13" x14ac:dyDescent="0.25">
      <c r="A308" s="9" t="str">
        <f>IF(OR(B308="",M308,G308="— ignored"),"",MAX(A$1:A307)+1)</f>
        <v/>
      </c>
      <c r="B308" s="10"/>
      <c r="C308" s="11" t="str">
        <f>IF(I308="","",ROUND((I308+0.5*MAX(0,CEILING(ROUND((MAX(C$1:C307)-1/48-I308)/0.5,6),1)))*1440,0)/1440)</f>
        <v/>
      </c>
      <c r="D308" s="9" t="str" cm="1">
        <f t="array" ref="D308">IF(H308="","",IFERROR(INDEX(Log!$C$19:$G$19,VALUE(MID(H308,FIND("#",H308)+1,1))),""))</f>
        <v/>
      </c>
      <c r="E308" s="9" t="str" cm="1">
        <f t="array" ref="E308">IF(OR(H308="",M308),"",IFERROR(_xlfn.LET(_xlpm.t,SUBSTITUTE(UPPER(H308),"م","M"),_xlpm.u,SUBSTITUTE(_xlpm.t,"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08" s="12"/>
      <c r="G308" s="13" t="str">
        <f>IF(B308="","",IF(M308,"⚠ Duplicate (not counted)",IF(AND(I308="",D308="",E308=""),"— ignored",IF(C308="","⚠ Time",IF(D308="","⚠ Plant",IF(E308="","⚠ Quantity",IF(AND(ISNUMBER(L308),COUNTIF(L$1:L307,L308)&gt;0),"⚠ Same serial "&amp;L308,IF(AND(ISNUMBER(L308),L308&gt;MIN($L$2:$L$1001),COUNTIF($L$2:$L$1001,L308-1)=0,COUNTIF($L$2:$L$1001,L308-2)&lt;2),"⚠ Missing serial "&amp;(L308-1),IF(AND(MAX(K$1:K307)&gt;0,N(K308)-MAX(K$1:K307)&gt;180),"⚠ Gap &gt; 3h",IF(C308-I308&gt;=0.99,"next day",IF(C308-I308&gt;0.4,"12h → 24h","")))))))))))</f>
        <v/>
      </c>
      <c r="H308" s="4" t="str">
        <f t="shared" si="20"/>
        <v/>
      </c>
      <c r="I308" s="5" t="str">
        <f t="shared" si="21"/>
        <v/>
      </c>
      <c r="J308" s="6">
        <f t="shared" si="22"/>
        <v>0</v>
      </c>
      <c r="K308" s="4" t="str">
        <f t="shared" si="23"/>
        <v/>
      </c>
      <c r="L308" s="4" t="str">
        <f t="shared" si="24"/>
        <v/>
      </c>
      <c r="M308" s="4" t="b" cm="1">
        <f t="array" ref="M308">IF(H308="",FALSE,SUMPRODUCT(--(H$1:H307=H308))&gt;0)</f>
        <v>0</v>
      </c>
    </row>
    <row r="309" spans="1:13" x14ac:dyDescent="0.25">
      <c r="A309" s="9" t="str">
        <f>IF(OR(B309="",M309,G309="— ignored"),"",MAX(A$1:A308)+1)</f>
        <v/>
      </c>
      <c r="B309" s="10"/>
      <c r="C309" s="11" t="str">
        <f>IF(I309="","",ROUND((I309+0.5*MAX(0,CEILING(ROUND((MAX(C$1:C308)-1/48-I309)/0.5,6),1)))*1440,0)/1440)</f>
        <v/>
      </c>
      <c r="D309" s="9" t="str" cm="1">
        <f t="array" ref="D309">IF(H309="","",IFERROR(INDEX(Log!$C$19:$G$19,VALUE(MID(H309,FIND("#",H309)+1,1))),""))</f>
        <v/>
      </c>
      <c r="E309" s="9" t="str" cm="1">
        <f t="array" ref="E309">IF(OR(H309="",M309),"",IFERROR(_xlfn.LET(_xlpm.t,SUBSTITUTE(UPPER(H309),"م","M"),_xlpm.u,SUBSTITUTE(_xlpm.t,"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09" s="12"/>
      <c r="G309" s="13" t="str">
        <f>IF(B309="","",IF(M309,"⚠ Duplicate (not counted)",IF(AND(I309="",D309="",E309=""),"— ignored",IF(C309="","⚠ Time",IF(D309="","⚠ Plant",IF(E309="","⚠ Quantity",IF(AND(ISNUMBER(L309),COUNTIF(L$1:L308,L309)&gt;0),"⚠ Same serial "&amp;L309,IF(AND(ISNUMBER(L309),L309&gt;MIN($L$2:$L$1001),COUNTIF($L$2:$L$1001,L309-1)=0,COUNTIF($L$2:$L$1001,L309-2)&lt;2),"⚠ Missing serial "&amp;(L309-1),IF(AND(MAX(K$1:K308)&gt;0,N(K309)-MAX(K$1:K308)&gt;180),"⚠ Gap &gt; 3h",IF(C309-I309&gt;=0.99,"next day",IF(C309-I309&gt;0.4,"12h → 24h","")))))))))))</f>
        <v/>
      </c>
      <c r="H309" s="4" t="str">
        <f t="shared" si="20"/>
        <v/>
      </c>
      <c r="I309" s="5" t="str">
        <f t="shared" si="21"/>
        <v/>
      </c>
      <c r="J309" s="6">
        <f t="shared" si="22"/>
        <v>0</v>
      </c>
      <c r="K309" s="4" t="str">
        <f t="shared" si="23"/>
        <v/>
      </c>
      <c r="L309" s="4" t="str">
        <f t="shared" si="24"/>
        <v/>
      </c>
      <c r="M309" s="4" t="b" cm="1">
        <f t="array" ref="M309">IF(H309="",FALSE,SUMPRODUCT(--(H$1:H308=H309))&gt;0)</f>
        <v>0</v>
      </c>
    </row>
    <row r="310" spans="1:13" x14ac:dyDescent="0.25">
      <c r="A310" s="9" t="str">
        <f>IF(OR(B310="",M310,G310="— ignored"),"",MAX(A$1:A309)+1)</f>
        <v/>
      </c>
      <c r="B310" s="10"/>
      <c r="C310" s="11" t="str">
        <f>IF(I310="","",ROUND((I310+0.5*MAX(0,CEILING(ROUND((MAX(C$1:C309)-1/48-I310)/0.5,6),1)))*1440,0)/1440)</f>
        <v/>
      </c>
      <c r="D310" s="9" t="str" cm="1">
        <f t="array" ref="D310">IF(H310="","",IFERROR(INDEX(Log!$C$19:$G$19,VALUE(MID(H310,FIND("#",H310)+1,1))),""))</f>
        <v/>
      </c>
      <c r="E310" s="9" t="str" cm="1">
        <f t="array" ref="E310">IF(OR(H310="",M310),"",IFERROR(_xlfn.LET(_xlpm.t,SUBSTITUTE(UPPER(H310),"م","M"),_xlpm.u,SUBSTITUTE(_xlpm.t,"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10" s="12"/>
      <c r="G310" s="13" t="str">
        <f>IF(B310="","",IF(M310,"⚠ Duplicate (not counted)",IF(AND(I310="",D310="",E310=""),"— ignored",IF(C310="","⚠ Time",IF(D310="","⚠ Plant",IF(E310="","⚠ Quantity",IF(AND(ISNUMBER(L310),COUNTIF(L$1:L309,L310)&gt;0),"⚠ Same serial "&amp;L310,IF(AND(ISNUMBER(L310),L310&gt;MIN($L$2:$L$1001),COUNTIF($L$2:$L$1001,L310-1)=0,COUNTIF($L$2:$L$1001,L310-2)&lt;2),"⚠ Missing serial "&amp;(L310-1),IF(AND(MAX(K$1:K309)&gt;0,N(K310)-MAX(K$1:K309)&gt;180),"⚠ Gap &gt; 3h",IF(C310-I310&gt;=0.99,"next day",IF(C310-I310&gt;0.4,"12h → 24h","")))))))))))</f>
        <v/>
      </c>
      <c r="H310" s="4" t="str">
        <f t="shared" si="20"/>
        <v/>
      </c>
      <c r="I310" s="5" t="str">
        <f t="shared" si="21"/>
        <v/>
      </c>
      <c r="J310" s="6">
        <f t="shared" si="22"/>
        <v>0</v>
      </c>
      <c r="K310" s="4" t="str">
        <f t="shared" si="23"/>
        <v/>
      </c>
      <c r="L310" s="4" t="str">
        <f t="shared" si="24"/>
        <v/>
      </c>
      <c r="M310" s="4" t="b" cm="1">
        <f t="array" ref="M310">IF(H310="",FALSE,SUMPRODUCT(--(H$1:H309=H310))&gt;0)</f>
        <v>0</v>
      </c>
    </row>
    <row r="311" spans="1:13" x14ac:dyDescent="0.25">
      <c r="A311" s="9" t="str">
        <f>IF(OR(B311="",M311,G311="— ignored"),"",MAX(A$1:A310)+1)</f>
        <v/>
      </c>
      <c r="B311" s="10"/>
      <c r="C311" s="11" t="str">
        <f>IF(I311="","",ROUND((I311+0.5*MAX(0,CEILING(ROUND((MAX(C$1:C310)-1/48-I311)/0.5,6),1)))*1440,0)/1440)</f>
        <v/>
      </c>
      <c r="D311" s="9" t="str" cm="1">
        <f t="array" ref="D311">IF(H311="","",IFERROR(INDEX(Log!$C$19:$G$19,VALUE(MID(H311,FIND("#",H311)+1,1))),""))</f>
        <v/>
      </c>
      <c r="E311" s="9" t="str" cm="1">
        <f t="array" ref="E311">IF(OR(H311="",M311),"",IFERROR(_xlfn.LET(_xlpm.t,SUBSTITUTE(UPPER(H311),"م","M"),_xlpm.u,SUBSTITUTE(_xlpm.t,"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11" s="12"/>
      <c r="G311" s="13" t="str">
        <f>IF(B311="","",IF(M311,"⚠ Duplicate (not counted)",IF(AND(I311="",D311="",E311=""),"— ignored",IF(C311="","⚠ Time",IF(D311="","⚠ Plant",IF(E311="","⚠ Quantity",IF(AND(ISNUMBER(L311),COUNTIF(L$1:L310,L311)&gt;0),"⚠ Same serial "&amp;L311,IF(AND(ISNUMBER(L311),L311&gt;MIN($L$2:$L$1001),COUNTIF($L$2:$L$1001,L311-1)=0,COUNTIF($L$2:$L$1001,L311-2)&lt;2),"⚠ Missing serial "&amp;(L311-1),IF(AND(MAX(K$1:K310)&gt;0,N(K311)-MAX(K$1:K310)&gt;180),"⚠ Gap &gt; 3h",IF(C311-I311&gt;=0.99,"next day",IF(C311-I311&gt;0.4,"12h → 24h","")))))))))))</f>
        <v/>
      </c>
      <c r="H311" s="4" t="str">
        <f t="shared" si="20"/>
        <v/>
      </c>
      <c r="I311" s="5" t="str">
        <f t="shared" si="21"/>
        <v/>
      </c>
      <c r="J311" s="6">
        <f t="shared" si="22"/>
        <v>0</v>
      </c>
      <c r="K311" s="4" t="str">
        <f t="shared" si="23"/>
        <v/>
      </c>
      <c r="L311" s="4" t="str">
        <f t="shared" si="24"/>
        <v/>
      </c>
      <c r="M311" s="4" t="b" cm="1">
        <f t="array" ref="M311">IF(H311="",FALSE,SUMPRODUCT(--(H$1:H310=H311))&gt;0)</f>
        <v>0</v>
      </c>
    </row>
    <row r="312" spans="1:13" x14ac:dyDescent="0.25">
      <c r="A312" s="9" t="str">
        <f>IF(OR(B312="",M312,G312="— ignored"),"",MAX(A$1:A311)+1)</f>
        <v/>
      </c>
      <c r="B312" s="10"/>
      <c r="C312" s="11" t="str">
        <f>IF(I312="","",ROUND((I312+0.5*MAX(0,CEILING(ROUND((MAX(C$1:C311)-1/48-I312)/0.5,6),1)))*1440,0)/1440)</f>
        <v/>
      </c>
      <c r="D312" s="9" t="str" cm="1">
        <f t="array" ref="D312">IF(H312="","",IFERROR(INDEX(Log!$C$19:$G$19,VALUE(MID(H312,FIND("#",H312)+1,1))),""))</f>
        <v/>
      </c>
      <c r="E312" s="9" t="str" cm="1">
        <f t="array" ref="E312">IF(OR(H312="",M312),"",IFERROR(_xlfn.LET(_xlpm.t,SUBSTITUTE(UPPER(H312),"م","M"),_xlpm.u,SUBSTITUTE(_xlpm.t,"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12" s="12"/>
      <c r="G312" s="13" t="str">
        <f>IF(B312="","",IF(M312,"⚠ Duplicate (not counted)",IF(AND(I312="",D312="",E312=""),"— ignored",IF(C312="","⚠ Time",IF(D312="","⚠ Plant",IF(E312="","⚠ Quantity",IF(AND(ISNUMBER(L312),COUNTIF(L$1:L311,L312)&gt;0),"⚠ Same serial "&amp;L312,IF(AND(ISNUMBER(L312),L312&gt;MIN($L$2:$L$1001),COUNTIF($L$2:$L$1001,L312-1)=0,COUNTIF($L$2:$L$1001,L312-2)&lt;2),"⚠ Missing serial "&amp;(L312-1),IF(AND(MAX(K$1:K311)&gt;0,N(K312)-MAX(K$1:K311)&gt;180),"⚠ Gap &gt; 3h",IF(C312-I312&gt;=0.99,"next day",IF(C312-I312&gt;0.4,"12h → 24h","")))))))))))</f>
        <v/>
      </c>
      <c r="H312" s="4" t="str">
        <f t="shared" si="20"/>
        <v/>
      </c>
      <c r="I312" s="5" t="str">
        <f t="shared" si="21"/>
        <v/>
      </c>
      <c r="J312" s="6">
        <f t="shared" si="22"/>
        <v>0</v>
      </c>
      <c r="K312" s="4" t="str">
        <f t="shared" si="23"/>
        <v/>
      </c>
      <c r="L312" s="4" t="str">
        <f t="shared" si="24"/>
        <v/>
      </c>
      <c r="M312" s="4" t="b" cm="1">
        <f t="array" ref="M312">IF(H312="",FALSE,SUMPRODUCT(--(H$1:H311=H312))&gt;0)</f>
        <v>0</v>
      </c>
    </row>
    <row r="313" spans="1:13" x14ac:dyDescent="0.25">
      <c r="A313" s="9" t="str">
        <f>IF(OR(B313="",M313,G313="— ignored"),"",MAX(A$1:A312)+1)</f>
        <v/>
      </c>
      <c r="B313" s="10"/>
      <c r="C313" s="11" t="str">
        <f>IF(I313="","",ROUND((I313+0.5*MAX(0,CEILING(ROUND((MAX(C$1:C312)-1/48-I313)/0.5,6),1)))*1440,0)/1440)</f>
        <v/>
      </c>
      <c r="D313" s="9" t="str" cm="1">
        <f t="array" ref="D313">IF(H313="","",IFERROR(INDEX(Log!$C$19:$G$19,VALUE(MID(H313,FIND("#",H313)+1,1))),""))</f>
        <v/>
      </c>
      <c r="E313" s="9" t="str" cm="1">
        <f t="array" ref="E313">IF(OR(H313="",M313),"",IFERROR(_xlfn.LET(_xlpm.t,SUBSTITUTE(UPPER(H313),"م","M"),_xlpm.u,SUBSTITUTE(_xlpm.t,"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13" s="12"/>
      <c r="G313" s="13" t="str">
        <f>IF(B313="","",IF(M313,"⚠ Duplicate (not counted)",IF(AND(I313="",D313="",E313=""),"— ignored",IF(C313="","⚠ Time",IF(D313="","⚠ Plant",IF(E313="","⚠ Quantity",IF(AND(ISNUMBER(L313),COUNTIF(L$1:L312,L313)&gt;0),"⚠ Same serial "&amp;L313,IF(AND(ISNUMBER(L313),L313&gt;MIN($L$2:$L$1001),COUNTIF($L$2:$L$1001,L313-1)=0,COUNTIF($L$2:$L$1001,L313-2)&lt;2),"⚠ Missing serial "&amp;(L313-1),IF(AND(MAX(K$1:K312)&gt;0,N(K313)-MAX(K$1:K312)&gt;180),"⚠ Gap &gt; 3h",IF(C313-I313&gt;=0.99,"next day",IF(C313-I313&gt;0.4,"12h → 24h","")))))))))))</f>
        <v/>
      </c>
      <c r="H313" s="4" t="str">
        <f t="shared" si="20"/>
        <v/>
      </c>
      <c r="I313" s="5" t="str">
        <f t="shared" si="21"/>
        <v/>
      </c>
      <c r="J313" s="6">
        <f t="shared" si="22"/>
        <v>0</v>
      </c>
      <c r="K313" s="4" t="str">
        <f t="shared" si="23"/>
        <v/>
      </c>
      <c r="L313" s="4" t="str">
        <f t="shared" si="24"/>
        <v/>
      </c>
      <c r="M313" s="4" t="b" cm="1">
        <f t="array" ref="M313">IF(H313="",FALSE,SUMPRODUCT(--(H$1:H312=H313))&gt;0)</f>
        <v>0</v>
      </c>
    </row>
    <row r="314" spans="1:13" x14ac:dyDescent="0.25">
      <c r="A314" s="9" t="str">
        <f>IF(OR(B314="",M314,G314="— ignored"),"",MAX(A$1:A313)+1)</f>
        <v/>
      </c>
      <c r="B314" s="10"/>
      <c r="C314" s="11" t="str">
        <f>IF(I314="","",ROUND((I314+0.5*MAX(0,CEILING(ROUND((MAX(C$1:C313)-1/48-I314)/0.5,6),1)))*1440,0)/1440)</f>
        <v/>
      </c>
      <c r="D314" s="9" t="str" cm="1">
        <f t="array" ref="D314">IF(H314="","",IFERROR(INDEX(Log!$C$19:$G$19,VALUE(MID(H314,FIND("#",H314)+1,1))),""))</f>
        <v/>
      </c>
      <c r="E314" s="9" t="str" cm="1">
        <f t="array" ref="E314">IF(OR(H314="",M314),"",IFERROR(_xlfn.LET(_xlpm.t,SUBSTITUTE(UPPER(H314),"م","M"),_xlpm.u,SUBSTITUTE(_xlpm.t,"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14" s="12"/>
      <c r="G314" s="13" t="str">
        <f>IF(B314="","",IF(M314,"⚠ Duplicate (not counted)",IF(AND(I314="",D314="",E314=""),"— ignored",IF(C314="","⚠ Time",IF(D314="","⚠ Plant",IF(E314="","⚠ Quantity",IF(AND(ISNUMBER(L314),COUNTIF(L$1:L313,L314)&gt;0),"⚠ Same serial "&amp;L314,IF(AND(ISNUMBER(L314),L314&gt;MIN($L$2:$L$1001),COUNTIF($L$2:$L$1001,L314-1)=0,COUNTIF($L$2:$L$1001,L314-2)&lt;2),"⚠ Missing serial "&amp;(L314-1),IF(AND(MAX(K$1:K313)&gt;0,N(K314)-MAX(K$1:K313)&gt;180),"⚠ Gap &gt; 3h",IF(C314-I314&gt;=0.99,"next day",IF(C314-I314&gt;0.4,"12h → 24h","")))))))))))</f>
        <v/>
      </c>
      <c r="H314" s="4" t="str">
        <f t="shared" si="20"/>
        <v/>
      </c>
      <c r="I314" s="5" t="str">
        <f t="shared" si="21"/>
        <v/>
      </c>
      <c r="J314" s="6">
        <f t="shared" si="22"/>
        <v>0</v>
      </c>
      <c r="K314" s="4" t="str">
        <f t="shared" si="23"/>
        <v/>
      </c>
      <c r="L314" s="4" t="str">
        <f t="shared" si="24"/>
        <v/>
      </c>
      <c r="M314" s="4" t="b" cm="1">
        <f t="array" ref="M314">IF(H314="",FALSE,SUMPRODUCT(--(H$1:H313=H314))&gt;0)</f>
        <v>0</v>
      </c>
    </row>
    <row r="315" spans="1:13" x14ac:dyDescent="0.25">
      <c r="A315" s="9" t="str">
        <f>IF(OR(B315="",M315,G315="— ignored"),"",MAX(A$1:A314)+1)</f>
        <v/>
      </c>
      <c r="B315" s="10"/>
      <c r="C315" s="11" t="str">
        <f>IF(I315="","",ROUND((I315+0.5*MAX(0,CEILING(ROUND((MAX(C$1:C314)-1/48-I315)/0.5,6),1)))*1440,0)/1440)</f>
        <v/>
      </c>
      <c r="D315" s="9" t="str" cm="1">
        <f t="array" ref="D315">IF(H315="","",IFERROR(INDEX(Log!$C$19:$G$19,VALUE(MID(H315,FIND("#",H315)+1,1))),""))</f>
        <v/>
      </c>
      <c r="E315" s="9" t="str" cm="1">
        <f t="array" ref="E315">IF(OR(H315="",M315),"",IFERROR(_xlfn.LET(_xlpm.t,SUBSTITUTE(UPPER(H315),"م","M"),_xlpm.u,SUBSTITUTE(_xlpm.t,"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15" s="12"/>
      <c r="G315" s="13" t="str">
        <f>IF(B315="","",IF(M315,"⚠ Duplicate (not counted)",IF(AND(I315="",D315="",E315=""),"— ignored",IF(C315="","⚠ Time",IF(D315="","⚠ Plant",IF(E315="","⚠ Quantity",IF(AND(ISNUMBER(L315),COUNTIF(L$1:L314,L315)&gt;0),"⚠ Same serial "&amp;L315,IF(AND(ISNUMBER(L315),L315&gt;MIN($L$2:$L$1001),COUNTIF($L$2:$L$1001,L315-1)=0,COUNTIF($L$2:$L$1001,L315-2)&lt;2),"⚠ Missing serial "&amp;(L315-1),IF(AND(MAX(K$1:K314)&gt;0,N(K315)-MAX(K$1:K314)&gt;180),"⚠ Gap &gt; 3h",IF(C315-I315&gt;=0.99,"next day",IF(C315-I315&gt;0.4,"12h → 24h","")))))))))))</f>
        <v/>
      </c>
      <c r="H315" s="4" t="str">
        <f t="shared" si="20"/>
        <v/>
      </c>
      <c r="I315" s="5" t="str">
        <f t="shared" si="21"/>
        <v/>
      </c>
      <c r="J315" s="6">
        <f t="shared" si="22"/>
        <v>0</v>
      </c>
      <c r="K315" s="4" t="str">
        <f t="shared" si="23"/>
        <v/>
      </c>
      <c r="L315" s="4" t="str">
        <f t="shared" si="24"/>
        <v/>
      </c>
      <c r="M315" s="4" t="b" cm="1">
        <f t="array" ref="M315">IF(H315="",FALSE,SUMPRODUCT(--(H$1:H314=H315))&gt;0)</f>
        <v>0</v>
      </c>
    </row>
    <row r="316" spans="1:13" x14ac:dyDescent="0.25">
      <c r="A316" s="9" t="str">
        <f>IF(OR(B316="",M316,G316="— ignored"),"",MAX(A$1:A315)+1)</f>
        <v/>
      </c>
      <c r="B316" s="10"/>
      <c r="C316" s="11" t="str">
        <f>IF(I316="","",ROUND((I316+0.5*MAX(0,CEILING(ROUND((MAX(C$1:C315)-1/48-I316)/0.5,6),1)))*1440,0)/1440)</f>
        <v/>
      </c>
      <c r="D316" s="9" t="str" cm="1">
        <f t="array" ref="D316">IF(H316="","",IFERROR(INDEX(Log!$C$19:$G$19,VALUE(MID(H316,FIND("#",H316)+1,1))),""))</f>
        <v/>
      </c>
      <c r="E316" s="9" t="str" cm="1">
        <f t="array" ref="E316">IF(OR(H316="",M316),"",IFERROR(_xlfn.LET(_xlpm.t,SUBSTITUTE(UPPER(H316),"م","M"),_xlpm.u,SUBSTITUTE(_xlpm.t,"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16" s="12"/>
      <c r="G316" s="13" t="str">
        <f>IF(B316="","",IF(M316,"⚠ Duplicate (not counted)",IF(AND(I316="",D316="",E316=""),"— ignored",IF(C316="","⚠ Time",IF(D316="","⚠ Plant",IF(E316="","⚠ Quantity",IF(AND(ISNUMBER(L316),COUNTIF(L$1:L315,L316)&gt;0),"⚠ Same serial "&amp;L316,IF(AND(ISNUMBER(L316),L316&gt;MIN($L$2:$L$1001),COUNTIF($L$2:$L$1001,L316-1)=0,COUNTIF($L$2:$L$1001,L316-2)&lt;2),"⚠ Missing serial "&amp;(L316-1),IF(AND(MAX(K$1:K315)&gt;0,N(K316)-MAX(K$1:K315)&gt;180),"⚠ Gap &gt; 3h",IF(C316-I316&gt;=0.99,"next day",IF(C316-I316&gt;0.4,"12h → 24h","")))))))))))</f>
        <v/>
      </c>
      <c r="H316" s="4" t="str">
        <f t="shared" si="20"/>
        <v/>
      </c>
      <c r="I316" s="5" t="str">
        <f t="shared" si="21"/>
        <v/>
      </c>
      <c r="J316" s="6">
        <f t="shared" si="22"/>
        <v>0</v>
      </c>
      <c r="K316" s="4" t="str">
        <f t="shared" si="23"/>
        <v/>
      </c>
      <c r="L316" s="4" t="str">
        <f t="shared" si="24"/>
        <v/>
      </c>
      <c r="M316" s="4" t="b" cm="1">
        <f t="array" ref="M316">IF(H316="",FALSE,SUMPRODUCT(--(H$1:H315=H316))&gt;0)</f>
        <v>0</v>
      </c>
    </row>
    <row r="317" spans="1:13" x14ac:dyDescent="0.25">
      <c r="A317" s="9" t="str">
        <f>IF(OR(B317="",M317,G317="— ignored"),"",MAX(A$1:A316)+1)</f>
        <v/>
      </c>
      <c r="B317" s="10"/>
      <c r="C317" s="11" t="str">
        <f>IF(I317="","",ROUND((I317+0.5*MAX(0,CEILING(ROUND((MAX(C$1:C316)-1/48-I317)/0.5,6),1)))*1440,0)/1440)</f>
        <v/>
      </c>
      <c r="D317" s="9" t="str" cm="1">
        <f t="array" ref="D317">IF(H317="","",IFERROR(INDEX(Log!$C$19:$G$19,VALUE(MID(H317,FIND("#",H317)+1,1))),""))</f>
        <v/>
      </c>
      <c r="E317" s="9" t="str" cm="1">
        <f t="array" ref="E317">IF(OR(H317="",M317),"",IFERROR(_xlfn.LET(_xlpm.t,SUBSTITUTE(UPPER(H317),"م","M"),_xlpm.u,SUBSTITUTE(_xlpm.t,"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17" s="12"/>
      <c r="G317" s="13" t="str">
        <f>IF(B317="","",IF(M317,"⚠ Duplicate (not counted)",IF(AND(I317="",D317="",E317=""),"— ignored",IF(C317="","⚠ Time",IF(D317="","⚠ Plant",IF(E317="","⚠ Quantity",IF(AND(ISNUMBER(L317),COUNTIF(L$1:L316,L317)&gt;0),"⚠ Same serial "&amp;L317,IF(AND(ISNUMBER(L317),L317&gt;MIN($L$2:$L$1001),COUNTIF($L$2:$L$1001,L317-1)=0,COUNTIF($L$2:$L$1001,L317-2)&lt;2),"⚠ Missing serial "&amp;(L317-1),IF(AND(MAX(K$1:K316)&gt;0,N(K317)-MAX(K$1:K316)&gt;180),"⚠ Gap &gt; 3h",IF(C317-I317&gt;=0.99,"next day",IF(C317-I317&gt;0.4,"12h → 24h","")))))))))))</f>
        <v/>
      </c>
      <c r="H317" s="4" t="str">
        <f t="shared" si="20"/>
        <v/>
      </c>
      <c r="I317" s="5" t="str">
        <f t="shared" si="21"/>
        <v/>
      </c>
      <c r="J317" s="6">
        <f t="shared" si="22"/>
        <v>0</v>
      </c>
      <c r="K317" s="4" t="str">
        <f t="shared" si="23"/>
        <v/>
      </c>
      <c r="L317" s="4" t="str">
        <f t="shared" si="24"/>
        <v/>
      </c>
      <c r="M317" s="4" t="b" cm="1">
        <f t="array" ref="M317">IF(H317="",FALSE,SUMPRODUCT(--(H$1:H316=H317))&gt;0)</f>
        <v>0</v>
      </c>
    </row>
    <row r="318" spans="1:13" x14ac:dyDescent="0.25">
      <c r="A318" s="9" t="str">
        <f>IF(OR(B318="",M318,G318="— ignored"),"",MAX(A$1:A317)+1)</f>
        <v/>
      </c>
      <c r="B318" s="10"/>
      <c r="C318" s="11" t="str">
        <f>IF(I318="","",ROUND((I318+0.5*MAX(0,CEILING(ROUND((MAX(C$1:C317)-1/48-I318)/0.5,6),1)))*1440,0)/1440)</f>
        <v/>
      </c>
      <c r="D318" s="9" t="str" cm="1">
        <f t="array" ref="D318">IF(H318="","",IFERROR(INDEX(Log!$C$19:$G$19,VALUE(MID(H318,FIND("#",H318)+1,1))),""))</f>
        <v/>
      </c>
      <c r="E318" s="9" t="str" cm="1">
        <f t="array" ref="E318">IF(OR(H318="",M318),"",IFERROR(_xlfn.LET(_xlpm.t,SUBSTITUTE(UPPER(H318),"م","M"),_xlpm.u,SUBSTITUTE(_xlpm.t,"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18" s="12"/>
      <c r="G318" s="13" t="str">
        <f>IF(B318="","",IF(M318,"⚠ Duplicate (not counted)",IF(AND(I318="",D318="",E318=""),"— ignored",IF(C318="","⚠ Time",IF(D318="","⚠ Plant",IF(E318="","⚠ Quantity",IF(AND(ISNUMBER(L318),COUNTIF(L$1:L317,L318)&gt;0),"⚠ Same serial "&amp;L318,IF(AND(ISNUMBER(L318),L318&gt;MIN($L$2:$L$1001),COUNTIF($L$2:$L$1001,L318-1)=0,COUNTIF($L$2:$L$1001,L318-2)&lt;2),"⚠ Missing serial "&amp;(L318-1),IF(AND(MAX(K$1:K317)&gt;0,N(K318)-MAX(K$1:K317)&gt;180),"⚠ Gap &gt; 3h",IF(C318-I318&gt;=0.99,"next day",IF(C318-I318&gt;0.4,"12h → 24h","")))))))))))</f>
        <v/>
      </c>
      <c r="H318" s="4" t="str">
        <f t="shared" si="20"/>
        <v/>
      </c>
      <c r="I318" s="5" t="str">
        <f t="shared" si="21"/>
        <v/>
      </c>
      <c r="J318" s="6">
        <f t="shared" si="22"/>
        <v>0</v>
      </c>
      <c r="K318" s="4" t="str">
        <f t="shared" si="23"/>
        <v/>
      </c>
      <c r="L318" s="4" t="str">
        <f t="shared" si="24"/>
        <v/>
      </c>
      <c r="M318" s="4" t="b" cm="1">
        <f t="array" ref="M318">IF(H318="",FALSE,SUMPRODUCT(--(H$1:H317=H318))&gt;0)</f>
        <v>0</v>
      </c>
    </row>
    <row r="319" spans="1:13" x14ac:dyDescent="0.25">
      <c r="A319" s="9" t="str">
        <f>IF(OR(B319="",M319,G319="— ignored"),"",MAX(A$1:A318)+1)</f>
        <v/>
      </c>
      <c r="B319" s="10"/>
      <c r="C319" s="11" t="str">
        <f>IF(I319="","",ROUND((I319+0.5*MAX(0,CEILING(ROUND((MAX(C$1:C318)-1/48-I319)/0.5,6),1)))*1440,0)/1440)</f>
        <v/>
      </c>
      <c r="D319" s="9" t="str" cm="1">
        <f t="array" ref="D319">IF(H319="","",IFERROR(INDEX(Log!$C$19:$G$19,VALUE(MID(H319,FIND("#",H319)+1,1))),""))</f>
        <v/>
      </c>
      <c r="E319" s="9" t="str" cm="1">
        <f t="array" ref="E319">IF(OR(H319="",M319),"",IFERROR(_xlfn.LET(_xlpm.t,SUBSTITUTE(UPPER(H319),"م","M"),_xlpm.u,SUBSTITUTE(_xlpm.t,"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19" s="12"/>
      <c r="G319" s="13" t="str">
        <f>IF(B319="","",IF(M319,"⚠ Duplicate (not counted)",IF(AND(I319="",D319="",E319=""),"— ignored",IF(C319="","⚠ Time",IF(D319="","⚠ Plant",IF(E319="","⚠ Quantity",IF(AND(ISNUMBER(L319),COUNTIF(L$1:L318,L319)&gt;0),"⚠ Same serial "&amp;L319,IF(AND(ISNUMBER(L319),L319&gt;MIN($L$2:$L$1001),COUNTIF($L$2:$L$1001,L319-1)=0,COUNTIF($L$2:$L$1001,L319-2)&lt;2),"⚠ Missing serial "&amp;(L319-1),IF(AND(MAX(K$1:K318)&gt;0,N(K319)-MAX(K$1:K318)&gt;180),"⚠ Gap &gt; 3h",IF(C319-I319&gt;=0.99,"next day",IF(C319-I319&gt;0.4,"12h → 24h","")))))))))))</f>
        <v/>
      </c>
      <c r="H319" s="4" t="str">
        <f t="shared" si="20"/>
        <v/>
      </c>
      <c r="I319" s="5" t="str">
        <f t="shared" si="21"/>
        <v/>
      </c>
      <c r="J319" s="6">
        <f t="shared" si="22"/>
        <v>0</v>
      </c>
      <c r="K319" s="4" t="str">
        <f t="shared" si="23"/>
        <v/>
      </c>
      <c r="L319" s="4" t="str">
        <f t="shared" si="24"/>
        <v/>
      </c>
      <c r="M319" s="4" t="b" cm="1">
        <f t="array" ref="M319">IF(H319="",FALSE,SUMPRODUCT(--(H$1:H318=H319))&gt;0)</f>
        <v>0</v>
      </c>
    </row>
    <row r="320" spans="1:13" x14ac:dyDescent="0.25">
      <c r="A320" s="9" t="str">
        <f>IF(OR(B320="",M320,G320="— ignored"),"",MAX(A$1:A319)+1)</f>
        <v/>
      </c>
      <c r="B320" s="10"/>
      <c r="C320" s="11" t="str">
        <f>IF(I320="","",ROUND((I320+0.5*MAX(0,CEILING(ROUND((MAX(C$1:C319)-1/48-I320)/0.5,6),1)))*1440,0)/1440)</f>
        <v/>
      </c>
      <c r="D320" s="9" t="str" cm="1">
        <f t="array" ref="D320">IF(H320="","",IFERROR(INDEX(Log!$C$19:$G$19,VALUE(MID(H320,FIND("#",H320)+1,1))),""))</f>
        <v/>
      </c>
      <c r="E320" s="9" t="str" cm="1">
        <f t="array" ref="E320">IF(OR(H320="",M320),"",IFERROR(_xlfn.LET(_xlpm.t,SUBSTITUTE(UPPER(H320),"م","M"),_xlpm.u,SUBSTITUTE(_xlpm.t,"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20" s="12"/>
      <c r="G320" s="13" t="str">
        <f>IF(B320="","",IF(M320,"⚠ Duplicate (not counted)",IF(AND(I320="",D320="",E320=""),"— ignored",IF(C320="","⚠ Time",IF(D320="","⚠ Plant",IF(E320="","⚠ Quantity",IF(AND(ISNUMBER(L320),COUNTIF(L$1:L319,L320)&gt;0),"⚠ Same serial "&amp;L320,IF(AND(ISNUMBER(L320),L320&gt;MIN($L$2:$L$1001),COUNTIF($L$2:$L$1001,L320-1)=0,COUNTIF($L$2:$L$1001,L320-2)&lt;2),"⚠ Missing serial "&amp;(L320-1),IF(AND(MAX(K$1:K319)&gt;0,N(K320)-MAX(K$1:K319)&gt;180),"⚠ Gap &gt; 3h",IF(C320-I320&gt;=0.99,"next day",IF(C320-I320&gt;0.4,"12h → 24h","")))))))))))</f>
        <v/>
      </c>
      <c r="H320" s="4" t="str">
        <f t="shared" si="20"/>
        <v/>
      </c>
      <c r="I320" s="5" t="str">
        <f t="shared" si="21"/>
        <v/>
      </c>
      <c r="J320" s="6">
        <f t="shared" si="22"/>
        <v>0</v>
      </c>
      <c r="K320" s="4" t="str">
        <f t="shared" si="23"/>
        <v/>
      </c>
      <c r="L320" s="4" t="str">
        <f t="shared" si="24"/>
        <v/>
      </c>
      <c r="M320" s="4" t="b" cm="1">
        <f t="array" ref="M320">IF(H320="",FALSE,SUMPRODUCT(--(H$1:H319=H320))&gt;0)</f>
        <v>0</v>
      </c>
    </row>
    <row r="321" spans="1:13" x14ac:dyDescent="0.25">
      <c r="A321" s="9" t="str">
        <f>IF(OR(B321="",M321,G321="— ignored"),"",MAX(A$1:A320)+1)</f>
        <v/>
      </c>
      <c r="B321" s="10"/>
      <c r="C321" s="11" t="str">
        <f>IF(I321="","",ROUND((I321+0.5*MAX(0,CEILING(ROUND((MAX(C$1:C320)-1/48-I321)/0.5,6),1)))*1440,0)/1440)</f>
        <v/>
      </c>
      <c r="D321" s="9" t="str" cm="1">
        <f t="array" ref="D321">IF(H321="","",IFERROR(INDEX(Log!$C$19:$G$19,VALUE(MID(H321,FIND("#",H321)+1,1))),""))</f>
        <v/>
      </c>
      <c r="E321" s="9" t="str" cm="1">
        <f t="array" ref="E321">IF(OR(H321="",M321),"",IFERROR(_xlfn.LET(_xlpm.t,SUBSTITUTE(UPPER(H321),"م","M"),_xlpm.u,SUBSTITUTE(_xlpm.t,"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21" s="12"/>
      <c r="G321" s="13" t="str">
        <f>IF(B321="","",IF(M321,"⚠ Duplicate (not counted)",IF(AND(I321="",D321="",E321=""),"— ignored",IF(C321="","⚠ Time",IF(D321="","⚠ Plant",IF(E321="","⚠ Quantity",IF(AND(ISNUMBER(L321),COUNTIF(L$1:L320,L321)&gt;0),"⚠ Same serial "&amp;L321,IF(AND(ISNUMBER(L321),L321&gt;MIN($L$2:$L$1001),COUNTIF($L$2:$L$1001,L321-1)=0,COUNTIF($L$2:$L$1001,L321-2)&lt;2),"⚠ Missing serial "&amp;(L321-1),IF(AND(MAX(K$1:K320)&gt;0,N(K321)-MAX(K$1:K320)&gt;180),"⚠ Gap &gt; 3h",IF(C321-I321&gt;=0.99,"next day",IF(C321-I321&gt;0.4,"12h → 24h","")))))))))))</f>
        <v/>
      </c>
      <c r="H321" s="4" t="str">
        <f t="shared" si="20"/>
        <v/>
      </c>
      <c r="I321" s="5" t="str">
        <f t="shared" si="21"/>
        <v/>
      </c>
      <c r="J321" s="6">
        <f t="shared" si="22"/>
        <v>0</v>
      </c>
      <c r="K321" s="4" t="str">
        <f t="shared" si="23"/>
        <v/>
      </c>
      <c r="L321" s="4" t="str">
        <f t="shared" si="24"/>
        <v/>
      </c>
      <c r="M321" s="4" t="b" cm="1">
        <f t="array" ref="M321">IF(H321="",FALSE,SUMPRODUCT(--(H$1:H320=H321))&gt;0)</f>
        <v>0</v>
      </c>
    </row>
    <row r="322" spans="1:13" x14ac:dyDescent="0.25">
      <c r="A322" s="9" t="str">
        <f>IF(OR(B322="",M322,G322="— ignored"),"",MAX(A$1:A321)+1)</f>
        <v/>
      </c>
      <c r="B322" s="10"/>
      <c r="C322" s="11" t="str">
        <f>IF(I322="","",ROUND((I322+0.5*MAX(0,CEILING(ROUND((MAX(C$1:C321)-1/48-I322)/0.5,6),1)))*1440,0)/1440)</f>
        <v/>
      </c>
      <c r="D322" s="9" t="str" cm="1">
        <f t="array" ref="D322">IF(H322="","",IFERROR(INDEX(Log!$C$19:$G$19,VALUE(MID(H322,FIND("#",H322)+1,1))),""))</f>
        <v/>
      </c>
      <c r="E322" s="9" t="str" cm="1">
        <f t="array" ref="E322">IF(OR(H322="",M322),"",IFERROR(_xlfn.LET(_xlpm.t,SUBSTITUTE(UPPER(H322),"م","M"),_xlpm.u,SUBSTITUTE(_xlpm.t,"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22" s="12"/>
      <c r="G322" s="13" t="str">
        <f>IF(B322="","",IF(M322,"⚠ Duplicate (not counted)",IF(AND(I322="",D322="",E322=""),"— ignored",IF(C322="","⚠ Time",IF(D322="","⚠ Plant",IF(E322="","⚠ Quantity",IF(AND(ISNUMBER(L322),COUNTIF(L$1:L321,L322)&gt;0),"⚠ Same serial "&amp;L322,IF(AND(ISNUMBER(L322),L322&gt;MIN($L$2:$L$1001),COUNTIF($L$2:$L$1001,L322-1)=0,COUNTIF($L$2:$L$1001,L322-2)&lt;2),"⚠ Missing serial "&amp;(L322-1),IF(AND(MAX(K$1:K321)&gt;0,N(K322)-MAX(K$1:K321)&gt;180),"⚠ Gap &gt; 3h",IF(C322-I322&gt;=0.99,"next day",IF(C322-I322&gt;0.4,"12h → 24h","")))))))))))</f>
        <v/>
      </c>
      <c r="H322" s="4" t="str">
        <f t="shared" ref="H322:H385" si="25">IF(B322="","",_xlfn.LET(_xlpm.t,TRIM(B322),IF(LEFT(_xlpm.t,1)="[",IFERROR(TRIM(MID(_xlpm.t,FIND(": ",_xlpm.t,FIND("]",_xlpm.t))+2,500)),_xlpm.t),_xlpm.t)))</f>
        <v/>
      </c>
      <c r="I322" s="5" t="str">
        <f t="shared" ref="I322:I385" si="26">IF(H322="","",IFERROR(TIMEVALUE(TRIM(SUBSTITUTE(SUBSTITUTE(MID(H322,SEARCH(":",H322)-2,5),".",""),"*",""))),""))</f>
        <v/>
      </c>
      <c r="J322" s="6">
        <f t="shared" ref="J322:J385" si="27">IF(OR(B322="",F322="",M322),0,IF(ISNUMBER(F322),F322,N(E322)))</f>
        <v>0</v>
      </c>
      <c r="K322" s="4" t="str">
        <f t="shared" ref="K322:K385" si="28">IF(OR(C322="",M322),"",ROUND(C322*1440,0))</f>
        <v/>
      </c>
      <c r="L322" s="4" t="str">
        <f t="shared" ref="L322:L385" si="29">IF(OR(H322="",AND(I322="",D322="")),"",IFERROR(_xlfn.LET(_xlpm.t,TRIM(SUBSTITUTE(SUBSTITUTE(H322,"*",""),"_","")),VALUE(SUBSTITUTE(LEFT(_xlpm.t,FIND(" ",_xlpm.t&amp;" ")-1),".",""))),""))</f>
        <v/>
      </c>
      <c r="M322" s="4" t="b" cm="1">
        <f t="array" ref="M322">IF(H322="",FALSE,SUMPRODUCT(--(H$1:H321=H322))&gt;0)</f>
        <v>0</v>
      </c>
    </row>
    <row r="323" spans="1:13" x14ac:dyDescent="0.25">
      <c r="A323" s="9" t="str">
        <f>IF(OR(B323="",M323,G323="— ignored"),"",MAX(A$1:A322)+1)</f>
        <v/>
      </c>
      <c r="B323" s="10"/>
      <c r="C323" s="11" t="str">
        <f>IF(I323="","",ROUND((I323+0.5*MAX(0,CEILING(ROUND((MAX(C$1:C322)-1/48-I323)/0.5,6),1)))*1440,0)/1440)</f>
        <v/>
      </c>
      <c r="D323" s="9" t="str" cm="1">
        <f t="array" ref="D323">IF(H323="","",IFERROR(INDEX(Log!$C$19:$G$19,VALUE(MID(H323,FIND("#",H323)+1,1))),""))</f>
        <v/>
      </c>
      <c r="E323" s="9" t="str" cm="1">
        <f t="array" ref="E323">IF(OR(H323="",M323),"",IFERROR(_xlfn.LET(_xlpm.t,SUBSTITUTE(UPPER(H323),"م","M"),_xlpm.u,SUBSTITUTE(_xlpm.t,"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23" s="12"/>
      <c r="G323" s="13" t="str">
        <f>IF(B323="","",IF(M323,"⚠ Duplicate (not counted)",IF(AND(I323="",D323="",E323=""),"— ignored",IF(C323="","⚠ Time",IF(D323="","⚠ Plant",IF(E323="","⚠ Quantity",IF(AND(ISNUMBER(L323),COUNTIF(L$1:L322,L323)&gt;0),"⚠ Same serial "&amp;L323,IF(AND(ISNUMBER(L323),L323&gt;MIN($L$2:$L$1001),COUNTIF($L$2:$L$1001,L323-1)=0,COUNTIF($L$2:$L$1001,L323-2)&lt;2),"⚠ Missing serial "&amp;(L323-1),IF(AND(MAX(K$1:K322)&gt;0,N(K323)-MAX(K$1:K322)&gt;180),"⚠ Gap &gt; 3h",IF(C323-I323&gt;=0.99,"next day",IF(C323-I323&gt;0.4,"12h → 24h","")))))))))))</f>
        <v/>
      </c>
      <c r="H323" s="4" t="str">
        <f t="shared" si="25"/>
        <v/>
      </c>
      <c r="I323" s="5" t="str">
        <f t="shared" si="26"/>
        <v/>
      </c>
      <c r="J323" s="6">
        <f t="shared" si="27"/>
        <v>0</v>
      </c>
      <c r="K323" s="4" t="str">
        <f t="shared" si="28"/>
        <v/>
      </c>
      <c r="L323" s="4" t="str">
        <f t="shared" si="29"/>
        <v/>
      </c>
      <c r="M323" s="4" t="b" cm="1">
        <f t="array" ref="M323">IF(H323="",FALSE,SUMPRODUCT(--(H$1:H322=H323))&gt;0)</f>
        <v>0</v>
      </c>
    </row>
    <row r="324" spans="1:13" x14ac:dyDescent="0.25">
      <c r="A324" s="9" t="str">
        <f>IF(OR(B324="",M324,G324="— ignored"),"",MAX(A$1:A323)+1)</f>
        <v/>
      </c>
      <c r="B324" s="10"/>
      <c r="C324" s="11" t="str">
        <f>IF(I324="","",ROUND((I324+0.5*MAX(0,CEILING(ROUND((MAX(C$1:C323)-1/48-I324)/0.5,6),1)))*1440,0)/1440)</f>
        <v/>
      </c>
      <c r="D324" s="9" t="str" cm="1">
        <f t="array" ref="D324">IF(H324="","",IFERROR(INDEX(Log!$C$19:$G$19,VALUE(MID(H324,FIND("#",H324)+1,1))),""))</f>
        <v/>
      </c>
      <c r="E324" s="9" t="str" cm="1">
        <f t="array" ref="E324">IF(OR(H324="",M324),"",IFERROR(_xlfn.LET(_xlpm.t,SUBSTITUTE(UPPER(H324),"م","M"),_xlpm.u,SUBSTITUTE(_xlpm.t,"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24" s="12"/>
      <c r="G324" s="13" t="str">
        <f>IF(B324="","",IF(M324,"⚠ Duplicate (not counted)",IF(AND(I324="",D324="",E324=""),"— ignored",IF(C324="","⚠ Time",IF(D324="","⚠ Plant",IF(E324="","⚠ Quantity",IF(AND(ISNUMBER(L324),COUNTIF(L$1:L323,L324)&gt;0),"⚠ Same serial "&amp;L324,IF(AND(ISNUMBER(L324),L324&gt;MIN($L$2:$L$1001),COUNTIF($L$2:$L$1001,L324-1)=0,COUNTIF($L$2:$L$1001,L324-2)&lt;2),"⚠ Missing serial "&amp;(L324-1),IF(AND(MAX(K$1:K323)&gt;0,N(K324)-MAX(K$1:K323)&gt;180),"⚠ Gap &gt; 3h",IF(C324-I324&gt;=0.99,"next day",IF(C324-I324&gt;0.4,"12h → 24h","")))))))))))</f>
        <v/>
      </c>
      <c r="H324" s="4" t="str">
        <f t="shared" si="25"/>
        <v/>
      </c>
      <c r="I324" s="5" t="str">
        <f t="shared" si="26"/>
        <v/>
      </c>
      <c r="J324" s="6">
        <f t="shared" si="27"/>
        <v>0</v>
      </c>
      <c r="K324" s="4" t="str">
        <f t="shared" si="28"/>
        <v/>
      </c>
      <c r="L324" s="4" t="str">
        <f t="shared" si="29"/>
        <v/>
      </c>
      <c r="M324" s="4" t="b" cm="1">
        <f t="array" ref="M324">IF(H324="",FALSE,SUMPRODUCT(--(H$1:H323=H324))&gt;0)</f>
        <v>0</v>
      </c>
    </row>
    <row r="325" spans="1:13" x14ac:dyDescent="0.25">
      <c r="A325" s="9" t="str">
        <f>IF(OR(B325="",M325,G325="— ignored"),"",MAX(A$1:A324)+1)</f>
        <v/>
      </c>
      <c r="B325" s="10"/>
      <c r="C325" s="11" t="str">
        <f>IF(I325="","",ROUND((I325+0.5*MAX(0,CEILING(ROUND((MAX(C$1:C324)-1/48-I325)/0.5,6),1)))*1440,0)/1440)</f>
        <v/>
      </c>
      <c r="D325" s="9" t="str" cm="1">
        <f t="array" ref="D325">IF(H325="","",IFERROR(INDEX(Log!$C$19:$G$19,VALUE(MID(H325,FIND("#",H325)+1,1))),""))</f>
        <v/>
      </c>
      <c r="E325" s="9" t="str" cm="1">
        <f t="array" ref="E325">IF(OR(H325="",M325),"",IFERROR(_xlfn.LET(_xlpm.t,SUBSTITUTE(UPPER(H325),"م","M"),_xlpm.u,SUBSTITUTE(_xlpm.t,"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25" s="12"/>
      <c r="G325" s="13" t="str">
        <f>IF(B325="","",IF(M325,"⚠ Duplicate (not counted)",IF(AND(I325="",D325="",E325=""),"— ignored",IF(C325="","⚠ Time",IF(D325="","⚠ Plant",IF(E325="","⚠ Quantity",IF(AND(ISNUMBER(L325),COUNTIF(L$1:L324,L325)&gt;0),"⚠ Same serial "&amp;L325,IF(AND(ISNUMBER(L325),L325&gt;MIN($L$2:$L$1001),COUNTIF($L$2:$L$1001,L325-1)=0,COUNTIF($L$2:$L$1001,L325-2)&lt;2),"⚠ Missing serial "&amp;(L325-1),IF(AND(MAX(K$1:K324)&gt;0,N(K325)-MAX(K$1:K324)&gt;180),"⚠ Gap &gt; 3h",IF(C325-I325&gt;=0.99,"next day",IF(C325-I325&gt;0.4,"12h → 24h","")))))))))))</f>
        <v/>
      </c>
      <c r="H325" s="4" t="str">
        <f t="shared" si="25"/>
        <v/>
      </c>
      <c r="I325" s="5" t="str">
        <f t="shared" si="26"/>
        <v/>
      </c>
      <c r="J325" s="6">
        <f t="shared" si="27"/>
        <v>0</v>
      </c>
      <c r="K325" s="4" t="str">
        <f t="shared" si="28"/>
        <v/>
      </c>
      <c r="L325" s="4" t="str">
        <f t="shared" si="29"/>
        <v/>
      </c>
      <c r="M325" s="4" t="b" cm="1">
        <f t="array" ref="M325">IF(H325="",FALSE,SUMPRODUCT(--(H$1:H324=H325))&gt;0)</f>
        <v>0</v>
      </c>
    </row>
    <row r="326" spans="1:13" x14ac:dyDescent="0.25">
      <c r="A326" s="9" t="str">
        <f>IF(OR(B326="",M326,G326="— ignored"),"",MAX(A$1:A325)+1)</f>
        <v/>
      </c>
      <c r="B326" s="10"/>
      <c r="C326" s="11" t="str">
        <f>IF(I326="","",ROUND((I326+0.5*MAX(0,CEILING(ROUND((MAX(C$1:C325)-1/48-I326)/0.5,6),1)))*1440,0)/1440)</f>
        <v/>
      </c>
      <c r="D326" s="9" t="str" cm="1">
        <f t="array" ref="D326">IF(H326="","",IFERROR(INDEX(Log!$C$19:$G$19,VALUE(MID(H326,FIND("#",H326)+1,1))),""))</f>
        <v/>
      </c>
      <c r="E326" s="9" t="str" cm="1">
        <f t="array" ref="E326">IF(OR(H326="",M326),"",IFERROR(_xlfn.LET(_xlpm.t,SUBSTITUTE(UPPER(H326),"م","M"),_xlpm.u,SUBSTITUTE(_xlpm.t,"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26" s="12"/>
      <c r="G326" s="13" t="str">
        <f>IF(B326="","",IF(M326,"⚠ Duplicate (not counted)",IF(AND(I326="",D326="",E326=""),"— ignored",IF(C326="","⚠ Time",IF(D326="","⚠ Plant",IF(E326="","⚠ Quantity",IF(AND(ISNUMBER(L326),COUNTIF(L$1:L325,L326)&gt;0),"⚠ Same serial "&amp;L326,IF(AND(ISNUMBER(L326),L326&gt;MIN($L$2:$L$1001),COUNTIF($L$2:$L$1001,L326-1)=0,COUNTIF($L$2:$L$1001,L326-2)&lt;2),"⚠ Missing serial "&amp;(L326-1),IF(AND(MAX(K$1:K325)&gt;0,N(K326)-MAX(K$1:K325)&gt;180),"⚠ Gap &gt; 3h",IF(C326-I326&gt;=0.99,"next day",IF(C326-I326&gt;0.4,"12h → 24h","")))))))))))</f>
        <v/>
      </c>
      <c r="H326" s="4" t="str">
        <f t="shared" si="25"/>
        <v/>
      </c>
      <c r="I326" s="5" t="str">
        <f t="shared" si="26"/>
        <v/>
      </c>
      <c r="J326" s="6">
        <f t="shared" si="27"/>
        <v>0</v>
      </c>
      <c r="K326" s="4" t="str">
        <f t="shared" si="28"/>
        <v/>
      </c>
      <c r="L326" s="4" t="str">
        <f t="shared" si="29"/>
        <v/>
      </c>
      <c r="M326" s="4" t="b" cm="1">
        <f t="array" ref="M326">IF(H326="",FALSE,SUMPRODUCT(--(H$1:H325=H326))&gt;0)</f>
        <v>0</v>
      </c>
    </row>
    <row r="327" spans="1:13" x14ac:dyDescent="0.25">
      <c r="A327" s="9" t="str">
        <f>IF(OR(B327="",M327,G327="— ignored"),"",MAX(A$1:A326)+1)</f>
        <v/>
      </c>
      <c r="B327" s="10"/>
      <c r="C327" s="11" t="str">
        <f>IF(I327="","",ROUND((I327+0.5*MAX(0,CEILING(ROUND((MAX(C$1:C326)-1/48-I327)/0.5,6),1)))*1440,0)/1440)</f>
        <v/>
      </c>
      <c r="D327" s="9" t="str" cm="1">
        <f t="array" ref="D327">IF(H327="","",IFERROR(INDEX(Log!$C$19:$G$19,VALUE(MID(H327,FIND("#",H327)+1,1))),""))</f>
        <v/>
      </c>
      <c r="E327" s="9" t="str" cm="1">
        <f t="array" ref="E327">IF(OR(H327="",M327),"",IFERROR(_xlfn.LET(_xlpm.t,SUBSTITUTE(UPPER(H327),"م","M"),_xlpm.u,SUBSTITUTE(_xlpm.t,"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27" s="12"/>
      <c r="G327" s="13" t="str">
        <f>IF(B327="","",IF(M327,"⚠ Duplicate (not counted)",IF(AND(I327="",D327="",E327=""),"— ignored",IF(C327="","⚠ Time",IF(D327="","⚠ Plant",IF(E327="","⚠ Quantity",IF(AND(ISNUMBER(L327),COUNTIF(L$1:L326,L327)&gt;0),"⚠ Same serial "&amp;L327,IF(AND(ISNUMBER(L327),L327&gt;MIN($L$2:$L$1001),COUNTIF($L$2:$L$1001,L327-1)=0,COUNTIF($L$2:$L$1001,L327-2)&lt;2),"⚠ Missing serial "&amp;(L327-1),IF(AND(MAX(K$1:K326)&gt;0,N(K327)-MAX(K$1:K326)&gt;180),"⚠ Gap &gt; 3h",IF(C327-I327&gt;=0.99,"next day",IF(C327-I327&gt;0.4,"12h → 24h","")))))))))))</f>
        <v/>
      </c>
      <c r="H327" s="4" t="str">
        <f t="shared" si="25"/>
        <v/>
      </c>
      <c r="I327" s="5" t="str">
        <f t="shared" si="26"/>
        <v/>
      </c>
      <c r="J327" s="6">
        <f t="shared" si="27"/>
        <v>0</v>
      </c>
      <c r="K327" s="4" t="str">
        <f t="shared" si="28"/>
        <v/>
      </c>
      <c r="L327" s="4" t="str">
        <f t="shared" si="29"/>
        <v/>
      </c>
      <c r="M327" s="4" t="b" cm="1">
        <f t="array" ref="M327">IF(H327="",FALSE,SUMPRODUCT(--(H$1:H326=H327))&gt;0)</f>
        <v>0</v>
      </c>
    </row>
    <row r="328" spans="1:13" x14ac:dyDescent="0.25">
      <c r="A328" s="9" t="str">
        <f>IF(OR(B328="",M328,G328="— ignored"),"",MAX(A$1:A327)+1)</f>
        <v/>
      </c>
      <c r="B328" s="10"/>
      <c r="C328" s="11" t="str">
        <f>IF(I328="","",ROUND((I328+0.5*MAX(0,CEILING(ROUND((MAX(C$1:C327)-1/48-I328)/0.5,6),1)))*1440,0)/1440)</f>
        <v/>
      </c>
      <c r="D328" s="9" t="str" cm="1">
        <f t="array" ref="D328">IF(H328="","",IFERROR(INDEX(Log!$C$19:$G$19,VALUE(MID(H328,FIND("#",H328)+1,1))),""))</f>
        <v/>
      </c>
      <c r="E328" s="9" t="str" cm="1">
        <f t="array" ref="E328">IF(OR(H328="",M328),"",IFERROR(_xlfn.LET(_xlpm.t,SUBSTITUTE(UPPER(H328),"م","M"),_xlpm.u,SUBSTITUTE(_xlpm.t,"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28" s="12"/>
      <c r="G328" s="13" t="str">
        <f>IF(B328="","",IF(M328,"⚠ Duplicate (not counted)",IF(AND(I328="",D328="",E328=""),"— ignored",IF(C328="","⚠ Time",IF(D328="","⚠ Plant",IF(E328="","⚠ Quantity",IF(AND(ISNUMBER(L328),COUNTIF(L$1:L327,L328)&gt;0),"⚠ Same serial "&amp;L328,IF(AND(ISNUMBER(L328),L328&gt;MIN($L$2:$L$1001),COUNTIF($L$2:$L$1001,L328-1)=0,COUNTIF($L$2:$L$1001,L328-2)&lt;2),"⚠ Missing serial "&amp;(L328-1),IF(AND(MAX(K$1:K327)&gt;0,N(K328)-MAX(K$1:K327)&gt;180),"⚠ Gap &gt; 3h",IF(C328-I328&gt;=0.99,"next day",IF(C328-I328&gt;0.4,"12h → 24h","")))))))))))</f>
        <v/>
      </c>
      <c r="H328" s="4" t="str">
        <f t="shared" si="25"/>
        <v/>
      </c>
      <c r="I328" s="5" t="str">
        <f t="shared" si="26"/>
        <v/>
      </c>
      <c r="J328" s="6">
        <f t="shared" si="27"/>
        <v>0</v>
      </c>
      <c r="K328" s="4" t="str">
        <f t="shared" si="28"/>
        <v/>
      </c>
      <c r="L328" s="4" t="str">
        <f t="shared" si="29"/>
        <v/>
      </c>
      <c r="M328" s="4" t="b" cm="1">
        <f t="array" ref="M328">IF(H328="",FALSE,SUMPRODUCT(--(H$1:H327=H328))&gt;0)</f>
        <v>0</v>
      </c>
    </row>
    <row r="329" spans="1:13" x14ac:dyDescent="0.25">
      <c r="A329" s="9" t="str">
        <f>IF(OR(B329="",M329,G329="— ignored"),"",MAX(A$1:A328)+1)</f>
        <v/>
      </c>
      <c r="B329" s="10"/>
      <c r="C329" s="11" t="str">
        <f>IF(I329="","",ROUND((I329+0.5*MAX(0,CEILING(ROUND((MAX(C$1:C328)-1/48-I329)/0.5,6),1)))*1440,0)/1440)</f>
        <v/>
      </c>
      <c r="D329" s="9" t="str" cm="1">
        <f t="array" ref="D329">IF(H329="","",IFERROR(INDEX(Log!$C$19:$G$19,VALUE(MID(H329,FIND("#",H329)+1,1))),""))</f>
        <v/>
      </c>
      <c r="E329" s="9" t="str" cm="1">
        <f t="array" ref="E329">IF(OR(H329="",M329),"",IFERROR(_xlfn.LET(_xlpm.t,SUBSTITUTE(UPPER(H329),"م","M"),_xlpm.u,SUBSTITUTE(_xlpm.t,"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29" s="12"/>
      <c r="G329" s="13" t="str">
        <f>IF(B329="","",IF(M329,"⚠ Duplicate (not counted)",IF(AND(I329="",D329="",E329=""),"— ignored",IF(C329="","⚠ Time",IF(D329="","⚠ Plant",IF(E329="","⚠ Quantity",IF(AND(ISNUMBER(L329),COUNTIF(L$1:L328,L329)&gt;0),"⚠ Same serial "&amp;L329,IF(AND(ISNUMBER(L329),L329&gt;MIN($L$2:$L$1001),COUNTIF($L$2:$L$1001,L329-1)=0,COUNTIF($L$2:$L$1001,L329-2)&lt;2),"⚠ Missing serial "&amp;(L329-1),IF(AND(MAX(K$1:K328)&gt;0,N(K329)-MAX(K$1:K328)&gt;180),"⚠ Gap &gt; 3h",IF(C329-I329&gt;=0.99,"next day",IF(C329-I329&gt;0.4,"12h → 24h","")))))))))))</f>
        <v/>
      </c>
      <c r="H329" s="4" t="str">
        <f t="shared" si="25"/>
        <v/>
      </c>
      <c r="I329" s="5" t="str">
        <f t="shared" si="26"/>
        <v/>
      </c>
      <c r="J329" s="6">
        <f t="shared" si="27"/>
        <v>0</v>
      </c>
      <c r="K329" s="4" t="str">
        <f t="shared" si="28"/>
        <v/>
      </c>
      <c r="L329" s="4" t="str">
        <f t="shared" si="29"/>
        <v/>
      </c>
      <c r="M329" s="4" t="b" cm="1">
        <f t="array" ref="M329">IF(H329="",FALSE,SUMPRODUCT(--(H$1:H328=H329))&gt;0)</f>
        <v>0</v>
      </c>
    </row>
    <row r="330" spans="1:13" x14ac:dyDescent="0.25">
      <c r="A330" s="9" t="str">
        <f>IF(OR(B330="",M330,G330="— ignored"),"",MAX(A$1:A329)+1)</f>
        <v/>
      </c>
      <c r="B330" s="10"/>
      <c r="C330" s="11" t="str">
        <f>IF(I330="","",ROUND((I330+0.5*MAX(0,CEILING(ROUND((MAX(C$1:C329)-1/48-I330)/0.5,6),1)))*1440,0)/1440)</f>
        <v/>
      </c>
      <c r="D330" s="9" t="str" cm="1">
        <f t="array" ref="D330">IF(H330="","",IFERROR(INDEX(Log!$C$19:$G$19,VALUE(MID(H330,FIND("#",H330)+1,1))),""))</f>
        <v/>
      </c>
      <c r="E330" s="9" t="str" cm="1">
        <f t="array" ref="E330">IF(OR(H330="",M330),"",IFERROR(_xlfn.LET(_xlpm.t,SUBSTITUTE(UPPER(H330),"م","M"),_xlpm.u,SUBSTITUTE(_xlpm.t,"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30" s="12"/>
      <c r="G330" s="13" t="str">
        <f>IF(B330="","",IF(M330,"⚠ Duplicate (not counted)",IF(AND(I330="",D330="",E330=""),"— ignored",IF(C330="","⚠ Time",IF(D330="","⚠ Plant",IF(E330="","⚠ Quantity",IF(AND(ISNUMBER(L330),COUNTIF(L$1:L329,L330)&gt;0),"⚠ Same serial "&amp;L330,IF(AND(ISNUMBER(L330),L330&gt;MIN($L$2:$L$1001),COUNTIF($L$2:$L$1001,L330-1)=0,COUNTIF($L$2:$L$1001,L330-2)&lt;2),"⚠ Missing serial "&amp;(L330-1),IF(AND(MAX(K$1:K329)&gt;0,N(K330)-MAX(K$1:K329)&gt;180),"⚠ Gap &gt; 3h",IF(C330-I330&gt;=0.99,"next day",IF(C330-I330&gt;0.4,"12h → 24h","")))))))))))</f>
        <v/>
      </c>
      <c r="H330" s="4" t="str">
        <f t="shared" si="25"/>
        <v/>
      </c>
      <c r="I330" s="5" t="str">
        <f t="shared" si="26"/>
        <v/>
      </c>
      <c r="J330" s="6">
        <f t="shared" si="27"/>
        <v>0</v>
      </c>
      <c r="K330" s="4" t="str">
        <f t="shared" si="28"/>
        <v/>
      </c>
      <c r="L330" s="4" t="str">
        <f t="shared" si="29"/>
        <v/>
      </c>
      <c r="M330" s="4" t="b" cm="1">
        <f t="array" ref="M330">IF(H330="",FALSE,SUMPRODUCT(--(H$1:H329=H330))&gt;0)</f>
        <v>0</v>
      </c>
    </row>
    <row r="331" spans="1:13" x14ac:dyDescent="0.25">
      <c r="A331" s="9" t="str">
        <f>IF(OR(B331="",M331,G331="— ignored"),"",MAX(A$1:A330)+1)</f>
        <v/>
      </c>
      <c r="B331" s="10"/>
      <c r="C331" s="11" t="str">
        <f>IF(I331="","",ROUND((I331+0.5*MAX(0,CEILING(ROUND((MAX(C$1:C330)-1/48-I331)/0.5,6),1)))*1440,0)/1440)</f>
        <v/>
      </c>
      <c r="D331" s="9" t="str" cm="1">
        <f t="array" ref="D331">IF(H331="","",IFERROR(INDEX(Log!$C$19:$G$19,VALUE(MID(H331,FIND("#",H331)+1,1))),""))</f>
        <v/>
      </c>
      <c r="E331" s="9" t="str" cm="1">
        <f t="array" ref="E331">IF(OR(H331="",M331),"",IFERROR(_xlfn.LET(_xlpm.t,SUBSTITUTE(UPPER(H331),"م","M"),_xlpm.u,SUBSTITUTE(_xlpm.t,"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31" s="12"/>
      <c r="G331" s="13" t="str">
        <f>IF(B331="","",IF(M331,"⚠ Duplicate (not counted)",IF(AND(I331="",D331="",E331=""),"— ignored",IF(C331="","⚠ Time",IF(D331="","⚠ Plant",IF(E331="","⚠ Quantity",IF(AND(ISNUMBER(L331),COUNTIF(L$1:L330,L331)&gt;0),"⚠ Same serial "&amp;L331,IF(AND(ISNUMBER(L331),L331&gt;MIN($L$2:$L$1001),COUNTIF($L$2:$L$1001,L331-1)=0,COUNTIF($L$2:$L$1001,L331-2)&lt;2),"⚠ Missing serial "&amp;(L331-1),IF(AND(MAX(K$1:K330)&gt;0,N(K331)-MAX(K$1:K330)&gt;180),"⚠ Gap &gt; 3h",IF(C331-I331&gt;=0.99,"next day",IF(C331-I331&gt;0.4,"12h → 24h","")))))))))))</f>
        <v/>
      </c>
      <c r="H331" s="4" t="str">
        <f t="shared" si="25"/>
        <v/>
      </c>
      <c r="I331" s="5" t="str">
        <f t="shared" si="26"/>
        <v/>
      </c>
      <c r="J331" s="6">
        <f t="shared" si="27"/>
        <v>0</v>
      </c>
      <c r="K331" s="4" t="str">
        <f t="shared" si="28"/>
        <v/>
      </c>
      <c r="L331" s="4" t="str">
        <f t="shared" si="29"/>
        <v/>
      </c>
      <c r="M331" s="4" t="b" cm="1">
        <f t="array" ref="M331">IF(H331="",FALSE,SUMPRODUCT(--(H$1:H330=H331))&gt;0)</f>
        <v>0</v>
      </c>
    </row>
    <row r="332" spans="1:13" x14ac:dyDescent="0.25">
      <c r="A332" s="9" t="str">
        <f>IF(OR(B332="",M332,G332="— ignored"),"",MAX(A$1:A331)+1)</f>
        <v/>
      </c>
      <c r="B332" s="10"/>
      <c r="C332" s="11" t="str">
        <f>IF(I332="","",ROUND((I332+0.5*MAX(0,CEILING(ROUND((MAX(C$1:C331)-1/48-I332)/0.5,6),1)))*1440,0)/1440)</f>
        <v/>
      </c>
      <c r="D332" s="9" t="str" cm="1">
        <f t="array" ref="D332">IF(H332="","",IFERROR(INDEX(Log!$C$19:$G$19,VALUE(MID(H332,FIND("#",H332)+1,1))),""))</f>
        <v/>
      </c>
      <c r="E332" s="9" t="str" cm="1">
        <f t="array" ref="E332">IF(OR(H332="",M332),"",IFERROR(_xlfn.LET(_xlpm.t,SUBSTITUTE(UPPER(H332),"م","M"),_xlpm.u,SUBSTITUTE(_xlpm.t,"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32" s="12"/>
      <c r="G332" s="13" t="str">
        <f>IF(B332="","",IF(M332,"⚠ Duplicate (not counted)",IF(AND(I332="",D332="",E332=""),"— ignored",IF(C332="","⚠ Time",IF(D332="","⚠ Plant",IF(E332="","⚠ Quantity",IF(AND(ISNUMBER(L332),COUNTIF(L$1:L331,L332)&gt;0),"⚠ Same serial "&amp;L332,IF(AND(ISNUMBER(L332),L332&gt;MIN($L$2:$L$1001),COUNTIF($L$2:$L$1001,L332-1)=0,COUNTIF($L$2:$L$1001,L332-2)&lt;2),"⚠ Missing serial "&amp;(L332-1),IF(AND(MAX(K$1:K331)&gt;0,N(K332)-MAX(K$1:K331)&gt;180),"⚠ Gap &gt; 3h",IF(C332-I332&gt;=0.99,"next day",IF(C332-I332&gt;0.4,"12h → 24h","")))))))))))</f>
        <v/>
      </c>
      <c r="H332" s="4" t="str">
        <f t="shared" si="25"/>
        <v/>
      </c>
      <c r="I332" s="5" t="str">
        <f t="shared" si="26"/>
        <v/>
      </c>
      <c r="J332" s="6">
        <f t="shared" si="27"/>
        <v>0</v>
      </c>
      <c r="K332" s="4" t="str">
        <f t="shared" si="28"/>
        <v/>
      </c>
      <c r="L332" s="4" t="str">
        <f t="shared" si="29"/>
        <v/>
      </c>
      <c r="M332" s="4" t="b" cm="1">
        <f t="array" ref="M332">IF(H332="",FALSE,SUMPRODUCT(--(H$1:H331=H332))&gt;0)</f>
        <v>0</v>
      </c>
    </row>
    <row r="333" spans="1:13" x14ac:dyDescent="0.25">
      <c r="A333" s="9" t="str">
        <f>IF(OR(B333="",M333,G333="— ignored"),"",MAX(A$1:A332)+1)</f>
        <v/>
      </c>
      <c r="B333" s="10"/>
      <c r="C333" s="11" t="str">
        <f>IF(I333="","",ROUND((I333+0.5*MAX(0,CEILING(ROUND((MAX(C$1:C332)-1/48-I333)/0.5,6),1)))*1440,0)/1440)</f>
        <v/>
      </c>
      <c r="D333" s="9" t="str" cm="1">
        <f t="array" ref="D333">IF(H333="","",IFERROR(INDEX(Log!$C$19:$G$19,VALUE(MID(H333,FIND("#",H333)+1,1))),""))</f>
        <v/>
      </c>
      <c r="E333" s="9" t="str" cm="1">
        <f t="array" ref="E333">IF(OR(H333="",M333),"",IFERROR(_xlfn.LET(_xlpm.t,SUBSTITUTE(UPPER(H333),"م","M"),_xlpm.u,SUBSTITUTE(_xlpm.t,"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33" s="12"/>
      <c r="G333" s="13" t="str">
        <f>IF(B333="","",IF(M333,"⚠ Duplicate (not counted)",IF(AND(I333="",D333="",E333=""),"— ignored",IF(C333="","⚠ Time",IF(D333="","⚠ Plant",IF(E333="","⚠ Quantity",IF(AND(ISNUMBER(L333),COUNTIF(L$1:L332,L333)&gt;0),"⚠ Same serial "&amp;L333,IF(AND(ISNUMBER(L333),L333&gt;MIN($L$2:$L$1001),COUNTIF($L$2:$L$1001,L333-1)=0,COUNTIF($L$2:$L$1001,L333-2)&lt;2),"⚠ Missing serial "&amp;(L333-1),IF(AND(MAX(K$1:K332)&gt;0,N(K333)-MAX(K$1:K332)&gt;180),"⚠ Gap &gt; 3h",IF(C333-I333&gt;=0.99,"next day",IF(C333-I333&gt;0.4,"12h → 24h","")))))))))))</f>
        <v/>
      </c>
      <c r="H333" s="4" t="str">
        <f t="shared" si="25"/>
        <v/>
      </c>
      <c r="I333" s="5" t="str">
        <f t="shared" si="26"/>
        <v/>
      </c>
      <c r="J333" s="6">
        <f t="shared" si="27"/>
        <v>0</v>
      </c>
      <c r="K333" s="4" t="str">
        <f t="shared" si="28"/>
        <v/>
      </c>
      <c r="L333" s="4" t="str">
        <f t="shared" si="29"/>
        <v/>
      </c>
      <c r="M333" s="4" t="b" cm="1">
        <f t="array" ref="M333">IF(H333="",FALSE,SUMPRODUCT(--(H$1:H332=H333))&gt;0)</f>
        <v>0</v>
      </c>
    </row>
    <row r="334" spans="1:13" x14ac:dyDescent="0.25">
      <c r="A334" s="9" t="str">
        <f>IF(OR(B334="",M334,G334="— ignored"),"",MAX(A$1:A333)+1)</f>
        <v/>
      </c>
      <c r="B334" s="10"/>
      <c r="C334" s="11" t="str">
        <f>IF(I334="","",ROUND((I334+0.5*MAX(0,CEILING(ROUND((MAX(C$1:C333)-1/48-I334)/0.5,6),1)))*1440,0)/1440)</f>
        <v/>
      </c>
      <c r="D334" s="9" t="str" cm="1">
        <f t="array" ref="D334">IF(H334="","",IFERROR(INDEX(Log!$C$19:$G$19,VALUE(MID(H334,FIND("#",H334)+1,1))),""))</f>
        <v/>
      </c>
      <c r="E334" s="9" t="str" cm="1">
        <f t="array" ref="E334">IF(OR(H334="",M334),"",IFERROR(_xlfn.LET(_xlpm.t,SUBSTITUTE(UPPER(H334),"م","M"),_xlpm.u,SUBSTITUTE(_xlpm.t,"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34" s="12"/>
      <c r="G334" s="13" t="str">
        <f>IF(B334="","",IF(M334,"⚠ Duplicate (not counted)",IF(AND(I334="",D334="",E334=""),"— ignored",IF(C334="","⚠ Time",IF(D334="","⚠ Plant",IF(E334="","⚠ Quantity",IF(AND(ISNUMBER(L334),COUNTIF(L$1:L333,L334)&gt;0),"⚠ Same serial "&amp;L334,IF(AND(ISNUMBER(L334),L334&gt;MIN($L$2:$L$1001),COUNTIF($L$2:$L$1001,L334-1)=0,COUNTIF($L$2:$L$1001,L334-2)&lt;2),"⚠ Missing serial "&amp;(L334-1),IF(AND(MAX(K$1:K333)&gt;0,N(K334)-MAX(K$1:K333)&gt;180),"⚠ Gap &gt; 3h",IF(C334-I334&gt;=0.99,"next day",IF(C334-I334&gt;0.4,"12h → 24h","")))))))))))</f>
        <v/>
      </c>
      <c r="H334" s="4" t="str">
        <f t="shared" si="25"/>
        <v/>
      </c>
      <c r="I334" s="5" t="str">
        <f t="shared" si="26"/>
        <v/>
      </c>
      <c r="J334" s="6">
        <f t="shared" si="27"/>
        <v>0</v>
      </c>
      <c r="K334" s="4" t="str">
        <f t="shared" si="28"/>
        <v/>
      </c>
      <c r="L334" s="4" t="str">
        <f t="shared" si="29"/>
        <v/>
      </c>
      <c r="M334" s="4" t="b" cm="1">
        <f t="array" ref="M334">IF(H334="",FALSE,SUMPRODUCT(--(H$1:H333=H334))&gt;0)</f>
        <v>0</v>
      </c>
    </row>
    <row r="335" spans="1:13" x14ac:dyDescent="0.25">
      <c r="A335" s="9" t="str">
        <f>IF(OR(B335="",M335,G335="— ignored"),"",MAX(A$1:A334)+1)</f>
        <v/>
      </c>
      <c r="B335" s="10"/>
      <c r="C335" s="11" t="str">
        <f>IF(I335="","",ROUND((I335+0.5*MAX(0,CEILING(ROUND((MAX(C$1:C334)-1/48-I335)/0.5,6),1)))*1440,0)/1440)</f>
        <v/>
      </c>
      <c r="D335" s="9" t="str" cm="1">
        <f t="array" ref="D335">IF(H335="","",IFERROR(INDEX(Log!$C$19:$G$19,VALUE(MID(H335,FIND("#",H335)+1,1))),""))</f>
        <v/>
      </c>
      <c r="E335" s="9" t="str" cm="1">
        <f t="array" ref="E335">IF(OR(H335="",M335),"",IFERROR(_xlfn.LET(_xlpm.t,SUBSTITUTE(UPPER(H335),"م","M"),_xlpm.u,SUBSTITUTE(_xlpm.t,"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35" s="12"/>
      <c r="G335" s="13" t="str">
        <f>IF(B335="","",IF(M335,"⚠ Duplicate (not counted)",IF(AND(I335="",D335="",E335=""),"— ignored",IF(C335="","⚠ Time",IF(D335="","⚠ Plant",IF(E335="","⚠ Quantity",IF(AND(ISNUMBER(L335),COUNTIF(L$1:L334,L335)&gt;0),"⚠ Same serial "&amp;L335,IF(AND(ISNUMBER(L335),L335&gt;MIN($L$2:$L$1001),COUNTIF($L$2:$L$1001,L335-1)=0,COUNTIF($L$2:$L$1001,L335-2)&lt;2),"⚠ Missing serial "&amp;(L335-1),IF(AND(MAX(K$1:K334)&gt;0,N(K335)-MAX(K$1:K334)&gt;180),"⚠ Gap &gt; 3h",IF(C335-I335&gt;=0.99,"next day",IF(C335-I335&gt;0.4,"12h → 24h","")))))))))))</f>
        <v/>
      </c>
      <c r="H335" s="4" t="str">
        <f t="shared" si="25"/>
        <v/>
      </c>
      <c r="I335" s="5" t="str">
        <f t="shared" si="26"/>
        <v/>
      </c>
      <c r="J335" s="6">
        <f t="shared" si="27"/>
        <v>0</v>
      </c>
      <c r="K335" s="4" t="str">
        <f t="shared" si="28"/>
        <v/>
      </c>
      <c r="L335" s="4" t="str">
        <f t="shared" si="29"/>
        <v/>
      </c>
      <c r="M335" s="4" t="b" cm="1">
        <f t="array" ref="M335">IF(H335="",FALSE,SUMPRODUCT(--(H$1:H334=H335))&gt;0)</f>
        <v>0</v>
      </c>
    </row>
    <row r="336" spans="1:13" x14ac:dyDescent="0.25">
      <c r="A336" s="9" t="str">
        <f>IF(OR(B336="",M336,G336="— ignored"),"",MAX(A$1:A335)+1)</f>
        <v/>
      </c>
      <c r="B336" s="10"/>
      <c r="C336" s="11" t="str">
        <f>IF(I336="","",ROUND((I336+0.5*MAX(0,CEILING(ROUND((MAX(C$1:C335)-1/48-I336)/0.5,6),1)))*1440,0)/1440)</f>
        <v/>
      </c>
      <c r="D336" s="9" t="str" cm="1">
        <f t="array" ref="D336">IF(H336="","",IFERROR(INDEX(Log!$C$19:$G$19,VALUE(MID(H336,FIND("#",H336)+1,1))),""))</f>
        <v/>
      </c>
      <c r="E336" s="9" t="str" cm="1">
        <f t="array" ref="E336">IF(OR(H336="",M336),"",IFERROR(_xlfn.LET(_xlpm.t,SUBSTITUTE(UPPER(H336),"م","M"),_xlpm.u,SUBSTITUTE(_xlpm.t,"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36" s="12"/>
      <c r="G336" s="13" t="str">
        <f>IF(B336="","",IF(M336,"⚠ Duplicate (not counted)",IF(AND(I336="",D336="",E336=""),"— ignored",IF(C336="","⚠ Time",IF(D336="","⚠ Plant",IF(E336="","⚠ Quantity",IF(AND(ISNUMBER(L336),COUNTIF(L$1:L335,L336)&gt;0),"⚠ Same serial "&amp;L336,IF(AND(ISNUMBER(L336),L336&gt;MIN($L$2:$L$1001),COUNTIF($L$2:$L$1001,L336-1)=0,COUNTIF($L$2:$L$1001,L336-2)&lt;2),"⚠ Missing serial "&amp;(L336-1),IF(AND(MAX(K$1:K335)&gt;0,N(K336)-MAX(K$1:K335)&gt;180),"⚠ Gap &gt; 3h",IF(C336-I336&gt;=0.99,"next day",IF(C336-I336&gt;0.4,"12h → 24h","")))))))))))</f>
        <v/>
      </c>
      <c r="H336" s="4" t="str">
        <f t="shared" si="25"/>
        <v/>
      </c>
      <c r="I336" s="5" t="str">
        <f t="shared" si="26"/>
        <v/>
      </c>
      <c r="J336" s="6">
        <f t="shared" si="27"/>
        <v>0</v>
      </c>
      <c r="K336" s="4" t="str">
        <f t="shared" si="28"/>
        <v/>
      </c>
      <c r="L336" s="4" t="str">
        <f t="shared" si="29"/>
        <v/>
      </c>
      <c r="M336" s="4" t="b" cm="1">
        <f t="array" ref="M336">IF(H336="",FALSE,SUMPRODUCT(--(H$1:H335=H336))&gt;0)</f>
        <v>0</v>
      </c>
    </row>
    <row r="337" spans="1:13" x14ac:dyDescent="0.25">
      <c r="A337" s="9" t="str">
        <f>IF(OR(B337="",M337,G337="— ignored"),"",MAX(A$1:A336)+1)</f>
        <v/>
      </c>
      <c r="B337" s="10"/>
      <c r="C337" s="11" t="str">
        <f>IF(I337="","",ROUND((I337+0.5*MAX(0,CEILING(ROUND((MAX(C$1:C336)-1/48-I337)/0.5,6),1)))*1440,0)/1440)</f>
        <v/>
      </c>
      <c r="D337" s="9" t="str" cm="1">
        <f t="array" ref="D337">IF(H337="","",IFERROR(INDEX(Log!$C$19:$G$19,VALUE(MID(H337,FIND("#",H337)+1,1))),""))</f>
        <v/>
      </c>
      <c r="E337" s="9" t="str" cm="1">
        <f t="array" ref="E337">IF(OR(H337="",M337),"",IFERROR(_xlfn.LET(_xlpm.t,SUBSTITUTE(UPPER(H337),"م","M"),_xlpm.u,SUBSTITUTE(_xlpm.t,"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37" s="12"/>
      <c r="G337" s="13" t="str">
        <f>IF(B337="","",IF(M337,"⚠ Duplicate (not counted)",IF(AND(I337="",D337="",E337=""),"— ignored",IF(C337="","⚠ Time",IF(D337="","⚠ Plant",IF(E337="","⚠ Quantity",IF(AND(ISNUMBER(L337),COUNTIF(L$1:L336,L337)&gt;0),"⚠ Same serial "&amp;L337,IF(AND(ISNUMBER(L337),L337&gt;MIN($L$2:$L$1001),COUNTIF($L$2:$L$1001,L337-1)=0,COUNTIF($L$2:$L$1001,L337-2)&lt;2),"⚠ Missing serial "&amp;(L337-1),IF(AND(MAX(K$1:K336)&gt;0,N(K337)-MAX(K$1:K336)&gt;180),"⚠ Gap &gt; 3h",IF(C337-I337&gt;=0.99,"next day",IF(C337-I337&gt;0.4,"12h → 24h","")))))))))))</f>
        <v/>
      </c>
      <c r="H337" s="4" t="str">
        <f t="shared" si="25"/>
        <v/>
      </c>
      <c r="I337" s="5" t="str">
        <f t="shared" si="26"/>
        <v/>
      </c>
      <c r="J337" s="6">
        <f t="shared" si="27"/>
        <v>0</v>
      </c>
      <c r="K337" s="4" t="str">
        <f t="shared" si="28"/>
        <v/>
      </c>
      <c r="L337" s="4" t="str">
        <f t="shared" si="29"/>
        <v/>
      </c>
      <c r="M337" s="4" t="b" cm="1">
        <f t="array" ref="M337">IF(H337="",FALSE,SUMPRODUCT(--(H$1:H336=H337))&gt;0)</f>
        <v>0</v>
      </c>
    </row>
    <row r="338" spans="1:13" x14ac:dyDescent="0.25">
      <c r="A338" s="9" t="str">
        <f>IF(OR(B338="",M338,G338="— ignored"),"",MAX(A$1:A337)+1)</f>
        <v/>
      </c>
      <c r="B338" s="10"/>
      <c r="C338" s="11" t="str">
        <f>IF(I338="","",ROUND((I338+0.5*MAX(0,CEILING(ROUND((MAX(C$1:C337)-1/48-I338)/0.5,6),1)))*1440,0)/1440)</f>
        <v/>
      </c>
      <c r="D338" s="9" t="str" cm="1">
        <f t="array" ref="D338">IF(H338="","",IFERROR(INDEX(Log!$C$19:$G$19,VALUE(MID(H338,FIND("#",H338)+1,1))),""))</f>
        <v/>
      </c>
      <c r="E338" s="9" t="str" cm="1">
        <f t="array" ref="E338">IF(OR(H338="",M338),"",IFERROR(_xlfn.LET(_xlpm.t,SUBSTITUTE(UPPER(H338),"م","M"),_xlpm.u,SUBSTITUTE(_xlpm.t,"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38" s="12"/>
      <c r="G338" s="13" t="str">
        <f>IF(B338="","",IF(M338,"⚠ Duplicate (not counted)",IF(AND(I338="",D338="",E338=""),"— ignored",IF(C338="","⚠ Time",IF(D338="","⚠ Plant",IF(E338="","⚠ Quantity",IF(AND(ISNUMBER(L338),COUNTIF(L$1:L337,L338)&gt;0),"⚠ Same serial "&amp;L338,IF(AND(ISNUMBER(L338),L338&gt;MIN($L$2:$L$1001),COUNTIF($L$2:$L$1001,L338-1)=0,COUNTIF($L$2:$L$1001,L338-2)&lt;2),"⚠ Missing serial "&amp;(L338-1),IF(AND(MAX(K$1:K337)&gt;0,N(K338)-MAX(K$1:K337)&gt;180),"⚠ Gap &gt; 3h",IF(C338-I338&gt;=0.99,"next day",IF(C338-I338&gt;0.4,"12h → 24h","")))))))))))</f>
        <v/>
      </c>
      <c r="H338" s="4" t="str">
        <f t="shared" si="25"/>
        <v/>
      </c>
      <c r="I338" s="5" t="str">
        <f t="shared" si="26"/>
        <v/>
      </c>
      <c r="J338" s="6">
        <f t="shared" si="27"/>
        <v>0</v>
      </c>
      <c r="K338" s="4" t="str">
        <f t="shared" si="28"/>
        <v/>
      </c>
      <c r="L338" s="4" t="str">
        <f t="shared" si="29"/>
        <v/>
      </c>
      <c r="M338" s="4" t="b" cm="1">
        <f t="array" ref="M338">IF(H338="",FALSE,SUMPRODUCT(--(H$1:H337=H338))&gt;0)</f>
        <v>0</v>
      </c>
    </row>
    <row r="339" spans="1:13" x14ac:dyDescent="0.25">
      <c r="A339" s="9" t="str">
        <f>IF(OR(B339="",M339,G339="— ignored"),"",MAX(A$1:A338)+1)</f>
        <v/>
      </c>
      <c r="B339" s="10"/>
      <c r="C339" s="11" t="str">
        <f>IF(I339="","",ROUND((I339+0.5*MAX(0,CEILING(ROUND((MAX(C$1:C338)-1/48-I339)/0.5,6),1)))*1440,0)/1440)</f>
        <v/>
      </c>
      <c r="D339" s="9" t="str" cm="1">
        <f t="array" ref="D339">IF(H339="","",IFERROR(INDEX(Log!$C$19:$G$19,VALUE(MID(H339,FIND("#",H339)+1,1))),""))</f>
        <v/>
      </c>
      <c r="E339" s="9" t="str" cm="1">
        <f t="array" ref="E339">IF(OR(H339="",M339),"",IFERROR(_xlfn.LET(_xlpm.t,SUBSTITUTE(UPPER(H339),"م","M"),_xlpm.u,SUBSTITUTE(_xlpm.t,"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39" s="12"/>
      <c r="G339" s="13" t="str">
        <f>IF(B339="","",IF(M339,"⚠ Duplicate (not counted)",IF(AND(I339="",D339="",E339=""),"— ignored",IF(C339="","⚠ Time",IF(D339="","⚠ Plant",IF(E339="","⚠ Quantity",IF(AND(ISNUMBER(L339),COUNTIF(L$1:L338,L339)&gt;0),"⚠ Same serial "&amp;L339,IF(AND(ISNUMBER(L339),L339&gt;MIN($L$2:$L$1001),COUNTIF($L$2:$L$1001,L339-1)=0,COUNTIF($L$2:$L$1001,L339-2)&lt;2),"⚠ Missing serial "&amp;(L339-1),IF(AND(MAX(K$1:K338)&gt;0,N(K339)-MAX(K$1:K338)&gt;180),"⚠ Gap &gt; 3h",IF(C339-I339&gt;=0.99,"next day",IF(C339-I339&gt;0.4,"12h → 24h","")))))))))))</f>
        <v/>
      </c>
      <c r="H339" s="4" t="str">
        <f t="shared" si="25"/>
        <v/>
      </c>
      <c r="I339" s="5" t="str">
        <f t="shared" si="26"/>
        <v/>
      </c>
      <c r="J339" s="6">
        <f t="shared" si="27"/>
        <v>0</v>
      </c>
      <c r="K339" s="4" t="str">
        <f t="shared" si="28"/>
        <v/>
      </c>
      <c r="L339" s="4" t="str">
        <f t="shared" si="29"/>
        <v/>
      </c>
      <c r="M339" s="4" t="b" cm="1">
        <f t="array" ref="M339">IF(H339="",FALSE,SUMPRODUCT(--(H$1:H338=H339))&gt;0)</f>
        <v>0</v>
      </c>
    </row>
    <row r="340" spans="1:13" x14ac:dyDescent="0.25">
      <c r="A340" s="9" t="str">
        <f>IF(OR(B340="",M340,G340="— ignored"),"",MAX(A$1:A339)+1)</f>
        <v/>
      </c>
      <c r="B340" s="10"/>
      <c r="C340" s="11" t="str">
        <f>IF(I340="","",ROUND((I340+0.5*MAX(0,CEILING(ROUND((MAX(C$1:C339)-1/48-I340)/0.5,6),1)))*1440,0)/1440)</f>
        <v/>
      </c>
      <c r="D340" s="9" t="str" cm="1">
        <f t="array" ref="D340">IF(H340="","",IFERROR(INDEX(Log!$C$19:$G$19,VALUE(MID(H340,FIND("#",H340)+1,1))),""))</f>
        <v/>
      </c>
      <c r="E340" s="9" t="str" cm="1">
        <f t="array" ref="E340">IF(OR(H340="",M340),"",IFERROR(_xlfn.LET(_xlpm.t,SUBSTITUTE(UPPER(H340),"م","M"),_xlpm.u,SUBSTITUTE(_xlpm.t,"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40" s="12"/>
      <c r="G340" s="13" t="str">
        <f>IF(B340="","",IF(M340,"⚠ Duplicate (not counted)",IF(AND(I340="",D340="",E340=""),"— ignored",IF(C340="","⚠ Time",IF(D340="","⚠ Plant",IF(E340="","⚠ Quantity",IF(AND(ISNUMBER(L340),COUNTIF(L$1:L339,L340)&gt;0),"⚠ Same serial "&amp;L340,IF(AND(ISNUMBER(L340),L340&gt;MIN($L$2:$L$1001),COUNTIF($L$2:$L$1001,L340-1)=0,COUNTIF($L$2:$L$1001,L340-2)&lt;2),"⚠ Missing serial "&amp;(L340-1),IF(AND(MAX(K$1:K339)&gt;0,N(K340)-MAX(K$1:K339)&gt;180),"⚠ Gap &gt; 3h",IF(C340-I340&gt;=0.99,"next day",IF(C340-I340&gt;0.4,"12h → 24h","")))))))))))</f>
        <v/>
      </c>
      <c r="H340" s="4" t="str">
        <f t="shared" si="25"/>
        <v/>
      </c>
      <c r="I340" s="5" t="str">
        <f t="shared" si="26"/>
        <v/>
      </c>
      <c r="J340" s="6">
        <f t="shared" si="27"/>
        <v>0</v>
      </c>
      <c r="K340" s="4" t="str">
        <f t="shared" si="28"/>
        <v/>
      </c>
      <c r="L340" s="4" t="str">
        <f t="shared" si="29"/>
        <v/>
      </c>
      <c r="M340" s="4" t="b" cm="1">
        <f t="array" ref="M340">IF(H340="",FALSE,SUMPRODUCT(--(H$1:H339=H340))&gt;0)</f>
        <v>0</v>
      </c>
    </row>
    <row r="341" spans="1:13" x14ac:dyDescent="0.25">
      <c r="A341" s="9" t="str">
        <f>IF(OR(B341="",M341,G341="— ignored"),"",MAX(A$1:A340)+1)</f>
        <v/>
      </c>
      <c r="B341" s="10"/>
      <c r="C341" s="11" t="str">
        <f>IF(I341="","",ROUND((I341+0.5*MAX(0,CEILING(ROUND((MAX(C$1:C340)-1/48-I341)/0.5,6),1)))*1440,0)/1440)</f>
        <v/>
      </c>
      <c r="D341" s="9" t="str" cm="1">
        <f t="array" ref="D341">IF(H341="","",IFERROR(INDEX(Log!$C$19:$G$19,VALUE(MID(H341,FIND("#",H341)+1,1))),""))</f>
        <v/>
      </c>
      <c r="E341" s="9" t="str" cm="1">
        <f t="array" ref="E341">IF(OR(H341="",M341),"",IFERROR(_xlfn.LET(_xlpm.t,SUBSTITUTE(UPPER(H341),"م","M"),_xlpm.u,SUBSTITUTE(_xlpm.t,"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41" s="12"/>
      <c r="G341" s="13" t="str">
        <f>IF(B341="","",IF(M341,"⚠ Duplicate (not counted)",IF(AND(I341="",D341="",E341=""),"— ignored",IF(C341="","⚠ Time",IF(D341="","⚠ Plant",IF(E341="","⚠ Quantity",IF(AND(ISNUMBER(L341),COUNTIF(L$1:L340,L341)&gt;0),"⚠ Same serial "&amp;L341,IF(AND(ISNUMBER(L341),L341&gt;MIN($L$2:$L$1001),COUNTIF($L$2:$L$1001,L341-1)=0,COUNTIF($L$2:$L$1001,L341-2)&lt;2),"⚠ Missing serial "&amp;(L341-1),IF(AND(MAX(K$1:K340)&gt;0,N(K341)-MAX(K$1:K340)&gt;180),"⚠ Gap &gt; 3h",IF(C341-I341&gt;=0.99,"next day",IF(C341-I341&gt;0.4,"12h → 24h","")))))))))))</f>
        <v/>
      </c>
      <c r="H341" s="4" t="str">
        <f t="shared" si="25"/>
        <v/>
      </c>
      <c r="I341" s="5" t="str">
        <f t="shared" si="26"/>
        <v/>
      </c>
      <c r="J341" s="6">
        <f t="shared" si="27"/>
        <v>0</v>
      </c>
      <c r="K341" s="4" t="str">
        <f t="shared" si="28"/>
        <v/>
      </c>
      <c r="L341" s="4" t="str">
        <f t="shared" si="29"/>
        <v/>
      </c>
      <c r="M341" s="4" t="b" cm="1">
        <f t="array" ref="M341">IF(H341="",FALSE,SUMPRODUCT(--(H$1:H340=H341))&gt;0)</f>
        <v>0</v>
      </c>
    </row>
    <row r="342" spans="1:13" x14ac:dyDescent="0.25">
      <c r="A342" s="9" t="str">
        <f>IF(OR(B342="",M342,G342="— ignored"),"",MAX(A$1:A341)+1)</f>
        <v/>
      </c>
      <c r="B342" s="10"/>
      <c r="C342" s="11" t="str">
        <f>IF(I342="","",ROUND((I342+0.5*MAX(0,CEILING(ROUND((MAX(C$1:C341)-1/48-I342)/0.5,6),1)))*1440,0)/1440)</f>
        <v/>
      </c>
      <c r="D342" s="9" t="str" cm="1">
        <f t="array" ref="D342">IF(H342="","",IFERROR(INDEX(Log!$C$19:$G$19,VALUE(MID(H342,FIND("#",H342)+1,1))),""))</f>
        <v/>
      </c>
      <c r="E342" s="9" t="str" cm="1">
        <f t="array" ref="E342">IF(OR(H342="",M342),"",IFERROR(_xlfn.LET(_xlpm.t,SUBSTITUTE(UPPER(H342),"م","M"),_xlpm.u,SUBSTITUTE(_xlpm.t,"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42" s="12"/>
      <c r="G342" s="13" t="str">
        <f>IF(B342="","",IF(M342,"⚠ Duplicate (not counted)",IF(AND(I342="",D342="",E342=""),"— ignored",IF(C342="","⚠ Time",IF(D342="","⚠ Plant",IF(E342="","⚠ Quantity",IF(AND(ISNUMBER(L342),COUNTIF(L$1:L341,L342)&gt;0),"⚠ Same serial "&amp;L342,IF(AND(ISNUMBER(L342),L342&gt;MIN($L$2:$L$1001),COUNTIF($L$2:$L$1001,L342-1)=0,COUNTIF($L$2:$L$1001,L342-2)&lt;2),"⚠ Missing serial "&amp;(L342-1),IF(AND(MAX(K$1:K341)&gt;0,N(K342)-MAX(K$1:K341)&gt;180),"⚠ Gap &gt; 3h",IF(C342-I342&gt;=0.99,"next day",IF(C342-I342&gt;0.4,"12h → 24h","")))))))))))</f>
        <v/>
      </c>
      <c r="H342" s="4" t="str">
        <f t="shared" si="25"/>
        <v/>
      </c>
      <c r="I342" s="5" t="str">
        <f t="shared" si="26"/>
        <v/>
      </c>
      <c r="J342" s="6">
        <f t="shared" si="27"/>
        <v>0</v>
      </c>
      <c r="K342" s="4" t="str">
        <f t="shared" si="28"/>
        <v/>
      </c>
      <c r="L342" s="4" t="str">
        <f t="shared" si="29"/>
        <v/>
      </c>
      <c r="M342" s="4" t="b" cm="1">
        <f t="array" ref="M342">IF(H342="",FALSE,SUMPRODUCT(--(H$1:H341=H342))&gt;0)</f>
        <v>0</v>
      </c>
    </row>
    <row r="343" spans="1:13" x14ac:dyDescent="0.25">
      <c r="A343" s="9" t="str">
        <f>IF(OR(B343="",M343,G343="— ignored"),"",MAX(A$1:A342)+1)</f>
        <v/>
      </c>
      <c r="B343" s="10"/>
      <c r="C343" s="11" t="str">
        <f>IF(I343="","",ROUND((I343+0.5*MAX(0,CEILING(ROUND((MAX(C$1:C342)-1/48-I343)/0.5,6),1)))*1440,0)/1440)</f>
        <v/>
      </c>
      <c r="D343" s="9" t="str" cm="1">
        <f t="array" ref="D343">IF(H343="","",IFERROR(INDEX(Log!$C$19:$G$19,VALUE(MID(H343,FIND("#",H343)+1,1))),""))</f>
        <v/>
      </c>
      <c r="E343" s="9" t="str" cm="1">
        <f t="array" ref="E343">IF(OR(H343="",M343),"",IFERROR(_xlfn.LET(_xlpm.t,SUBSTITUTE(UPPER(H343),"م","M"),_xlpm.u,SUBSTITUTE(_xlpm.t,"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43" s="12"/>
      <c r="G343" s="13" t="str">
        <f>IF(B343="","",IF(M343,"⚠ Duplicate (not counted)",IF(AND(I343="",D343="",E343=""),"— ignored",IF(C343="","⚠ Time",IF(D343="","⚠ Plant",IF(E343="","⚠ Quantity",IF(AND(ISNUMBER(L343),COUNTIF(L$1:L342,L343)&gt;0),"⚠ Same serial "&amp;L343,IF(AND(ISNUMBER(L343),L343&gt;MIN($L$2:$L$1001),COUNTIF($L$2:$L$1001,L343-1)=0,COUNTIF($L$2:$L$1001,L343-2)&lt;2),"⚠ Missing serial "&amp;(L343-1),IF(AND(MAX(K$1:K342)&gt;0,N(K343)-MAX(K$1:K342)&gt;180),"⚠ Gap &gt; 3h",IF(C343-I343&gt;=0.99,"next day",IF(C343-I343&gt;0.4,"12h → 24h","")))))))))))</f>
        <v/>
      </c>
      <c r="H343" s="4" t="str">
        <f t="shared" si="25"/>
        <v/>
      </c>
      <c r="I343" s="5" t="str">
        <f t="shared" si="26"/>
        <v/>
      </c>
      <c r="J343" s="6">
        <f t="shared" si="27"/>
        <v>0</v>
      </c>
      <c r="K343" s="4" t="str">
        <f t="shared" si="28"/>
        <v/>
      </c>
      <c r="L343" s="4" t="str">
        <f t="shared" si="29"/>
        <v/>
      </c>
      <c r="M343" s="4" t="b" cm="1">
        <f t="array" ref="M343">IF(H343="",FALSE,SUMPRODUCT(--(H$1:H342=H343))&gt;0)</f>
        <v>0</v>
      </c>
    </row>
    <row r="344" spans="1:13" x14ac:dyDescent="0.25">
      <c r="A344" s="9" t="str">
        <f>IF(OR(B344="",M344,G344="— ignored"),"",MAX(A$1:A343)+1)</f>
        <v/>
      </c>
      <c r="B344" s="10"/>
      <c r="C344" s="11" t="str">
        <f>IF(I344="","",ROUND((I344+0.5*MAX(0,CEILING(ROUND((MAX(C$1:C343)-1/48-I344)/0.5,6),1)))*1440,0)/1440)</f>
        <v/>
      </c>
      <c r="D344" s="9" t="str" cm="1">
        <f t="array" ref="D344">IF(H344="","",IFERROR(INDEX(Log!$C$19:$G$19,VALUE(MID(H344,FIND("#",H344)+1,1))),""))</f>
        <v/>
      </c>
      <c r="E344" s="9" t="str" cm="1">
        <f t="array" ref="E344">IF(OR(H344="",M344),"",IFERROR(_xlfn.LET(_xlpm.t,SUBSTITUTE(UPPER(H344),"م","M"),_xlpm.u,SUBSTITUTE(_xlpm.t,"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44" s="12"/>
      <c r="G344" s="13" t="str">
        <f>IF(B344="","",IF(M344,"⚠ Duplicate (not counted)",IF(AND(I344="",D344="",E344=""),"— ignored",IF(C344="","⚠ Time",IF(D344="","⚠ Plant",IF(E344="","⚠ Quantity",IF(AND(ISNUMBER(L344),COUNTIF(L$1:L343,L344)&gt;0),"⚠ Same serial "&amp;L344,IF(AND(ISNUMBER(L344),L344&gt;MIN($L$2:$L$1001),COUNTIF($L$2:$L$1001,L344-1)=0,COUNTIF($L$2:$L$1001,L344-2)&lt;2),"⚠ Missing serial "&amp;(L344-1),IF(AND(MAX(K$1:K343)&gt;0,N(K344)-MAX(K$1:K343)&gt;180),"⚠ Gap &gt; 3h",IF(C344-I344&gt;=0.99,"next day",IF(C344-I344&gt;0.4,"12h → 24h","")))))))))))</f>
        <v/>
      </c>
      <c r="H344" s="4" t="str">
        <f t="shared" si="25"/>
        <v/>
      </c>
      <c r="I344" s="5" t="str">
        <f t="shared" si="26"/>
        <v/>
      </c>
      <c r="J344" s="6">
        <f t="shared" si="27"/>
        <v>0</v>
      </c>
      <c r="K344" s="4" t="str">
        <f t="shared" si="28"/>
        <v/>
      </c>
      <c r="L344" s="4" t="str">
        <f t="shared" si="29"/>
        <v/>
      </c>
      <c r="M344" s="4" t="b" cm="1">
        <f t="array" ref="M344">IF(H344="",FALSE,SUMPRODUCT(--(H$1:H343=H344))&gt;0)</f>
        <v>0</v>
      </c>
    </row>
    <row r="345" spans="1:13" x14ac:dyDescent="0.25">
      <c r="A345" s="9" t="str">
        <f>IF(OR(B345="",M345,G345="— ignored"),"",MAX(A$1:A344)+1)</f>
        <v/>
      </c>
      <c r="B345" s="10"/>
      <c r="C345" s="11" t="str">
        <f>IF(I345="","",ROUND((I345+0.5*MAX(0,CEILING(ROUND((MAX(C$1:C344)-1/48-I345)/0.5,6),1)))*1440,0)/1440)</f>
        <v/>
      </c>
      <c r="D345" s="9" t="str" cm="1">
        <f t="array" ref="D345">IF(H345="","",IFERROR(INDEX(Log!$C$19:$G$19,VALUE(MID(H345,FIND("#",H345)+1,1))),""))</f>
        <v/>
      </c>
      <c r="E345" s="9" t="str" cm="1">
        <f t="array" ref="E345">IF(OR(H345="",M345),"",IFERROR(_xlfn.LET(_xlpm.t,SUBSTITUTE(UPPER(H345),"م","M"),_xlpm.u,SUBSTITUTE(_xlpm.t,"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45" s="12"/>
      <c r="G345" s="13" t="str">
        <f>IF(B345="","",IF(M345,"⚠ Duplicate (not counted)",IF(AND(I345="",D345="",E345=""),"— ignored",IF(C345="","⚠ Time",IF(D345="","⚠ Plant",IF(E345="","⚠ Quantity",IF(AND(ISNUMBER(L345),COUNTIF(L$1:L344,L345)&gt;0),"⚠ Same serial "&amp;L345,IF(AND(ISNUMBER(L345),L345&gt;MIN($L$2:$L$1001),COUNTIF($L$2:$L$1001,L345-1)=0,COUNTIF($L$2:$L$1001,L345-2)&lt;2),"⚠ Missing serial "&amp;(L345-1),IF(AND(MAX(K$1:K344)&gt;0,N(K345)-MAX(K$1:K344)&gt;180),"⚠ Gap &gt; 3h",IF(C345-I345&gt;=0.99,"next day",IF(C345-I345&gt;0.4,"12h → 24h","")))))))))))</f>
        <v/>
      </c>
      <c r="H345" s="4" t="str">
        <f t="shared" si="25"/>
        <v/>
      </c>
      <c r="I345" s="5" t="str">
        <f t="shared" si="26"/>
        <v/>
      </c>
      <c r="J345" s="6">
        <f t="shared" si="27"/>
        <v>0</v>
      </c>
      <c r="K345" s="4" t="str">
        <f t="shared" si="28"/>
        <v/>
      </c>
      <c r="L345" s="4" t="str">
        <f t="shared" si="29"/>
        <v/>
      </c>
      <c r="M345" s="4" t="b" cm="1">
        <f t="array" ref="M345">IF(H345="",FALSE,SUMPRODUCT(--(H$1:H344=H345))&gt;0)</f>
        <v>0</v>
      </c>
    </row>
    <row r="346" spans="1:13" x14ac:dyDescent="0.25">
      <c r="A346" s="9" t="str">
        <f>IF(OR(B346="",M346,G346="— ignored"),"",MAX(A$1:A345)+1)</f>
        <v/>
      </c>
      <c r="B346" s="10"/>
      <c r="C346" s="11" t="str">
        <f>IF(I346="","",ROUND((I346+0.5*MAX(0,CEILING(ROUND((MAX(C$1:C345)-1/48-I346)/0.5,6),1)))*1440,0)/1440)</f>
        <v/>
      </c>
      <c r="D346" s="9" t="str" cm="1">
        <f t="array" ref="D346">IF(H346="","",IFERROR(INDEX(Log!$C$19:$G$19,VALUE(MID(H346,FIND("#",H346)+1,1))),""))</f>
        <v/>
      </c>
      <c r="E346" s="9" t="str" cm="1">
        <f t="array" ref="E346">IF(OR(H346="",M346),"",IFERROR(_xlfn.LET(_xlpm.t,SUBSTITUTE(UPPER(H346),"م","M"),_xlpm.u,SUBSTITUTE(_xlpm.t,"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46" s="12"/>
      <c r="G346" s="13" t="str">
        <f>IF(B346="","",IF(M346,"⚠ Duplicate (not counted)",IF(AND(I346="",D346="",E346=""),"— ignored",IF(C346="","⚠ Time",IF(D346="","⚠ Plant",IF(E346="","⚠ Quantity",IF(AND(ISNUMBER(L346),COUNTIF(L$1:L345,L346)&gt;0),"⚠ Same serial "&amp;L346,IF(AND(ISNUMBER(L346),L346&gt;MIN($L$2:$L$1001),COUNTIF($L$2:$L$1001,L346-1)=0,COUNTIF($L$2:$L$1001,L346-2)&lt;2),"⚠ Missing serial "&amp;(L346-1),IF(AND(MAX(K$1:K345)&gt;0,N(K346)-MAX(K$1:K345)&gt;180),"⚠ Gap &gt; 3h",IF(C346-I346&gt;=0.99,"next day",IF(C346-I346&gt;0.4,"12h → 24h","")))))))))))</f>
        <v/>
      </c>
      <c r="H346" s="4" t="str">
        <f t="shared" si="25"/>
        <v/>
      </c>
      <c r="I346" s="5" t="str">
        <f t="shared" si="26"/>
        <v/>
      </c>
      <c r="J346" s="6">
        <f t="shared" si="27"/>
        <v>0</v>
      </c>
      <c r="K346" s="4" t="str">
        <f t="shared" si="28"/>
        <v/>
      </c>
      <c r="L346" s="4" t="str">
        <f t="shared" si="29"/>
        <v/>
      </c>
      <c r="M346" s="4" t="b" cm="1">
        <f t="array" ref="M346">IF(H346="",FALSE,SUMPRODUCT(--(H$1:H345=H346))&gt;0)</f>
        <v>0</v>
      </c>
    </row>
    <row r="347" spans="1:13" x14ac:dyDescent="0.25">
      <c r="A347" s="9" t="str">
        <f>IF(OR(B347="",M347,G347="— ignored"),"",MAX(A$1:A346)+1)</f>
        <v/>
      </c>
      <c r="B347" s="10"/>
      <c r="C347" s="11" t="str">
        <f>IF(I347="","",ROUND((I347+0.5*MAX(0,CEILING(ROUND((MAX(C$1:C346)-1/48-I347)/0.5,6),1)))*1440,0)/1440)</f>
        <v/>
      </c>
      <c r="D347" s="9" t="str" cm="1">
        <f t="array" ref="D347">IF(H347="","",IFERROR(INDEX(Log!$C$19:$G$19,VALUE(MID(H347,FIND("#",H347)+1,1))),""))</f>
        <v/>
      </c>
      <c r="E347" s="9" t="str" cm="1">
        <f t="array" ref="E347">IF(OR(H347="",M347),"",IFERROR(_xlfn.LET(_xlpm.t,SUBSTITUTE(UPPER(H347),"م","M"),_xlpm.u,SUBSTITUTE(_xlpm.t,"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47" s="12"/>
      <c r="G347" s="13" t="str">
        <f>IF(B347="","",IF(M347,"⚠ Duplicate (not counted)",IF(AND(I347="",D347="",E347=""),"— ignored",IF(C347="","⚠ Time",IF(D347="","⚠ Plant",IF(E347="","⚠ Quantity",IF(AND(ISNUMBER(L347),COUNTIF(L$1:L346,L347)&gt;0),"⚠ Same serial "&amp;L347,IF(AND(ISNUMBER(L347),L347&gt;MIN($L$2:$L$1001),COUNTIF($L$2:$L$1001,L347-1)=0,COUNTIF($L$2:$L$1001,L347-2)&lt;2),"⚠ Missing serial "&amp;(L347-1),IF(AND(MAX(K$1:K346)&gt;0,N(K347)-MAX(K$1:K346)&gt;180),"⚠ Gap &gt; 3h",IF(C347-I347&gt;=0.99,"next day",IF(C347-I347&gt;0.4,"12h → 24h","")))))))))))</f>
        <v/>
      </c>
      <c r="H347" s="4" t="str">
        <f t="shared" si="25"/>
        <v/>
      </c>
      <c r="I347" s="5" t="str">
        <f t="shared" si="26"/>
        <v/>
      </c>
      <c r="J347" s="6">
        <f t="shared" si="27"/>
        <v>0</v>
      </c>
      <c r="K347" s="4" t="str">
        <f t="shared" si="28"/>
        <v/>
      </c>
      <c r="L347" s="4" t="str">
        <f t="shared" si="29"/>
        <v/>
      </c>
      <c r="M347" s="4" t="b" cm="1">
        <f t="array" ref="M347">IF(H347="",FALSE,SUMPRODUCT(--(H$1:H346=H347))&gt;0)</f>
        <v>0</v>
      </c>
    </row>
    <row r="348" spans="1:13" x14ac:dyDescent="0.25">
      <c r="A348" s="9" t="str">
        <f>IF(OR(B348="",M348,G348="— ignored"),"",MAX(A$1:A347)+1)</f>
        <v/>
      </c>
      <c r="B348" s="10"/>
      <c r="C348" s="11" t="str">
        <f>IF(I348="","",ROUND((I348+0.5*MAX(0,CEILING(ROUND((MAX(C$1:C347)-1/48-I348)/0.5,6),1)))*1440,0)/1440)</f>
        <v/>
      </c>
      <c r="D348" s="9" t="str" cm="1">
        <f t="array" ref="D348">IF(H348="","",IFERROR(INDEX(Log!$C$19:$G$19,VALUE(MID(H348,FIND("#",H348)+1,1))),""))</f>
        <v/>
      </c>
      <c r="E348" s="9" t="str" cm="1">
        <f t="array" ref="E348">IF(OR(H348="",M348),"",IFERROR(_xlfn.LET(_xlpm.t,SUBSTITUTE(UPPER(H348),"م","M"),_xlpm.u,SUBSTITUTE(_xlpm.t,"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48" s="12"/>
      <c r="G348" s="13" t="str">
        <f>IF(B348="","",IF(M348,"⚠ Duplicate (not counted)",IF(AND(I348="",D348="",E348=""),"— ignored",IF(C348="","⚠ Time",IF(D348="","⚠ Plant",IF(E348="","⚠ Quantity",IF(AND(ISNUMBER(L348),COUNTIF(L$1:L347,L348)&gt;0),"⚠ Same serial "&amp;L348,IF(AND(ISNUMBER(L348),L348&gt;MIN($L$2:$L$1001),COUNTIF($L$2:$L$1001,L348-1)=0,COUNTIF($L$2:$L$1001,L348-2)&lt;2),"⚠ Missing serial "&amp;(L348-1),IF(AND(MAX(K$1:K347)&gt;0,N(K348)-MAX(K$1:K347)&gt;180),"⚠ Gap &gt; 3h",IF(C348-I348&gt;=0.99,"next day",IF(C348-I348&gt;0.4,"12h → 24h","")))))))))))</f>
        <v/>
      </c>
      <c r="H348" s="4" t="str">
        <f t="shared" si="25"/>
        <v/>
      </c>
      <c r="I348" s="5" t="str">
        <f t="shared" si="26"/>
        <v/>
      </c>
      <c r="J348" s="6">
        <f t="shared" si="27"/>
        <v>0</v>
      </c>
      <c r="K348" s="4" t="str">
        <f t="shared" si="28"/>
        <v/>
      </c>
      <c r="L348" s="4" t="str">
        <f t="shared" si="29"/>
        <v/>
      </c>
      <c r="M348" s="4" t="b" cm="1">
        <f t="array" ref="M348">IF(H348="",FALSE,SUMPRODUCT(--(H$1:H347=H348))&gt;0)</f>
        <v>0</v>
      </c>
    </row>
    <row r="349" spans="1:13" x14ac:dyDescent="0.25">
      <c r="A349" s="9" t="str">
        <f>IF(OR(B349="",M349,G349="— ignored"),"",MAX(A$1:A348)+1)</f>
        <v/>
      </c>
      <c r="B349" s="10"/>
      <c r="C349" s="11" t="str">
        <f>IF(I349="","",ROUND((I349+0.5*MAX(0,CEILING(ROUND((MAX(C$1:C348)-1/48-I349)/0.5,6),1)))*1440,0)/1440)</f>
        <v/>
      </c>
      <c r="D349" s="9" t="str" cm="1">
        <f t="array" ref="D349">IF(H349="","",IFERROR(INDEX(Log!$C$19:$G$19,VALUE(MID(H349,FIND("#",H349)+1,1))),""))</f>
        <v/>
      </c>
      <c r="E349" s="9" t="str" cm="1">
        <f t="array" ref="E349">IF(OR(H349="",M349),"",IFERROR(_xlfn.LET(_xlpm.t,SUBSTITUTE(UPPER(H349),"م","M"),_xlpm.u,SUBSTITUTE(_xlpm.t,"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49" s="12"/>
      <c r="G349" s="13" t="str">
        <f>IF(B349="","",IF(M349,"⚠ Duplicate (not counted)",IF(AND(I349="",D349="",E349=""),"— ignored",IF(C349="","⚠ Time",IF(D349="","⚠ Plant",IF(E349="","⚠ Quantity",IF(AND(ISNUMBER(L349),COUNTIF(L$1:L348,L349)&gt;0),"⚠ Same serial "&amp;L349,IF(AND(ISNUMBER(L349),L349&gt;MIN($L$2:$L$1001),COUNTIF($L$2:$L$1001,L349-1)=0,COUNTIF($L$2:$L$1001,L349-2)&lt;2),"⚠ Missing serial "&amp;(L349-1),IF(AND(MAX(K$1:K348)&gt;0,N(K349)-MAX(K$1:K348)&gt;180),"⚠ Gap &gt; 3h",IF(C349-I349&gt;=0.99,"next day",IF(C349-I349&gt;0.4,"12h → 24h","")))))))))))</f>
        <v/>
      </c>
      <c r="H349" s="4" t="str">
        <f t="shared" si="25"/>
        <v/>
      </c>
      <c r="I349" s="5" t="str">
        <f t="shared" si="26"/>
        <v/>
      </c>
      <c r="J349" s="6">
        <f t="shared" si="27"/>
        <v>0</v>
      </c>
      <c r="K349" s="4" t="str">
        <f t="shared" si="28"/>
        <v/>
      </c>
      <c r="L349" s="4" t="str">
        <f t="shared" si="29"/>
        <v/>
      </c>
      <c r="M349" s="4" t="b" cm="1">
        <f t="array" ref="M349">IF(H349="",FALSE,SUMPRODUCT(--(H$1:H348=H349))&gt;0)</f>
        <v>0</v>
      </c>
    </row>
    <row r="350" spans="1:13" x14ac:dyDescent="0.25">
      <c r="A350" s="9" t="str">
        <f>IF(OR(B350="",M350,G350="— ignored"),"",MAX(A$1:A349)+1)</f>
        <v/>
      </c>
      <c r="B350" s="10"/>
      <c r="C350" s="11" t="str">
        <f>IF(I350="","",ROUND((I350+0.5*MAX(0,CEILING(ROUND((MAX(C$1:C349)-1/48-I350)/0.5,6),1)))*1440,0)/1440)</f>
        <v/>
      </c>
      <c r="D350" s="9" t="str" cm="1">
        <f t="array" ref="D350">IF(H350="","",IFERROR(INDEX(Log!$C$19:$G$19,VALUE(MID(H350,FIND("#",H350)+1,1))),""))</f>
        <v/>
      </c>
      <c r="E350" s="9" t="str" cm="1">
        <f t="array" ref="E350">IF(OR(H350="",M350),"",IFERROR(_xlfn.LET(_xlpm.t,SUBSTITUTE(UPPER(H350),"م","M"),_xlpm.u,SUBSTITUTE(_xlpm.t,"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50" s="12"/>
      <c r="G350" s="13" t="str">
        <f>IF(B350="","",IF(M350,"⚠ Duplicate (not counted)",IF(AND(I350="",D350="",E350=""),"— ignored",IF(C350="","⚠ Time",IF(D350="","⚠ Plant",IF(E350="","⚠ Quantity",IF(AND(ISNUMBER(L350),COUNTIF(L$1:L349,L350)&gt;0),"⚠ Same serial "&amp;L350,IF(AND(ISNUMBER(L350),L350&gt;MIN($L$2:$L$1001),COUNTIF($L$2:$L$1001,L350-1)=0,COUNTIF($L$2:$L$1001,L350-2)&lt;2),"⚠ Missing serial "&amp;(L350-1),IF(AND(MAX(K$1:K349)&gt;0,N(K350)-MAX(K$1:K349)&gt;180),"⚠ Gap &gt; 3h",IF(C350-I350&gt;=0.99,"next day",IF(C350-I350&gt;0.4,"12h → 24h","")))))))))))</f>
        <v/>
      </c>
      <c r="H350" s="4" t="str">
        <f t="shared" si="25"/>
        <v/>
      </c>
      <c r="I350" s="5" t="str">
        <f t="shared" si="26"/>
        <v/>
      </c>
      <c r="J350" s="6">
        <f t="shared" si="27"/>
        <v>0</v>
      </c>
      <c r="K350" s="4" t="str">
        <f t="shared" si="28"/>
        <v/>
      </c>
      <c r="L350" s="4" t="str">
        <f t="shared" si="29"/>
        <v/>
      </c>
      <c r="M350" s="4" t="b" cm="1">
        <f t="array" ref="M350">IF(H350="",FALSE,SUMPRODUCT(--(H$1:H349=H350))&gt;0)</f>
        <v>0</v>
      </c>
    </row>
    <row r="351" spans="1:13" x14ac:dyDescent="0.25">
      <c r="A351" s="9" t="str">
        <f>IF(OR(B351="",M351,G351="— ignored"),"",MAX(A$1:A350)+1)</f>
        <v/>
      </c>
      <c r="B351" s="10"/>
      <c r="C351" s="11" t="str">
        <f>IF(I351="","",ROUND((I351+0.5*MAX(0,CEILING(ROUND((MAX(C$1:C350)-1/48-I351)/0.5,6),1)))*1440,0)/1440)</f>
        <v/>
      </c>
      <c r="D351" s="9" t="str" cm="1">
        <f t="array" ref="D351">IF(H351="","",IFERROR(INDEX(Log!$C$19:$G$19,VALUE(MID(H351,FIND("#",H351)+1,1))),""))</f>
        <v/>
      </c>
      <c r="E351" s="9" t="str" cm="1">
        <f t="array" ref="E351">IF(OR(H351="",M351),"",IFERROR(_xlfn.LET(_xlpm.t,SUBSTITUTE(UPPER(H351),"م","M"),_xlpm.u,SUBSTITUTE(_xlpm.t,"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51" s="12"/>
      <c r="G351" s="13" t="str">
        <f>IF(B351="","",IF(M351,"⚠ Duplicate (not counted)",IF(AND(I351="",D351="",E351=""),"— ignored",IF(C351="","⚠ Time",IF(D351="","⚠ Plant",IF(E351="","⚠ Quantity",IF(AND(ISNUMBER(L351),COUNTIF(L$1:L350,L351)&gt;0),"⚠ Same serial "&amp;L351,IF(AND(ISNUMBER(L351),L351&gt;MIN($L$2:$L$1001),COUNTIF($L$2:$L$1001,L351-1)=0,COUNTIF($L$2:$L$1001,L351-2)&lt;2),"⚠ Missing serial "&amp;(L351-1),IF(AND(MAX(K$1:K350)&gt;0,N(K351)-MAX(K$1:K350)&gt;180),"⚠ Gap &gt; 3h",IF(C351-I351&gt;=0.99,"next day",IF(C351-I351&gt;0.4,"12h → 24h","")))))))))))</f>
        <v/>
      </c>
      <c r="H351" s="4" t="str">
        <f t="shared" si="25"/>
        <v/>
      </c>
      <c r="I351" s="5" t="str">
        <f t="shared" si="26"/>
        <v/>
      </c>
      <c r="J351" s="6">
        <f t="shared" si="27"/>
        <v>0</v>
      </c>
      <c r="K351" s="4" t="str">
        <f t="shared" si="28"/>
        <v/>
      </c>
      <c r="L351" s="4" t="str">
        <f t="shared" si="29"/>
        <v/>
      </c>
      <c r="M351" s="4" t="b" cm="1">
        <f t="array" ref="M351">IF(H351="",FALSE,SUMPRODUCT(--(H$1:H350=H351))&gt;0)</f>
        <v>0</v>
      </c>
    </row>
    <row r="352" spans="1:13" x14ac:dyDescent="0.25">
      <c r="A352" s="9" t="str">
        <f>IF(OR(B352="",M352,G352="— ignored"),"",MAX(A$1:A351)+1)</f>
        <v/>
      </c>
      <c r="B352" s="10"/>
      <c r="C352" s="11" t="str">
        <f>IF(I352="","",ROUND((I352+0.5*MAX(0,CEILING(ROUND((MAX(C$1:C351)-1/48-I352)/0.5,6),1)))*1440,0)/1440)</f>
        <v/>
      </c>
      <c r="D352" s="9" t="str" cm="1">
        <f t="array" ref="D352">IF(H352="","",IFERROR(INDEX(Log!$C$19:$G$19,VALUE(MID(H352,FIND("#",H352)+1,1))),""))</f>
        <v/>
      </c>
      <c r="E352" s="9" t="str" cm="1">
        <f t="array" ref="E352">IF(OR(H352="",M352),"",IFERROR(_xlfn.LET(_xlpm.t,SUBSTITUTE(UPPER(H352),"م","M"),_xlpm.u,SUBSTITUTE(_xlpm.t,"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52" s="12"/>
      <c r="G352" s="13" t="str">
        <f>IF(B352="","",IF(M352,"⚠ Duplicate (not counted)",IF(AND(I352="",D352="",E352=""),"— ignored",IF(C352="","⚠ Time",IF(D352="","⚠ Plant",IF(E352="","⚠ Quantity",IF(AND(ISNUMBER(L352),COUNTIF(L$1:L351,L352)&gt;0),"⚠ Same serial "&amp;L352,IF(AND(ISNUMBER(L352),L352&gt;MIN($L$2:$L$1001),COUNTIF($L$2:$L$1001,L352-1)=0,COUNTIF($L$2:$L$1001,L352-2)&lt;2),"⚠ Missing serial "&amp;(L352-1),IF(AND(MAX(K$1:K351)&gt;0,N(K352)-MAX(K$1:K351)&gt;180),"⚠ Gap &gt; 3h",IF(C352-I352&gt;=0.99,"next day",IF(C352-I352&gt;0.4,"12h → 24h","")))))))))))</f>
        <v/>
      </c>
      <c r="H352" s="4" t="str">
        <f t="shared" si="25"/>
        <v/>
      </c>
      <c r="I352" s="5" t="str">
        <f t="shared" si="26"/>
        <v/>
      </c>
      <c r="J352" s="6">
        <f t="shared" si="27"/>
        <v>0</v>
      </c>
      <c r="K352" s="4" t="str">
        <f t="shared" si="28"/>
        <v/>
      </c>
      <c r="L352" s="4" t="str">
        <f t="shared" si="29"/>
        <v/>
      </c>
      <c r="M352" s="4" t="b" cm="1">
        <f t="array" ref="M352">IF(H352="",FALSE,SUMPRODUCT(--(H$1:H351=H352))&gt;0)</f>
        <v>0</v>
      </c>
    </row>
    <row r="353" spans="1:13" x14ac:dyDescent="0.25">
      <c r="A353" s="9" t="str">
        <f>IF(OR(B353="",M353,G353="— ignored"),"",MAX(A$1:A352)+1)</f>
        <v/>
      </c>
      <c r="B353" s="10"/>
      <c r="C353" s="11" t="str">
        <f>IF(I353="","",ROUND((I353+0.5*MAX(0,CEILING(ROUND((MAX(C$1:C352)-1/48-I353)/0.5,6),1)))*1440,0)/1440)</f>
        <v/>
      </c>
      <c r="D353" s="9" t="str" cm="1">
        <f t="array" ref="D353">IF(H353="","",IFERROR(INDEX(Log!$C$19:$G$19,VALUE(MID(H353,FIND("#",H353)+1,1))),""))</f>
        <v/>
      </c>
      <c r="E353" s="9" t="str" cm="1">
        <f t="array" ref="E353">IF(OR(H353="",M353),"",IFERROR(_xlfn.LET(_xlpm.t,SUBSTITUTE(UPPER(H353),"م","M"),_xlpm.u,SUBSTITUTE(_xlpm.t,"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53" s="12"/>
      <c r="G353" s="13" t="str">
        <f>IF(B353="","",IF(M353,"⚠ Duplicate (not counted)",IF(AND(I353="",D353="",E353=""),"— ignored",IF(C353="","⚠ Time",IF(D353="","⚠ Plant",IF(E353="","⚠ Quantity",IF(AND(ISNUMBER(L353),COUNTIF(L$1:L352,L353)&gt;0),"⚠ Same serial "&amp;L353,IF(AND(ISNUMBER(L353),L353&gt;MIN($L$2:$L$1001),COUNTIF($L$2:$L$1001,L353-1)=0,COUNTIF($L$2:$L$1001,L353-2)&lt;2),"⚠ Missing serial "&amp;(L353-1),IF(AND(MAX(K$1:K352)&gt;0,N(K353)-MAX(K$1:K352)&gt;180),"⚠ Gap &gt; 3h",IF(C353-I353&gt;=0.99,"next day",IF(C353-I353&gt;0.4,"12h → 24h","")))))))))))</f>
        <v/>
      </c>
      <c r="H353" s="4" t="str">
        <f t="shared" si="25"/>
        <v/>
      </c>
      <c r="I353" s="5" t="str">
        <f t="shared" si="26"/>
        <v/>
      </c>
      <c r="J353" s="6">
        <f t="shared" si="27"/>
        <v>0</v>
      </c>
      <c r="K353" s="4" t="str">
        <f t="shared" si="28"/>
        <v/>
      </c>
      <c r="L353" s="4" t="str">
        <f t="shared" si="29"/>
        <v/>
      </c>
      <c r="M353" s="4" t="b" cm="1">
        <f t="array" ref="M353">IF(H353="",FALSE,SUMPRODUCT(--(H$1:H352=H353))&gt;0)</f>
        <v>0</v>
      </c>
    </row>
    <row r="354" spans="1:13" x14ac:dyDescent="0.25">
      <c r="A354" s="9" t="str">
        <f>IF(OR(B354="",M354,G354="— ignored"),"",MAX(A$1:A353)+1)</f>
        <v/>
      </c>
      <c r="B354" s="10"/>
      <c r="C354" s="11" t="str">
        <f>IF(I354="","",ROUND((I354+0.5*MAX(0,CEILING(ROUND((MAX(C$1:C353)-1/48-I354)/0.5,6),1)))*1440,0)/1440)</f>
        <v/>
      </c>
      <c r="D354" s="9" t="str" cm="1">
        <f t="array" ref="D354">IF(H354="","",IFERROR(INDEX(Log!$C$19:$G$19,VALUE(MID(H354,FIND("#",H354)+1,1))),""))</f>
        <v/>
      </c>
      <c r="E354" s="9" t="str" cm="1">
        <f t="array" ref="E354">IF(OR(H354="",M354),"",IFERROR(_xlfn.LET(_xlpm.t,SUBSTITUTE(UPPER(H354),"م","M"),_xlpm.u,SUBSTITUTE(_xlpm.t,"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54" s="12"/>
      <c r="G354" s="13" t="str">
        <f>IF(B354="","",IF(M354,"⚠ Duplicate (not counted)",IF(AND(I354="",D354="",E354=""),"— ignored",IF(C354="","⚠ Time",IF(D354="","⚠ Plant",IF(E354="","⚠ Quantity",IF(AND(ISNUMBER(L354),COUNTIF(L$1:L353,L354)&gt;0),"⚠ Same serial "&amp;L354,IF(AND(ISNUMBER(L354),L354&gt;MIN($L$2:$L$1001),COUNTIF($L$2:$L$1001,L354-1)=0,COUNTIF($L$2:$L$1001,L354-2)&lt;2),"⚠ Missing serial "&amp;(L354-1),IF(AND(MAX(K$1:K353)&gt;0,N(K354)-MAX(K$1:K353)&gt;180),"⚠ Gap &gt; 3h",IF(C354-I354&gt;=0.99,"next day",IF(C354-I354&gt;0.4,"12h → 24h","")))))))))))</f>
        <v/>
      </c>
      <c r="H354" s="4" t="str">
        <f t="shared" si="25"/>
        <v/>
      </c>
      <c r="I354" s="5" t="str">
        <f t="shared" si="26"/>
        <v/>
      </c>
      <c r="J354" s="6">
        <f t="shared" si="27"/>
        <v>0</v>
      </c>
      <c r="K354" s="4" t="str">
        <f t="shared" si="28"/>
        <v/>
      </c>
      <c r="L354" s="4" t="str">
        <f t="shared" si="29"/>
        <v/>
      </c>
      <c r="M354" s="4" t="b" cm="1">
        <f t="array" ref="M354">IF(H354="",FALSE,SUMPRODUCT(--(H$1:H353=H354))&gt;0)</f>
        <v>0</v>
      </c>
    </row>
    <row r="355" spans="1:13" x14ac:dyDescent="0.25">
      <c r="A355" s="9" t="str">
        <f>IF(OR(B355="",M355,G355="— ignored"),"",MAX(A$1:A354)+1)</f>
        <v/>
      </c>
      <c r="B355" s="10"/>
      <c r="C355" s="11" t="str">
        <f>IF(I355="","",ROUND((I355+0.5*MAX(0,CEILING(ROUND((MAX(C$1:C354)-1/48-I355)/0.5,6),1)))*1440,0)/1440)</f>
        <v/>
      </c>
      <c r="D355" s="9" t="str" cm="1">
        <f t="array" ref="D355">IF(H355="","",IFERROR(INDEX(Log!$C$19:$G$19,VALUE(MID(H355,FIND("#",H355)+1,1))),""))</f>
        <v/>
      </c>
      <c r="E355" s="9" t="str" cm="1">
        <f t="array" ref="E355">IF(OR(H355="",M355),"",IFERROR(_xlfn.LET(_xlpm.t,SUBSTITUTE(UPPER(H355),"م","M"),_xlpm.u,SUBSTITUTE(_xlpm.t,"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55" s="12"/>
      <c r="G355" s="13" t="str">
        <f>IF(B355="","",IF(M355,"⚠ Duplicate (not counted)",IF(AND(I355="",D355="",E355=""),"— ignored",IF(C355="","⚠ Time",IF(D355="","⚠ Plant",IF(E355="","⚠ Quantity",IF(AND(ISNUMBER(L355),COUNTIF(L$1:L354,L355)&gt;0),"⚠ Same serial "&amp;L355,IF(AND(ISNUMBER(L355),L355&gt;MIN($L$2:$L$1001),COUNTIF($L$2:$L$1001,L355-1)=0,COUNTIF($L$2:$L$1001,L355-2)&lt;2),"⚠ Missing serial "&amp;(L355-1),IF(AND(MAX(K$1:K354)&gt;0,N(K355)-MAX(K$1:K354)&gt;180),"⚠ Gap &gt; 3h",IF(C355-I355&gt;=0.99,"next day",IF(C355-I355&gt;0.4,"12h → 24h","")))))))))))</f>
        <v/>
      </c>
      <c r="H355" s="4" t="str">
        <f t="shared" si="25"/>
        <v/>
      </c>
      <c r="I355" s="5" t="str">
        <f t="shared" si="26"/>
        <v/>
      </c>
      <c r="J355" s="6">
        <f t="shared" si="27"/>
        <v>0</v>
      </c>
      <c r="K355" s="4" t="str">
        <f t="shared" si="28"/>
        <v/>
      </c>
      <c r="L355" s="4" t="str">
        <f t="shared" si="29"/>
        <v/>
      </c>
      <c r="M355" s="4" t="b" cm="1">
        <f t="array" ref="M355">IF(H355="",FALSE,SUMPRODUCT(--(H$1:H354=H355))&gt;0)</f>
        <v>0</v>
      </c>
    </row>
    <row r="356" spans="1:13" x14ac:dyDescent="0.25">
      <c r="A356" s="9" t="str">
        <f>IF(OR(B356="",M356,G356="— ignored"),"",MAX(A$1:A355)+1)</f>
        <v/>
      </c>
      <c r="B356" s="10"/>
      <c r="C356" s="11" t="str">
        <f>IF(I356="","",ROUND((I356+0.5*MAX(0,CEILING(ROUND((MAX(C$1:C355)-1/48-I356)/0.5,6),1)))*1440,0)/1440)</f>
        <v/>
      </c>
      <c r="D356" s="9" t="str" cm="1">
        <f t="array" ref="D356">IF(H356="","",IFERROR(INDEX(Log!$C$19:$G$19,VALUE(MID(H356,FIND("#",H356)+1,1))),""))</f>
        <v/>
      </c>
      <c r="E356" s="9" t="str" cm="1">
        <f t="array" ref="E356">IF(OR(H356="",M356),"",IFERROR(_xlfn.LET(_xlpm.t,SUBSTITUTE(UPPER(H356),"م","M"),_xlpm.u,SUBSTITUTE(_xlpm.t,"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56" s="12"/>
      <c r="G356" s="13" t="str">
        <f>IF(B356="","",IF(M356,"⚠ Duplicate (not counted)",IF(AND(I356="",D356="",E356=""),"— ignored",IF(C356="","⚠ Time",IF(D356="","⚠ Plant",IF(E356="","⚠ Quantity",IF(AND(ISNUMBER(L356),COUNTIF(L$1:L355,L356)&gt;0),"⚠ Same serial "&amp;L356,IF(AND(ISNUMBER(L356),L356&gt;MIN($L$2:$L$1001),COUNTIF($L$2:$L$1001,L356-1)=0,COUNTIF($L$2:$L$1001,L356-2)&lt;2),"⚠ Missing serial "&amp;(L356-1),IF(AND(MAX(K$1:K355)&gt;0,N(K356)-MAX(K$1:K355)&gt;180),"⚠ Gap &gt; 3h",IF(C356-I356&gt;=0.99,"next day",IF(C356-I356&gt;0.4,"12h → 24h","")))))))))))</f>
        <v/>
      </c>
      <c r="H356" s="4" t="str">
        <f t="shared" si="25"/>
        <v/>
      </c>
      <c r="I356" s="5" t="str">
        <f t="shared" si="26"/>
        <v/>
      </c>
      <c r="J356" s="6">
        <f t="shared" si="27"/>
        <v>0</v>
      </c>
      <c r="K356" s="4" t="str">
        <f t="shared" si="28"/>
        <v/>
      </c>
      <c r="L356" s="4" t="str">
        <f t="shared" si="29"/>
        <v/>
      </c>
      <c r="M356" s="4" t="b" cm="1">
        <f t="array" ref="M356">IF(H356="",FALSE,SUMPRODUCT(--(H$1:H355=H356))&gt;0)</f>
        <v>0</v>
      </c>
    </row>
    <row r="357" spans="1:13" x14ac:dyDescent="0.25">
      <c r="A357" s="9" t="str">
        <f>IF(OR(B357="",M357,G357="— ignored"),"",MAX(A$1:A356)+1)</f>
        <v/>
      </c>
      <c r="B357" s="10"/>
      <c r="C357" s="11" t="str">
        <f>IF(I357="","",ROUND((I357+0.5*MAX(0,CEILING(ROUND((MAX(C$1:C356)-1/48-I357)/0.5,6),1)))*1440,0)/1440)</f>
        <v/>
      </c>
      <c r="D357" s="9" t="str" cm="1">
        <f t="array" ref="D357">IF(H357="","",IFERROR(INDEX(Log!$C$19:$G$19,VALUE(MID(H357,FIND("#",H357)+1,1))),""))</f>
        <v/>
      </c>
      <c r="E357" s="9" t="str" cm="1">
        <f t="array" ref="E357">IF(OR(H357="",M357),"",IFERROR(_xlfn.LET(_xlpm.t,SUBSTITUTE(UPPER(H357),"م","M"),_xlpm.u,SUBSTITUTE(_xlpm.t,"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57" s="12"/>
      <c r="G357" s="13" t="str">
        <f>IF(B357="","",IF(M357,"⚠ Duplicate (not counted)",IF(AND(I357="",D357="",E357=""),"— ignored",IF(C357="","⚠ Time",IF(D357="","⚠ Plant",IF(E357="","⚠ Quantity",IF(AND(ISNUMBER(L357),COUNTIF(L$1:L356,L357)&gt;0),"⚠ Same serial "&amp;L357,IF(AND(ISNUMBER(L357),L357&gt;MIN($L$2:$L$1001),COUNTIF($L$2:$L$1001,L357-1)=0,COUNTIF($L$2:$L$1001,L357-2)&lt;2),"⚠ Missing serial "&amp;(L357-1),IF(AND(MAX(K$1:K356)&gt;0,N(K357)-MAX(K$1:K356)&gt;180),"⚠ Gap &gt; 3h",IF(C357-I357&gt;=0.99,"next day",IF(C357-I357&gt;0.4,"12h → 24h","")))))))))))</f>
        <v/>
      </c>
      <c r="H357" s="4" t="str">
        <f t="shared" si="25"/>
        <v/>
      </c>
      <c r="I357" s="5" t="str">
        <f t="shared" si="26"/>
        <v/>
      </c>
      <c r="J357" s="6">
        <f t="shared" si="27"/>
        <v>0</v>
      </c>
      <c r="K357" s="4" t="str">
        <f t="shared" si="28"/>
        <v/>
      </c>
      <c r="L357" s="4" t="str">
        <f t="shared" si="29"/>
        <v/>
      </c>
      <c r="M357" s="4" t="b" cm="1">
        <f t="array" ref="M357">IF(H357="",FALSE,SUMPRODUCT(--(H$1:H356=H357))&gt;0)</f>
        <v>0</v>
      </c>
    </row>
    <row r="358" spans="1:13" x14ac:dyDescent="0.25">
      <c r="A358" s="9" t="str">
        <f>IF(OR(B358="",M358,G358="— ignored"),"",MAX(A$1:A357)+1)</f>
        <v/>
      </c>
      <c r="B358" s="10"/>
      <c r="C358" s="11" t="str">
        <f>IF(I358="","",ROUND((I358+0.5*MAX(0,CEILING(ROUND((MAX(C$1:C357)-1/48-I358)/0.5,6),1)))*1440,0)/1440)</f>
        <v/>
      </c>
      <c r="D358" s="9" t="str" cm="1">
        <f t="array" ref="D358">IF(H358="","",IFERROR(INDEX(Log!$C$19:$G$19,VALUE(MID(H358,FIND("#",H358)+1,1))),""))</f>
        <v/>
      </c>
      <c r="E358" s="9" t="str" cm="1">
        <f t="array" ref="E358">IF(OR(H358="",M358),"",IFERROR(_xlfn.LET(_xlpm.t,SUBSTITUTE(UPPER(H358),"م","M"),_xlpm.u,SUBSTITUTE(_xlpm.t,"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58" s="12"/>
      <c r="G358" s="13" t="str">
        <f>IF(B358="","",IF(M358,"⚠ Duplicate (not counted)",IF(AND(I358="",D358="",E358=""),"— ignored",IF(C358="","⚠ Time",IF(D358="","⚠ Plant",IF(E358="","⚠ Quantity",IF(AND(ISNUMBER(L358),COUNTIF(L$1:L357,L358)&gt;0),"⚠ Same serial "&amp;L358,IF(AND(ISNUMBER(L358),L358&gt;MIN($L$2:$L$1001),COUNTIF($L$2:$L$1001,L358-1)=0,COUNTIF($L$2:$L$1001,L358-2)&lt;2),"⚠ Missing serial "&amp;(L358-1),IF(AND(MAX(K$1:K357)&gt;0,N(K358)-MAX(K$1:K357)&gt;180),"⚠ Gap &gt; 3h",IF(C358-I358&gt;=0.99,"next day",IF(C358-I358&gt;0.4,"12h → 24h","")))))))))))</f>
        <v/>
      </c>
      <c r="H358" s="4" t="str">
        <f t="shared" si="25"/>
        <v/>
      </c>
      <c r="I358" s="5" t="str">
        <f t="shared" si="26"/>
        <v/>
      </c>
      <c r="J358" s="6">
        <f t="shared" si="27"/>
        <v>0</v>
      </c>
      <c r="K358" s="4" t="str">
        <f t="shared" si="28"/>
        <v/>
      </c>
      <c r="L358" s="4" t="str">
        <f t="shared" si="29"/>
        <v/>
      </c>
      <c r="M358" s="4" t="b" cm="1">
        <f t="array" ref="M358">IF(H358="",FALSE,SUMPRODUCT(--(H$1:H357=H358))&gt;0)</f>
        <v>0</v>
      </c>
    </row>
    <row r="359" spans="1:13" x14ac:dyDescent="0.25">
      <c r="A359" s="9" t="str">
        <f>IF(OR(B359="",M359,G359="— ignored"),"",MAX(A$1:A358)+1)</f>
        <v/>
      </c>
      <c r="B359" s="10"/>
      <c r="C359" s="11" t="str">
        <f>IF(I359="","",ROUND((I359+0.5*MAX(0,CEILING(ROUND((MAX(C$1:C358)-1/48-I359)/0.5,6),1)))*1440,0)/1440)</f>
        <v/>
      </c>
      <c r="D359" s="9" t="str" cm="1">
        <f t="array" ref="D359">IF(H359="","",IFERROR(INDEX(Log!$C$19:$G$19,VALUE(MID(H359,FIND("#",H359)+1,1))),""))</f>
        <v/>
      </c>
      <c r="E359" s="9" t="str" cm="1">
        <f t="array" ref="E359">IF(OR(H359="",M359),"",IFERROR(_xlfn.LET(_xlpm.t,SUBSTITUTE(UPPER(H359),"م","M"),_xlpm.u,SUBSTITUTE(_xlpm.t,"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59" s="12"/>
      <c r="G359" s="13" t="str">
        <f>IF(B359="","",IF(M359,"⚠ Duplicate (not counted)",IF(AND(I359="",D359="",E359=""),"— ignored",IF(C359="","⚠ Time",IF(D359="","⚠ Plant",IF(E359="","⚠ Quantity",IF(AND(ISNUMBER(L359),COUNTIF(L$1:L358,L359)&gt;0),"⚠ Same serial "&amp;L359,IF(AND(ISNUMBER(L359),L359&gt;MIN($L$2:$L$1001),COUNTIF($L$2:$L$1001,L359-1)=0,COUNTIF($L$2:$L$1001,L359-2)&lt;2),"⚠ Missing serial "&amp;(L359-1),IF(AND(MAX(K$1:K358)&gt;0,N(K359)-MAX(K$1:K358)&gt;180),"⚠ Gap &gt; 3h",IF(C359-I359&gt;=0.99,"next day",IF(C359-I359&gt;0.4,"12h → 24h","")))))))))))</f>
        <v/>
      </c>
      <c r="H359" s="4" t="str">
        <f t="shared" si="25"/>
        <v/>
      </c>
      <c r="I359" s="5" t="str">
        <f t="shared" si="26"/>
        <v/>
      </c>
      <c r="J359" s="6">
        <f t="shared" si="27"/>
        <v>0</v>
      </c>
      <c r="K359" s="4" t="str">
        <f t="shared" si="28"/>
        <v/>
      </c>
      <c r="L359" s="4" t="str">
        <f t="shared" si="29"/>
        <v/>
      </c>
      <c r="M359" s="4" t="b" cm="1">
        <f t="array" ref="M359">IF(H359="",FALSE,SUMPRODUCT(--(H$1:H358=H359))&gt;0)</f>
        <v>0</v>
      </c>
    </row>
    <row r="360" spans="1:13" x14ac:dyDescent="0.25">
      <c r="A360" s="9" t="str">
        <f>IF(OR(B360="",M360,G360="— ignored"),"",MAX(A$1:A359)+1)</f>
        <v/>
      </c>
      <c r="B360" s="10"/>
      <c r="C360" s="11" t="str">
        <f>IF(I360="","",ROUND((I360+0.5*MAX(0,CEILING(ROUND((MAX(C$1:C359)-1/48-I360)/0.5,6),1)))*1440,0)/1440)</f>
        <v/>
      </c>
      <c r="D360" s="9" t="str" cm="1">
        <f t="array" ref="D360">IF(H360="","",IFERROR(INDEX(Log!$C$19:$G$19,VALUE(MID(H360,FIND("#",H360)+1,1))),""))</f>
        <v/>
      </c>
      <c r="E360" s="9" t="str" cm="1">
        <f t="array" ref="E360">IF(OR(H360="",M360),"",IFERROR(_xlfn.LET(_xlpm.t,SUBSTITUTE(UPPER(H360),"م","M"),_xlpm.u,SUBSTITUTE(_xlpm.t,"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60" s="12"/>
      <c r="G360" s="13" t="str">
        <f>IF(B360="","",IF(M360,"⚠ Duplicate (not counted)",IF(AND(I360="",D360="",E360=""),"— ignored",IF(C360="","⚠ Time",IF(D360="","⚠ Plant",IF(E360="","⚠ Quantity",IF(AND(ISNUMBER(L360),COUNTIF(L$1:L359,L360)&gt;0),"⚠ Same serial "&amp;L360,IF(AND(ISNUMBER(L360),L360&gt;MIN($L$2:$L$1001),COUNTIF($L$2:$L$1001,L360-1)=0,COUNTIF($L$2:$L$1001,L360-2)&lt;2),"⚠ Missing serial "&amp;(L360-1),IF(AND(MAX(K$1:K359)&gt;0,N(K360)-MAX(K$1:K359)&gt;180),"⚠ Gap &gt; 3h",IF(C360-I360&gt;=0.99,"next day",IF(C360-I360&gt;0.4,"12h → 24h","")))))))))))</f>
        <v/>
      </c>
      <c r="H360" s="4" t="str">
        <f t="shared" si="25"/>
        <v/>
      </c>
      <c r="I360" s="5" t="str">
        <f t="shared" si="26"/>
        <v/>
      </c>
      <c r="J360" s="6">
        <f t="shared" si="27"/>
        <v>0</v>
      </c>
      <c r="K360" s="4" t="str">
        <f t="shared" si="28"/>
        <v/>
      </c>
      <c r="L360" s="4" t="str">
        <f t="shared" si="29"/>
        <v/>
      </c>
      <c r="M360" s="4" t="b" cm="1">
        <f t="array" ref="M360">IF(H360="",FALSE,SUMPRODUCT(--(H$1:H359=H360))&gt;0)</f>
        <v>0</v>
      </c>
    </row>
    <row r="361" spans="1:13" x14ac:dyDescent="0.25">
      <c r="A361" s="9" t="str">
        <f>IF(OR(B361="",M361,G361="— ignored"),"",MAX(A$1:A360)+1)</f>
        <v/>
      </c>
      <c r="B361" s="10"/>
      <c r="C361" s="11" t="str">
        <f>IF(I361="","",ROUND((I361+0.5*MAX(0,CEILING(ROUND((MAX(C$1:C360)-1/48-I361)/0.5,6),1)))*1440,0)/1440)</f>
        <v/>
      </c>
      <c r="D361" s="9" t="str" cm="1">
        <f t="array" ref="D361">IF(H361="","",IFERROR(INDEX(Log!$C$19:$G$19,VALUE(MID(H361,FIND("#",H361)+1,1))),""))</f>
        <v/>
      </c>
      <c r="E361" s="9" t="str" cm="1">
        <f t="array" ref="E361">IF(OR(H361="",M361),"",IFERROR(_xlfn.LET(_xlpm.t,SUBSTITUTE(UPPER(H361),"م","M"),_xlpm.u,SUBSTITUTE(_xlpm.t,"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61" s="12"/>
      <c r="G361" s="13" t="str">
        <f>IF(B361="","",IF(M361,"⚠ Duplicate (not counted)",IF(AND(I361="",D361="",E361=""),"— ignored",IF(C361="","⚠ Time",IF(D361="","⚠ Plant",IF(E361="","⚠ Quantity",IF(AND(ISNUMBER(L361),COUNTIF(L$1:L360,L361)&gt;0),"⚠ Same serial "&amp;L361,IF(AND(ISNUMBER(L361),L361&gt;MIN($L$2:$L$1001),COUNTIF($L$2:$L$1001,L361-1)=0,COUNTIF($L$2:$L$1001,L361-2)&lt;2),"⚠ Missing serial "&amp;(L361-1),IF(AND(MAX(K$1:K360)&gt;0,N(K361)-MAX(K$1:K360)&gt;180),"⚠ Gap &gt; 3h",IF(C361-I361&gt;=0.99,"next day",IF(C361-I361&gt;0.4,"12h → 24h","")))))))))))</f>
        <v/>
      </c>
      <c r="H361" s="4" t="str">
        <f t="shared" si="25"/>
        <v/>
      </c>
      <c r="I361" s="5" t="str">
        <f t="shared" si="26"/>
        <v/>
      </c>
      <c r="J361" s="6">
        <f t="shared" si="27"/>
        <v>0</v>
      </c>
      <c r="K361" s="4" t="str">
        <f t="shared" si="28"/>
        <v/>
      </c>
      <c r="L361" s="4" t="str">
        <f t="shared" si="29"/>
        <v/>
      </c>
      <c r="M361" s="4" t="b" cm="1">
        <f t="array" ref="M361">IF(H361="",FALSE,SUMPRODUCT(--(H$1:H360=H361))&gt;0)</f>
        <v>0</v>
      </c>
    </row>
    <row r="362" spans="1:13" x14ac:dyDescent="0.25">
      <c r="A362" s="9" t="str">
        <f>IF(OR(B362="",M362,G362="— ignored"),"",MAX(A$1:A361)+1)</f>
        <v/>
      </c>
      <c r="B362" s="10"/>
      <c r="C362" s="11" t="str">
        <f>IF(I362="","",ROUND((I362+0.5*MAX(0,CEILING(ROUND((MAX(C$1:C361)-1/48-I362)/0.5,6),1)))*1440,0)/1440)</f>
        <v/>
      </c>
      <c r="D362" s="9" t="str" cm="1">
        <f t="array" ref="D362">IF(H362="","",IFERROR(INDEX(Log!$C$19:$G$19,VALUE(MID(H362,FIND("#",H362)+1,1))),""))</f>
        <v/>
      </c>
      <c r="E362" s="9" t="str" cm="1">
        <f t="array" ref="E362">IF(OR(H362="",M362),"",IFERROR(_xlfn.LET(_xlpm.t,SUBSTITUTE(UPPER(H362),"م","M"),_xlpm.u,SUBSTITUTE(_xlpm.t,"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62" s="12"/>
      <c r="G362" s="13" t="str">
        <f>IF(B362="","",IF(M362,"⚠ Duplicate (not counted)",IF(AND(I362="",D362="",E362=""),"— ignored",IF(C362="","⚠ Time",IF(D362="","⚠ Plant",IF(E362="","⚠ Quantity",IF(AND(ISNUMBER(L362),COUNTIF(L$1:L361,L362)&gt;0),"⚠ Same serial "&amp;L362,IF(AND(ISNUMBER(L362),L362&gt;MIN($L$2:$L$1001),COUNTIF($L$2:$L$1001,L362-1)=0,COUNTIF($L$2:$L$1001,L362-2)&lt;2),"⚠ Missing serial "&amp;(L362-1),IF(AND(MAX(K$1:K361)&gt;0,N(K362)-MAX(K$1:K361)&gt;180),"⚠ Gap &gt; 3h",IF(C362-I362&gt;=0.99,"next day",IF(C362-I362&gt;0.4,"12h → 24h","")))))))))))</f>
        <v/>
      </c>
      <c r="H362" s="4" t="str">
        <f t="shared" si="25"/>
        <v/>
      </c>
      <c r="I362" s="5" t="str">
        <f t="shared" si="26"/>
        <v/>
      </c>
      <c r="J362" s="6">
        <f t="shared" si="27"/>
        <v>0</v>
      </c>
      <c r="K362" s="4" t="str">
        <f t="shared" si="28"/>
        <v/>
      </c>
      <c r="L362" s="4" t="str">
        <f t="shared" si="29"/>
        <v/>
      </c>
      <c r="M362" s="4" t="b" cm="1">
        <f t="array" ref="M362">IF(H362="",FALSE,SUMPRODUCT(--(H$1:H361=H362))&gt;0)</f>
        <v>0</v>
      </c>
    </row>
    <row r="363" spans="1:13" x14ac:dyDescent="0.25">
      <c r="A363" s="9" t="str">
        <f>IF(OR(B363="",M363,G363="— ignored"),"",MAX(A$1:A362)+1)</f>
        <v/>
      </c>
      <c r="B363" s="10"/>
      <c r="C363" s="11" t="str">
        <f>IF(I363="","",ROUND((I363+0.5*MAX(0,CEILING(ROUND((MAX(C$1:C362)-1/48-I363)/0.5,6),1)))*1440,0)/1440)</f>
        <v/>
      </c>
      <c r="D363" s="9" t="str" cm="1">
        <f t="array" ref="D363">IF(H363="","",IFERROR(INDEX(Log!$C$19:$G$19,VALUE(MID(H363,FIND("#",H363)+1,1))),""))</f>
        <v/>
      </c>
      <c r="E363" s="9" t="str" cm="1">
        <f t="array" ref="E363">IF(OR(H363="",M363),"",IFERROR(_xlfn.LET(_xlpm.t,SUBSTITUTE(UPPER(H363),"م","M"),_xlpm.u,SUBSTITUTE(_xlpm.t,"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63" s="12"/>
      <c r="G363" s="13" t="str">
        <f>IF(B363="","",IF(M363,"⚠ Duplicate (not counted)",IF(AND(I363="",D363="",E363=""),"— ignored",IF(C363="","⚠ Time",IF(D363="","⚠ Plant",IF(E363="","⚠ Quantity",IF(AND(ISNUMBER(L363),COUNTIF(L$1:L362,L363)&gt;0),"⚠ Same serial "&amp;L363,IF(AND(ISNUMBER(L363),L363&gt;MIN($L$2:$L$1001),COUNTIF($L$2:$L$1001,L363-1)=0,COUNTIF($L$2:$L$1001,L363-2)&lt;2),"⚠ Missing serial "&amp;(L363-1),IF(AND(MAX(K$1:K362)&gt;0,N(K363)-MAX(K$1:K362)&gt;180),"⚠ Gap &gt; 3h",IF(C363-I363&gt;=0.99,"next day",IF(C363-I363&gt;0.4,"12h → 24h","")))))))))))</f>
        <v/>
      </c>
      <c r="H363" s="4" t="str">
        <f t="shared" si="25"/>
        <v/>
      </c>
      <c r="I363" s="5" t="str">
        <f t="shared" si="26"/>
        <v/>
      </c>
      <c r="J363" s="6">
        <f t="shared" si="27"/>
        <v>0</v>
      </c>
      <c r="K363" s="4" t="str">
        <f t="shared" si="28"/>
        <v/>
      </c>
      <c r="L363" s="4" t="str">
        <f t="shared" si="29"/>
        <v/>
      </c>
      <c r="M363" s="4" t="b" cm="1">
        <f t="array" ref="M363">IF(H363="",FALSE,SUMPRODUCT(--(H$1:H362=H363))&gt;0)</f>
        <v>0</v>
      </c>
    </row>
    <row r="364" spans="1:13" x14ac:dyDescent="0.25">
      <c r="A364" s="9" t="str">
        <f>IF(OR(B364="",M364,G364="— ignored"),"",MAX(A$1:A363)+1)</f>
        <v/>
      </c>
      <c r="B364" s="10"/>
      <c r="C364" s="11" t="str">
        <f>IF(I364="","",ROUND((I364+0.5*MAX(0,CEILING(ROUND((MAX(C$1:C363)-1/48-I364)/0.5,6),1)))*1440,0)/1440)</f>
        <v/>
      </c>
      <c r="D364" s="9" t="str" cm="1">
        <f t="array" ref="D364">IF(H364="","",IFERROR(INDEX(Log!$C$19:$G$19,VALUE(MID(H364,FIND("#",H364)+1,1))),""))</f>
        <v/>
      </c>
      <c r="E364" s="9" t="str" cm="1">
        <f t="array" ref="E364">IF(OR(H364="",M364),"",IFERROR(_xlfn.LET(_xlpm.t,SUBSTITUTE(UPPER(H364),"م","M"),_xlpm.u,SUBSTITUTE(_xlpm.t,"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64" s="12"/>
      <c r="G364" s="13" t="str">
        <f>IF(B364="","",IF(M364,"⚠ Duplicate (not counted)",IF(AND(I364="",D364="",E364=""),"— ignored",IF(C364="","⚠ Time",IF(D364="","⚠ Plant",IF(E364="","⚠ Quantity",IF(AND(ISNUMBER(L364),COUNTIF(L$1:L363,L364)&gt;0),"⚠ Same serial "&amp;L364,IF(AND(ISNUMBER(L364),L364&gt;MIN($L$2:$L$1001),COUNTIF($L$2:$L$1001,L364-1)=0,COUNTIF($L$2:$L$1001,L364-2)&lt;2),"⚠ Missing serial "&amp;(L364-1),IF(AND(MAX(K$1:K363)&gt;0,N(K364)-MAX(K$1:K363)&gt;180),"⚠ Gap &gt; 3h",IF(C364-I364&gt;=0.99,"next day",IF(C364-I364&gt;0.4,"12h → 24h","")))))))))))</f>
        <v/>
      </c>
      <c r="H364" s="4" t="str">
        <f t="shared" si="25"/>
        <v/>
      </c>
      <c r="I364" s="5" t="str">
        <f t="shared" si="26"/>
        <v/>
      </c>
      <c r="J364" s="6">
        <f t="shared" si="27"/>
        <v>0</v>
      </c>
      <c r="K364" s="4" t="str">
        <f t="shared" si="28"/>
        <v/>
      </c>
      <c r="L364" s="4" t="str">
        <f t="shared" si="29"/>
        <v/>
      </c>
      <c r="M364" s="4" t="b" cm="1">
        <f t="array" ref="M364">IF(H364="",FALSE,SUMPRODUCT(--(H$1:H363=H364))&gt;0)</f>
        <v>0</v>
      </c>
    </row>
    <row r="365" spans="1:13" x14ac:dyDescent="0.25">
      <c r="A365" s="9" t="str">
        <f>IF(OR(B365="",M365,G365="— ignored"),"",MAX(A$1:A364)+1)</f>
        <v/>
      </c>
      <c r="B365" s="10"/>
      <c r="C365" s="11" t="str">
        <f>IF(I365="","",ROUND((I365+0.5*MAX(0,CEILING(ROUND((MAX(C$1:C364)-1/48-I365)/0.5,6),1)))*1440,0)/1440)</f>
        <v/>
      </c>
      <c r="D365" s="9" t="str" cm="1">
        <f t="array" ref="D365">IF(H365="","",IFERROR(INDEX(Log!$C$19:$G$19,VALUE(MID(H365,FIND("#",H365)+1,1))),""))</f>
        <v/>
      </c>
      <c r="E365" s="9" t="str" cm="1">
        <f t="array" ref="E365">IF(OR(H365="",M365),"",IFERROR(_xlfn.LET(_xlpm.t,SUBSTITUTE(UPPER(H365),"م","M"),_xlpm.u,SUBSTITUTE(_xlpm.t,"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65" s="12"/>
      <c r="G365" s="13" t="str">
        <f>IF(B365="","",IF(M365,"⚠ Duplicate (not counted)",IF(AND(I365="",D365="",E365=""),"— ignored",IF(C365="","⚠ Time",IF(D365="","⚠ Plant",IF(E365="","⚠ Quantity",IF(AND(ISNUMBER(L365),COUNTIF(L$1:L364,L365)&gt;0),"⚠ Same serial "&amp;L365,IF(AND(ISNUMBER(L365),L365&gt;MIN($L$2:$L$1001),COUNTIF($L$2:$L$1001,L365-1)=0,COUNTIF($L$2:$L$1001,L365-2)&lt;2),"⚠ Missing serial "&amp;(L365-1),IF(AND(MAX(K$1:K364)&gt;0,N(K365)-MAX(K$1:K364)&gt;180),"⚠ Gap &gt; 3h",IF(C365-I365&gt;=0.99,"next day",IF(C365-I365&gt;0.4,"12h → 24h","")))))))))))</f>
        <v/>
      </c>
      <c r="H365" s="4" t="str">
        <f t="shared" si="25"/>
        <v/>
      </c>
      <c r="I365" s="5" t="str">
        <f t="shared" si="26"/>
        <v/>
      </c>
      <c r="J365" s="6">
        <f t="shared" si="27"/>
        <v>0</v>
      </c>
      <c r="K365" s="4" t="str">
        <f t="shared" si="28"/>
        <v/>
      </c>
      <c r="L365" s="4" t="str">
        <f t="shared" si="29"/>
        <v/>
      </c>
      <c r="M365" s="4" t="b" cm="1">
        <f t="array" ref="M365">IF(H365="",FALSE,SUMPRODUCT(--(H$1:H364=H365))&gt;0)</f>
        <v>0</v>
      </c>
    </row>
    <row r="366" spans="1:13" x14ac:dyDescent="0.25">
      <c r="A366" s="9" t="str">
        <f>IF(OR(B366="",M366,G366="— ignored"),"",MAX(A$1:A365)+1)</f>
        <v/>
      </c>
      <c r="B366" s="10"/>
      <c r="C366" s="11" t="str">
        <f>IF(I366="","",ROUND((I366+0.5*MAX(0,CEILING(ROUND((MAX(C$1:C365)-1/48-I366)/0.5,6),1)))*1440,0)/1440)</f>
        <v/>
      </c>
      <c r="D366" s="9" t="str" cm="1">
        <f t="array" ref="D366">IF(H366="","",IFERROR(INDEX(Log!$C$19:$G$19,VALUE(MID(H366,FIND("#",H366)+1,1))),""))</f>
        <v/>
      </c>
      <c r="E366" s="9" t="str" cm="1">
        <f t="array" ref="E366">IF(OR(H366="",M366),"",IFERROR(_xlfn.LET(_xlpm.t,SUBSTITUTE(UPPER(H366),"م","M"),_xlpm.u,SUBSTITUTE(_xlpm.t,"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66" s="12"/>
      <c r="G366" s="13" t="str">
        <f>IF(B366="","",IF(M366,"⚠ Duplicate (not counted)",IF(AND(I366="",D366="",E366=""),"— ignored",IF(C366="","⚠ Time",IF(D366="","⚠ Plant",IF(E366="","⚠ Quantity",IF(AND(ISNUMBER(L366),COUNTIF(L$1:L365,L366)&gt;0),"⚠ Same serial "&amp;L366,IF(AND(ISNUMBER(L366),L366&gt;MIN($L$2:$L$1001),COUNTIF($L$2:$L$1001,L366-1)=0,COUNTIF($L$2:$L$1001,L366-2)&lt;2),"⚠ Missing serial "&amp;(L366-1),IF(AND(MAX(K$1:K365)&gt;0,N(K366)-MAX(K$1:K365)&gt;180),"⚠ Gap &gt; 3h",IF(C366-I366&gt;=0.99,"next day",IF(C366-I366&gt;0.4,"12h → 24h","")))))))))))</f>
        <v/>
      </c>
      <c r="H366" s="4" t="str">
        <f t="shared" si="25"/>
        <v/>
      </c>
      <c r="I366" s="5" t="str">
        <f t="shared" si="26"/>
        <v/>
      </c>
      <c r="J366" s="6">
        <f t="shared" si="27"/>
        <v>0</v>
      </c>
      <c r="K366" s="4" t="str">
        <f t="shared" si="28"/>
        <v/>
      </c>
      <c r="L366" s="4" t="str">
        <f t="shared" si="29"/>
        <v/>
      </c>
      <c r="M366" s="4" t="b" cm="1">
        <f t="array" ref="M366">IF(H366="",FALSE,SUMPRODUCT(--(H$1:H365=H366))&gt;0)</f>
        <v>0</v>
      </c>
    </row>
    <row r="367" spans="1:13" x14ac:dyDescent="0.25">
      <c r="A367" s="9" t="str">
        <f>IF(OR(B367="",M367,G367="— ignored"),"",MAX(A$1:A366)+1)</f>
        <v/>
      </c>
      <c r="B367" s="10"/>
      <c r="C367" s="11" t="str">
        <f>IF(I367="","",ROUND((I367+0.5*MAX(0,CEILING(ROUND((MAX(C$1:C366)-1/48-I367)/0.5,6),1)))*1440,0)/1440)</f>
        <v/>
      </c>
      <c r="D367" s="9" t="str" cm="1">
        <f t="array" ref="D367">IF(H367="","",IFERROR(INDEX(Log!$C$19:$G$19,VALUE(MID(H367,FIND("#",H367)+1,1))),""))</f>
        <v/>
      </c>
      <c r="E367" s="9" t="str" cm="1">
        <f t="array" ref="E367">IF(OR(H367="",M367),"",IFERROR(_xlfn.LET(_xlpm.t,SUBSTITUTE(UPPER(H367),"م","M"),_xlpm.u,SUBSTITUTE(_xlpm.t,"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67" s="12"/>
      <c r="G367" s="13" t="str">
        <f>IF(B367="","",IF(M367,"⚠ Duplicate (not counted)",IF(AND(I367="",D367="",E367=""),"— ignored",IF(C367="","⚠ Time",IF(D367="","⚠ Plant",IF(E367="","⚠ Quantity",IF(AND(ISNUMBER(L367),COUNTIF(L$1:L366,L367)&gt;0),"⚠ Same serial "&amp;L367,IF(AND(ISNUMBER(L367),L367&gt;MIN($L$2:$L$1001),COUNTIF($L$2:$L$1001,L367-1)=0,COUNTIF($L$2:$L$1001,L367-2)&lt;2),"⚠ Missing serial "&amp;(L367-1),IF(AND(MAX(K$1:K366)&gt;0,N(K367)-MAX(K$1:K366)&gt;180),"⚠ Gap &gt; 3h",IF(C367-I367&gt;=0.99,"next day",IF(C367-I367&gt;0.4,"12h → 24h","")))))))))))</f>
        <v/>
      </c>
      <c r="H367" s="4" t="str">
        <f t="shared" si="25"/>
        <v/>
      </c>
      <c r="I367" s="5" t="str">
        <f t="shared" si="26"/>
        <v/>
      </c>
      <c r="J367" s="6">
        <f t="shared" si="27"/>
        <v>0</v>
      </c>
      <c r="K367" s="4" t="str">
        <f t="shared" si="28"/>
        <v/>
      </c>
      <c r="L367" s="4" t="str">
        <f t="shared" si="29"/>
        <v/>
      </c>
      <c r="M367" s="4" t="b" cm="1">
        <f t="array" ref="M367">IF(H367="",FALSE,SUMPRODUCT(--(H$1:H366=H367))&gt;0)</f>
        <v>0</v>
      </c>
    </row>
    <row r="368" spans="1:13" x14ac:dyDescent="0.25">
      <c r="A368" s="9" t="str">
        <f>IF(OR(B368="",M368,G368="— ignored"),"",MAX(A$1:A367)+1)</f>
        <v/>
      </c>
      <c r="B368" s="10"/>
      <c r="C368" s="11" t="str">
        <f>IF(I368="","",ROUND((I368+0.5*MAX(0,CEILING(ROUND((MAX(C$1:C367)-1/48-I368)/0.5,6),1)))*1440,0)/1440)</f>
        <v/>
      </c>
      <c r="D368" s="9" t="str" cm="1">
        <f t="array" ref="D368">IF(H368="","",IFERROR(INDEX(Log!$C$19:$G$19,VALUE(MID(H368,FIND("#",H368)+1,1))),""))</f>
        <v/>
      </c>
      <c r="E368" s="9" t="str" cm="1">
        <f t="array" ref="E368">IF(OR(H368="",M368),"",IFERROR(_xlfn.LET(_xlpm.t,SUBSTITUTE(UPPER(H368),"م","M"),_xlpm.u,SUBSTITUTE(_xlpm.t,"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68" s="12"/>
      <c r="G368" s="13" t="str">
        <f>IF(B368="","",IF(M368,"⚠ Duplicate (not counted)",IF(AND(I368="",D368="",E368=""),"— ignored",IF(C368="","⚠ Time",IF(D368="","⚠ Plant",IF(E368="","⚠ Quantity",IF(AND(ISNUMBER(L368),COUNTIF(L$1:L367,L368)&gt;0),"⚠ Same serial "&amp;L368,IF(AND(ISNUMBER(L368),L368&gt;MIN($L$2:$L$1001),COUNTIF($L$2:$L$1001,L368-1)=0,COUNTIF($L$2:$L$1001,L368-2)&lt;2),"⚠ Missing serial "&amp;(L368-1),IF(AND(MAX(K$1:K367)&gt;0,N(K368)-MAX(K$1:K367)&gt;180),"⚠ Gap &gt; 3h",IF(C368-I368&gt;=0.99,"next day",IF(C368-I368&gt;0.4,"12h → 24h","")))))))))))</f>
        <v/>
      </c>
      <c r="H368" s="4" t="str">
        <f t="shared" si="25"/>
        <v/>
      </c>
      <c r="I368" s="5" t="str">
        <f t="shared" si="26"/>
        <v/>
      </c>
      <c r="J368" s="6">
        <f t="shared" si="27"/>
        <v>0</v>
      </c>
      <c r="K368" s="4" t="str">
        <f t="shared" si="28"/>
        <v/>
      </c>
      <c r="L368" s="4" t="str">
        <f t="shared" si="29"/>
        <v/>
      </c>
      <c r="M368" s="4" t="b" cm="1">
        <f t="array" ref="M368">IF(H368="",FALSE,SUMPRODUCT(--(H$1:H367=H368))&gt;0)</f>
        <v>0</v>
      </c>
    </row>
    <row r="369" spans="1:13" x14ac:dyDescent="0.25">
      <c r="A369" s="9" t="str">
        <f>IF(OR(B369="",M369,G369="— ignored"),"",MAX(A$1:A368)+1)</f>
        <v/>
      </c>
      <c r="B369" s="10"/>
      <c r="C369" s="11" t="str">
        <f>IF(I369="","",ROUND((I369+0.5*MAX(0,CEILING(ROUND((MAX(C$1:C368)-1/48-I369)/0.5,6),1)))*1440,0)/1440)</f>
        <v/>
      </c>
      <c r="D369" s="9" t="str" cm="1">
        <f t="array" ref="D369">IF(H369="","",IFERROR(INDEX(Log!$C$19:$G$19,VALUE(MID(H369,FIND("#",H369)+1,1))),""))</f>
        <v/>
      </c>
      <c r="E369" s="9" t="str" cm="1">
        <f t="array" ref="E369">IF(OR(H369="",M369),"",IFERROR(_xlfn.LET(_xlpm.t,SUBSTITUTE(UPPER(H369),"م","M"),_xlpm.u,SUBSTITUTE(_xlpm.t,"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69" s="12"/>
      <c r="G369" s="13" t="str">
        <f>IF(B369="","",IF(M369,"⚠ Duplicate (not counted)",IF(AND(I369="",D369="",E369=""),"— ignored",IF(C369="","⚠ Time",IF(D369="","⚠ Plant",IF(E369="","⚠ Quantity",IF(AND(ISNUMBER(L369),COUNTIF(L$1:L368,L369)&gt;0),"⚠ Same serial "&amp;L369,IF(AND(ISNUMBER(L369),L369&gt;MIN($L$2:$L$1001),COUNTIF($L$2:$L$1001,L369-1)=0,COUNTIF($L$2:$L$1001,L369-2)&lt;2),"⚠ Missing serial "&amp;(L369-1),IF(AND(MAX(K$1:K368)&gt;0,N(K369)-MAX(K$1:K368)&gt;180),"⚠ Gap &gt; 3h",IF(C369-I369&gt;=0.99,"next day",IF(C369-I369&gt;0.4,"12h → 24h","")))))))))))</f>
        <v/>
      </c>
      <c r="H369" s="4" t="str">
        <f t="shared" si="25"/>
        <v/>
      </c>
      <c r="I369" s="5" t="str">
        <f t="shared" si="26"/>
        <v/>
      </c>
      <c r="J369" s="6">
        <f t="shared" si="27"/>
        <v>0</v>
      </c>
      <c r="K369" s="4" t="str">
        <f t="shared" si="28"/>
        <v/>
      </c>
      <c r="L369" s="4" t="str">
        <f t="shared" si="29"/>
        <v/>
      </c>
      <c r="M369" s="4" t="b" cm="1">
        <f t="array" ref="M369">IF(H369="",FALSE,SUMPRODUCT(--(H$1:H368=H369))&gt;0)</f>
        <v>0</v>
      </c>
    </row>
    <row r="370" spans="1:13" x14ac:dyDescent="0.25">
      <c r="A370" s="9" t="str">
        <f>IF(OR(B370="",M370,G370="— ignored"),"",MAX(A$1:A369)+1)</f>
        <v/>
      </c>
      <c r="B370" s="10"/>
      <c r="C370" s="11" t="str">
        <f>IF(I370="","",ROUND((I370+0.5*MAX(0,CEILING(ROUND((MAX(C$1:C369)-1/48-I370)/0.5,6),1)))*1440,0)/1440)</f>
        <v/>
      </c>
      <c r="D370" s="9" t="str" cm="1">
        <f t="array" ref="D370">IF(H370="","",IFERROR(INDEX(Log!$C$19:$G$19,VALUE(MID(H370,FIND("#",H370)+1,1))),""))</f>
        <v/>
      </c>
      <c r="E370" s="9" t="str" cm="1">
        <f t="array" ref="E370">IF(OR(H370="",M370),"",IFERROR(_xlfn.LET(_xlpm.t,SUBSTITUTE(UPPER(H370),"م","M"),_xlpm.u,SUBSTITUTE(_xlpm.t,"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70" s="12"/>
      <c r="G370" s="13" t="str">
        <f>IF(B370="","",IF(M370,"⚠ Duplicate (not counted)",IF(AND(I370="",D370="",E370=""),"— ignored",IF(C370="","⚠ Time",IF(D370="","⚠ Plant",IF(E370="","⚠ Quantity",IF(AND(ISNUMBER(L370),COUNTIF(L$1:L369,L370)&gt;0),"⚠ Same serial "&amp;L370,IF(AND(ISNUMBER(L370),L370&gt;MIN($L$2:$L$1001),COUNTIF($L$2:$L$1001,L370-1)=0,COUNTIF($L$2:$L$1001,L370-2)&lt;2),"⚠ Missing serial "&amp;(L370-1),IF(AND(MAX(K$1:K369)&gt;0,N(K370)-MAX(K$1:K369)&gt;180),"⚠ Gap &gt; 3h",IF(C370-I370&gt;=0.99,"next day",IF(C370-I370&gt;0.4,"12h → 24h","")))))))))))</f>
        <v/>
      </c>
      <c r="H370" s="4" t="str">
        <f t="shared" si="25"/>
        <v/>
      </c>
      <c r="I370" s="5" t="str">
        <f t="shared" si="26"/>
        <v/>
      </c>
      <c r="J370" s="6">
        <f t="shared" si="27"/>
        <v>0</v>
      </c>
      <c r="K370" s="4" t="str">
        <f t="shared" si="28"/>
        <v/>
      </c>
      <c r="L370" s="4" t="str">
        <f t="shared" si="29"/>
        <v/>
      </c>
      <c r="M370" s="4" t="b" cm="1">
        <f t="array" ref="M370">IF(H370="",FALSE,SUMPRODUCT(--(H$1:H369=H370))&gt;0)</f>
        <v>0</v>
      </c>
    </row>
    <row r="371" spans="1:13" x14ac:dyDescent="0.25">
      <c r="A371" s="9" t="str">
        <f>IF(OR(B371="",M371,G371="— ignored"),"",MAX(A$1:A370)+1)</f>
        <v/>
      </c>
      <c r="B371" s="10"/>
      <c r="C371" s="11" t="str">
        <f>IF(I371="","",ROUND((I371+0.5*MAX(0,CEILING(ROUND((MAX(C$1:C370)-1/48-I371)/0.5,6),1)))*1440,0)/1440)</f>
        <v/>
      </c>
      <c r="D371" s="9" t="str" cm="1">
        <f t="array" ref="D371">IF(H371="","",IFERROR(INDEX(Log!$C$19:$G$19,VALUE(MID(H371,FIND("#",H371)+1,1))),""))</f>
        <v/>
      </c>
      <c r="E371" s="9" t="str" cm="1">
        <f t="array" ref="E371">IF(OR(H371="",M371),"",IFERROR(_xlfn.LET(_xlpm.t,SUBSTITUTE(UPPER(H371),"م","M"),_xlpm.u,SUBSTITUTE(_xlpm.t,"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71" s="12"/>
      <c r="G371" s="13" t="str">
        <f>IF(B371="","",IF(M371,"⚠ Duplicate (not counted)",IF(AND(I371="",D371="",E371=""),"— ignored",IF(C371="","⚠ Time",IF(D371="","⚠ Plant",IF(E371="","⚠ Quantity",IF(AND(ISNUMBER(L371),COUNTIF(L$1:L370,L371)&gt;0),"⚠ Same serial "&amp;L371,IF(AND(ISNUMBER(L371),L371&gt;MIN($L$2:$L$1001),COUNTIF($L$2:$L$1001,L371-1)=0,COUNTIF($L$2:$L$1001,L371-2)&lt;2),"⚠ Missing serial "&amp;(L371-1),IF(AND(MAX(K$1:K370)&gt;0,N(K371)-MAX(K$1:K370)&gt;180),"⚠ Gap &gt; 3h",IF(C371-I371&gt;=0.99,"next day",IF(C371-I371&gt;0.4,"12h → 24h","")))))))))))</f>
        <v/>
      </c>
      <c r="H371" s="4" t="str">
        <f t="shared" si="25"/>
        <v/>
      </c>
      <c r="I371" s="5" t="str">
        <f t="shared" si="26"/>
        <v/>
      </c>
      <c r="J371" s="6">
        <f t="shared" si="27"/>
        <v>0</v>
      </c>
      <c r="K371" s="4" t="str">
        <f t="shared" si="28"/>
        <v/>
      </c>
      <c r="L371" s="4" t="str">
        <f t="shared" si="29"/>
        <v/>
      </c>
      <c r="M371" s="4" t="b" cm="1">
        <f t="array" ref="M371">IF(H371="",FALSE,SUMPRODUCT(--(H$1:H370=H371))&gt;0)</f>
        <v>0</v>
      </c>
    </row>
    <row r="372" spans="1:13" x14ac:dyDescent="0.25">
      <c r="A372" s="9" t="str">
        <f>IF(OR(B372="",M372,G372="— ignored"),"",MAX(A$1:A371)+1)</f>
        <v/>
      </c>
      <c r="B372" s="10"/>
      <c r="C372" s="11" t="str">
        <f>IF(I372="","",ROUND((I372+0.5*MAX(0,CEILING(ROUND((MAX(C$1:C371)-1/48-I372)/0.5,6),1)))*1440,0)/1440)</f>
        <v/>
      </c>
      <c r="D372" s="9" t="str" cm="1">
        <f t="array" ref="D372">IF(H372="","",IFERROR(INDEX(Log!$C$19:$G$19,VALUE(MID(H372,FIND("#",H372)+1,1))),""))</f>
        <v/>
      </c>
      <c r="E372" s="9" t="str" cm="1">
        <f t="array" ref="E372">IF(OR(H372="",M372),"",IFERROR(_xlfn.LET(_xlpm.t,SUBSTITUTE(UPPER(H372),"م","M"),_xlpm.u,SUBSTITUTE(_xlpm.t,"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72" s="12"/>
      <c r="G372" s="13" t="str">
        <f>IF(B372="","",IF(M372,"⚠ Duplicate (not counted)",IF(AND(I372="",D372="",E372=""),"— ignored",IF(C372="","⚠ Time",IF(D372="","⚠ Plant",IF(E372="","⚠ Quantity",IF(AND(ISNUMBER(L372),COUNTIF(L$1:L371,L372)&gt;0),"⚠ Same serial "&amp;L372,IF(AND(ISNUMBER(L372),L372&gt;MIN($L$2:$L$1001),COUNTIF($L$2:$L$1001,L372-1)=0,COUNTIF($L$2:$L$1001,L372-2)&lt;2),"⚠ Missing serial "&amp;(L372-1),IF(AND(MAX(K$1:K371)&gt;0,N(K372)-MAX(K$1:K371)&gt;180),"⚠ Gap &gt; 3h",IF(C372-I372&gt;=0.99,"next day",IF(C372-I372&gt;0.4,"12h → 24h","")))))))))))</f>
        <v/>
      </c>
      <c r="H372" s="4" t="str">
        <f t="shared" si="25"/>
        <v/>
      </c>
      <c r="I372" s="5" t="str">
        <f t="shared" si="26"/>
        <v/>
      </c>
      <c r="J372" s="6">
        <f t="shared" si="27"/>
        <v>0</v>
      </c>
      <c r="K372" s="4" t="str">
        <f t="shared" si="28"/>
        <v/>
      </c>
      <c r="L372" s="4" t="str">
        <f t="shared" si="29"/>
        <v/>
      </c>
      <c r="M372" s="4" t="b" cm="1">
        <f t="array" ref="M372">IF(H372="",FALSE,SUMPRODUCT(--(H$1:H371=H372))&gt;0)</f>
        <v>0</v>
      </c>
    </row>
    <row r="373" spans="1:13" x14ac:dyDescent="0.25">
      <c r="A373" s="9" t="str">
        <f>IF(OR(B373="",M373,G373="— ignored"),"",MAX(A$1:A372)+1)</f>
        <v/>
      </c>
      <c r="B373" s="10"/>
      <c r="C373" s="11" t="str">
        <f>IF(I373="","",ROUND((I373+0.5*MAX(0,CEILING(ROUND((MAX(C$1:C372)-1/48-I373)/0.5,6),1)))*1440,0)/1440)</f>
        <v/>
      </c>
      <c r="D373" s="9" t="str" cm="1">
        <f t="array" ref="D373">IF(H373="","",IFERROR(INDEX(Log!$C$19:$G$19,VALUE(MID(H373,FIND("#",H373)+1,1))),""))</f>
        <v/>
      </c>
      <c r="E373" s="9" t="str" cm="1">
        <f t="array" ref="E373">IF(OR(H373="",M373),"",IFERROR(_xlfn.LET(_xlpm.t,SUBSTITUTE(UPPER(H373),"م","M"),_xlpm.u,SUBSTITUTE(_xlpm.t,"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73" s="12"/>
      <c r="G373" s="13" t="str">
        <f>IF(B373="","",IF(M373,"⚠ Duplicate (not counted)",IF(AND(I373="",D373="",E373=""),"— ignored",IF(C373="","⚠ Time",IF(D373="","⚠ Plant",IF(E373="","⚠ Quantity",IF(AND(ISNUMBER(L373),COUNTIF(L$1:L372,L373)&gt;0),"⚠ Same serial "&amp;L373,IF(AND(ISNUMBER(L373),L373&gt;MIN($L$2:$L$1001),COUNTIF($L$2:$L$1001,L373-1)=0,COUNTIF($L$2:$L$1001,L373-2)&lt;2),"⚠ Missing serial "&amp;(L373-1),IF(AND(MAX(K$1:K372)&gt;0,N(K373)-MAX(K$1:K372)&gt;180),"⚠ Gap &gt; 3h",IF(C373-I373&gt;=0.99,"next day",IF(C373-I373&gt;0.4,"12h → 24h","")))))))))))</f>
        <v/>
      </c>
      <c r="H373" s="4" t="str">
        <f t="shared" si="25"/>
        <v/>
      </c>
      <c r="I373" s="5" t="str">
        <f t="shared" si="26"/>
        <v/>
      </c>
      <c r="J373" s="6">
        <f t="shared" si="27"/>
        <v>0</v>
      </c>
      <c r="K373" s="4" t="str">
        <f t="shared" si="28"/>
        <v/>
      </c>
      <c r="L373" s="4" t="str">
        <f t="shared" si="29"/>
        <v/>
      </c>
      <c r="M373" s="4" t="b" cm="1">
        <f t="array" ref="M373">IF(H373="",FALSE,SUMPRODUCT(--(H$1:H372=H373))&gt;0)</f>
        <v>0</v>
      </c>
    </row>
    <row r="374" spans="1:13" x14ac:dyDescent="0.25">
      <c r="A374" s="9" t="str">
        <f>IF(OR(B374="",M374,G374="— ignored"),"",MAX(A$1:A373)+1)</f>
        <v/>
      </c>
      <c r="B374" s="10"/>
      <c r="C374" s="11" t="str">
        <f>IF(I374="","",ROUND((I374+0.5*MAX(0,CEILING(ROUND((MAX(C$1:C373)-1/48-I374)/0.5,6),1)))*1440,0)/1440)</f>
        <v/>
      </c>
      <c r="D374" s="9" t="str" cm="1">
        <f t="array" ref="D374">IF(H374="","",IFERROR(INDEX(Log!$C$19:$G$19,VALUE(MID(H374,FIND("#",H374)+1,1))),""))</f>
        <v/>
      </c>
      <c r="E374" s="9" t="str" cm="1">
        <f t="array" ref="E374">IF(OR(H374="",M374),"",IFERROR(_xlfn.LET(_xlpm.t,SUBSTITUTE(UPPER(H374),"م","M"),_xlpm.u,SUBSTITUTE(_xlpm.t,"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74" s="12"/>
      <c r="G374" s="13" t="str">
        <f>IF(B374="","",IF(M374,"⚠ Duplicate (not counted)",IF(AND(I374="",D374="",E374=""),"— ignored",IF(C374="","⚠ Time",IF(D374="","⚠ Plant",IF(E374="","⚠ Quantity",IF(AND(ISNUMBER(L374),COUNTIF(L$1:L373,L374)&gt;0),"⚠ Same serial "&amp;L374,IF(AND(ISNUMBER(L374),L374&gt;MIN($L$2:$L$1001),COUNTIF($L$2:$L$1001,L374-1)=0,COUNTIF($L$2:$L$1001,L374-2)&lt;2),"⚠ Missing serial "&amp;(L374-1),IF(AND(MAX(K$1:K373)&gt;0,N(K374)-MAX(K$1:K373)&gt;180),"⚠ Gap &gt; 3h",IF(C374-I374&gt;=0.99,"next day",IF(C374-I374&gt;0.4,"12h → 24h","")))))))))))</f>
        <v/>
      </c>
      <c r="H374" s="4" t="str">
        <f t="shared" si="25"/>
        <v/>
      </c>
      <c r="I374" s="5" t="str">
        <f t="shared" si="26"/>
        <v/>
      </c>
      <c r="J374" s="6">
        <f t="shared" si="27"/>
        <v>0</v>
      </c>
      <c r="K374" s="4" t="str">
        <f t="shared" si="28"/>
        <v/>
      </c>
      <c r="L374" s="4" t="str">
        <f t="shared" si="29"/>
        <v/>
      </c>
      <c r="M374" s="4" t="b" cm="1">
        <f t="array" ref="M374">IF(H374="",FALSE,SUMPRODUCT(--(H$1:H373=H374))&gt;0)</f>
        <v>0</v>
      </c>
    </row>
    <row r="375" spans="1:13" x14ac:dyDescent="0.25">
      <c r="A375" s="9" t="str">
        <f>IF(OR(B375="",M375,G375="— ignored"),"",MAX(A$1:A374)+1)</f>
        <v/>
      </c>
      <c r="B375" s="10"/>
      <c r="C375" s="11" t="str">
        <f>IF(I375="","",ROUND((I375+0.5*MAX(0,CEILING(ROUND((MAX(C$1:C374)-1/48-I375)/0.5,6),1)))*1440,0)/1440)</f>
        <v/>
      </c>
      <c r="D375" s="9" t="str" cm="1">
        <f t="array" ref="D375">IF(H375="","",IFERROR(INDEX(Log!$C$19:$G$19,VALUE(MID(H375,FIND("#",H375)+1,1))),""))</f>
        <v/>
      </c>
      <c r="E375" s="9" t="str" cm="1">
        <f t="array" ref="E375">IF(OR(H375="",M375),"",IFERROR(_xlfn.LET(_xlpm.t,SUBSTITUTE(UPPER(H375),"م","M"),_xlpm.u,SUBSTITUTE(_xlpm.t,"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75" s="12"/>
      <c r="G375" s="13" t="str">
        <f>IF(B375="","",IF(M375,"⚠ Duplicate (not counted)",IF(AND(I375="",D375="",E375=""),"— ignored",IF(C375="","⚠ Time",IF(D375="","⚠ Plant",IF(E375="","⚠ Quantity",IF(AND(ISNUMBER(L375),COUNTIF(L$1:L374,L375)&gt;0),"⚠ Same serial "&amp;L375,IF(AND(ISNUMBER(L375),L375&gt;MIN($L$2:$L$1001),COUNTIF($L$2:$L$1001,L375-1)=0,COUNTIF($L$2:$L$1001,L375-2)&lt;2),"⚠ Missing serial "&amp;(L375-1),IF(AND(MAX(K$1:K374)&gt;0,N(K375)-MAX(K$1:K374)&gt;180),"⚠ Gap &gt; 3h",IF(C375-I375&gt;=0.99,"next day",IF(C375-I375&gt;0.4,"12h → 24h","")))))))))))</f>
        <v/>
      </c>
      <c r="H375" s="4" t="str">
        <f t="shared" si="25"/>
        <v/>
      </c>
      <c r="I375" s="5" t="str">
        <f t="shared" si="26"/>
        <v/>
      </c>
      <c r="J375" s="6">
        <f t="shared" si="27"/>
        <v>0</v>
      </c>
      <c r="K375" s="4" t="str">
        <f t="shared" si="28"/>
        <v/>
      </c>
      <c r="L375" s="4" t="str">
        <f t="shared" si="29"/>
        <v/>
      </c>
      <c r="M375" s="4" t="b" cm="1">
        <f t="array" ref="M375">IF(H375="",FALSE,SUMPRODUCT(--(H$1:H374=H375))&gt;0)</f>
        <v>0</v>
      </c>
    </row>
    <row r="376" spans="1:13" x14ac:dyDescent="0.25">
      <c r="A376" s="9" t="str">
        <f>IF(OR(B376="",M376,G376="— ignored"),"",MAX(A$1:A375)+1)</f>
        <v/>
      </c>
      <c r="B376" s="10"/>
      <c r="C376" s="11" t="str">
        <f>IF(I376="","",ROUND((I376+0.5*MAX(0,CEILING(ROUND((MAX(C$1:C375)-1/48-I376)/0.5,6),1)))*1440,0)/1440)</f>
        <v/>
      </c>
      <c r="D376" s="9" t="str" cm="1">
        <f t="array" ref="D376">IF(H376="","",IFERROR(INDEX(Log!$C$19:$G$19,VALUE(MID(H376,FIND("#",H376)+1,1))),""))</f>
        <v/>
      </c>
      <c r="E376" s="9" t="str" cm="1">
        <f t="array" ref="E376">IF(OR(H376="",M376),"",IFERROR(_xlfn.LET(_xlpm.t,SUBSTITUTE(UPPER(H376),"م","M"),_xlpm.u,SUBSTITUTE(_xlpm.t,"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76" s="12"/>
      <c r="G376" s="13" t="str">
        <f>IF(B376="","",IF(M376,"⚠ Duplicate (not counted)",IF(AND(I376="",D376="",E376=""),"— ignored",IF(C376="","⚠ Time",IF(D376="","⚠ Plant",IF(E376="","⚠ Quantity",IF(AND(ISNUMBER(L376),COUNTIF(L$1:L375,L376)&gt;0),"⚠ Same serial "&amp;L376,IF(AND(ISNUMBER(L376),L376&gt;MIN($L$2:$L$1001),COUNTIF($L$2:$L$1001,L376-1)=0,COUNTIF($L$2:$L$1001,L376-2)&lt;2),"⚠ Missing serial "&amp;(L376-1),IF(AND(MAX(K$1:K375)&gt;0,N(K376)-MAX(K$1:K375)&gt;180),"⚠ Gap &gt; 3h",IF(C376-I376&gt;=0.99,"next day",IF(C376-I376&gt;0.4,"12h → 24h","")))))))))))</f>
        <v/>
      </c>
      <c r="H376" s="4" t="str">
        <f t="shared" si="25"/>
        <v/>
      </c>
      <c r="I376" s="5" t="str">
        <f t="shared" si="26"/>
        <v/>
      </c>
      <c r="J376" s="6">
        <f t="shared" si="27"/>
        <v>0</v>
      </c>
      <c r="K376" s="4" t="str">
        <f t="shared" si="28"/>
        <v/>
      </c>
      <c r="L376" s="4" t="str">
        <f t="shared" si="29"/>
        <v/>
      </c>
      <c r="M376" s="4" t="b" cm="1">
        <f t="array" ref="M376">IF(H376="",FALSE,SUMPRODUCT(--(H$1:H375=H376))&gt;0)</f>
        <v>0</v>
      </c>
    </row>
    <row r="377" spans="1:13" x14ac:dyDescent="0.25">
      <c r="A377" s="9" t="str">
        <f>IF(OR(B377="",M377,G377="— ignored"),"",MAX(A$1:A376)+1)</f>
        <v/>
      </c>
      <c r="B377" s="10"/>
      <c r="C377" s="11" t="str">
        <f>IF(I377="","",ROUND((I377+0.5*MAX(0,CEILING(ROUND((MAX(C$1:C376)-1/48-I377)/0.5,6),1)))*1440,0)/1440)</f>
        <v/>
      </c>
      <c r="D377" s="9" t="str" cm="1">
        <f t="array" ref="D377">IF(H377="","",IFERROR(INDEX(Log!$C$19:$G$19,VALUE(MID(H377,FIND("#",H377)+1,1))),""))</f>
        <v/>
      </c>
      <c r="E377" s="9" t="str" cm="1">
        <f t="array" ref="E377">IF(OR(H377="",M377),"",IFERROR(_xlfn.LET(_xlpm.t,SUBSTITUTE(UPPER(H377),"م","M"),_xlpm.u,SUBSTITUTE(_xlpm.t,"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77" s="12"/>
      <c r="G377" s="13" t="str">
        <f>IF(B377="","",IF(M377,"⚠ Duplicate (not counted)",IF(AND(I377="",D377="",E377=""),"— ignored",IF(C377="","⚠ Time",IF(D377="","⚠ Plant",IF(E377="","⚠ Quantity",IF(AND(ISNUMBER(L377),COUNTIF(L$1:L376,L377)&gt;0),"⚠ Same serial "&amp;L377,IF(AND(ISNUMBER(L377),L377&gt;MIN($L$2:$L$1001),COUNTIF($L$2:$L$1001,L377-1)=0,COUNTIF($L$2:$L$1001,L377-2)&lt;2),"⚠ Missing serial "&amp;(L377-1),IF(AND(MAX(K$1:K376)&gt;0,N(K377)-MAX(K$1:K376)&gt;180),"⚠ Gap &gt; 3h",IF(C377-I377&gt;=0.99,"next day",IF(C377-I377&gt;0.4,"12h → 24h","")))))))))))</f>
        <v/>
      </c>
      <c r="H377" s="4" t="str">
        <f t="shared" si="25"/>
        <v/>
      </c>
      <c r="I377" s="5" t="str">
        <f t="shared" si="26"/>
        <v/>
      </c>
      <c r="J377" s="6">
        <f t="shared" si="27"/>
        <v>0</v>
      </c>
      <c r="K377" s="4" t="str">
        <f t="shared" si="28"/>
        <v/>
      </c>
      <c r="L377" s="4" t="str">
        <f t="shared" si="29"/>
        <v/>
      </c>
      <c r="M377" s="4" t="b" cm="1">
        <f t="array" ref="M377">IF(H377="",FALSE,SUMPRODUCT(--(H$1:H376=H377))&gt;0)</f>
        <v>0</v>
      </c>
    </row>
    <row r="378" spans="1:13" x14ac:dyDescent="0.25">
      <c r="A378" s="9" t="str">
        <f>IF(OR(B378="",M378,G378="— ignored"),"",MAX(A$1:A377)+1)</f>
        <v/>
      </c>
      <c r="B378" s="10"/>
      <c r="C378" s="11" t="str">
        <f>IF(I378="","",ROUND((I378+0.5*MAX(0,CEILING(ROUND((MAX(C$1:C377)-1/48-I378)/0.5,6),1)))*1440,0)/1440)</f>
        <v/>
      </c>
      <c r="D378" s="9" t="str" cm="1">
        <f t="array" ref="D378">IF(H378="","",IFERROR(INDEX(Log!$C$19:$G$19,VALUE(MID(H378,FIND("#",H378)+1,1))),""))</f>
        <v/>
      </c>
      <c r="E378" s="9" t="str" cm="1">
        <f t="array" ref="E378">IF(OR(H378="",M378),"",IFERROR(_xlfn.LET(_xlpm.t,SUBSTITUTE(UPPER(H378),"م","M"),_xlpm.u,SUBSTITUTE(_xlpm.t,"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78" s="12"/>
      <c r="G378" s="13" t="str">
        <f>IF(B378="","",IF(M378,"⚠ Duplicate (not counted)",IF(AND(I378="",D378="",E378=""),"— ignored",IF(C378="","⚠ Time",IF(D378="","⚠ Plant",IF(E378="","⚠ Quantity",IF(AND(ISNUMBER(L378),COUNTIF(L$1:L377,L378)&gt;0),"⚠ Same serial "&amp;L378,IF(AND(ISNUMBER(L378),L378&gt;MIN($L$2:$L$1001),COUNTIF($L$2:$L$1001,L378-1)=0,COUNTIF($L$2:$L$1001,L378-2)&lt;2),"⚠ Missing serial "&amp;(L378-1),IF(AND(MAX(K$1:K377)&gt;0,N(K378)-MAX(K$1:K377)&gt;180),"⚠ Gap &gt; 3h",IF(C378-I378&gt;=0.99,"next day",IF(C378-I378&gt;0.4,"12h → 24h","")))))))))))</f>
        <v/>
      </c>
      <c r="H378" s="4" t="str">
        <f t="shared" si="25"/>
        <v/>
      </c>
      <c r="I378" s="5" t="str">
        <f t="shared" si="26"/>
        <v/>
      </c>
      <c r="J378" s="6">
        <f t="shared" si="27"/>
        <v>0</v>
      </c>
      <c r="K378" s="4" t="str">
        <f t="shared" si="28"/>
        <v/>
      </c>
      <c r="L378" s="4" t="str">
        <f t="shared" si="29"/>
        <v/>
      </c>
      <c r="M378" s="4" t="b" cm="1">
        <f t="array" ref="M378">IF(H378="",FALSE,SUMPRODUCT(--(H$1:H377=H378))&gt;0)</f>
        <v>0</v>
      </c>
    </row>
    <row r="379" spans="1:13" x14ac:dyDescent="0.25">
      <c r="A379" s="9" t="str">
        <f>IF(OR(B379="",M379,G379="— ignored"),"",MAX(A$1:A378)+1)</f>
        <v/>
      </c>
      <c r="B379" s="10"/>
      <c r="C379" s="11" t="str">
        <f>IF(I379="","",ROUND((I379+0.5*MAX(0,CEILING(ROUND((MAX(C$1:C378)-1/48-I379)/0.5,6),1)))*1440,0)/1440)</f>
        <v/>
      </c>
      <c r="D379" s="9" t="str" cm="1">
        <f t="array" ref="D379">IF(H379="","",IFERROR(INDEX(Log!$C$19:$G$19,VALUE(MID(H379,FIND("#",H379)+1,1))),""))</f>
        <v/>
      </c>
      <c r="E379" s="9" t="str" cm="1">
        <f t="array" ref="E379">IF(OR(H379="",M379),"",IFERROR(_xlfn.LET(_xlpm.t,SUBSTITUTE(UPPER(H379),"م","M"),_xlpm.u,SUBSTITUTE(_xlpm.t,"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79" s="12"/>
      <c r="G379" s="13" t="str">
        <f>IF(B379="","",IF(M379,"⚠ Duplicate (not counted)",IF(AND(I379="",D379="",E379=""),"— ignored",IF(C379="","⚠ Time",IF(D379="","⚠ Plant",IF(E379="","⚠ Quantity",IF(AND(ISNUMBER(L379),COUNTIF(L$1:L378,L379)&gt;0),"⚠ Same serial "&amp;L379,IF(AND(ISNUMBER(L379),L379&gt;MIN($L$2:$L$1001),COUNTIF($L$2:$L$1001,L379-1)=0,COUNTIF($L$2:$L$1001,L379-2)&lt;2),"⚠ Missing serial "&amp;(L379-1),IF(AND(MAX(K$1:K378)&gt;0,N(K379)-MAX(K$1:K378)&gt;180),"⚠ Gap &gt; 3h",IF(C379-I379&gt;=0.99,"next day",IF(C379-I379&gt;0.4,"12h → 24h","")))))))))))</f>
        <v/>
      </c>
      <c r="H379" s="4" t="str">
        <f t="shared" si="25"/>
        <v/>
      </c>
      <c r="I379" s="5" t="str">
        <f t="shared" si="26"/>
        <v/>
      </c>
      <c r="J379" s="6">
        <f t="shared" si="27"/>
        <v>0</v>
      </c>
      <c r="K379" s="4" t="str">
        <f t="shared" si="28"/>
        <v/>
      </c>
      <c r="L379" s="4" t="str">
        <f t="shared" si="29"/>
        <v/>
      </c>
      <c r="M379" s="4" t="b" cm="1">
        <f t="array" ref="M379">IF(H379="",FALSE,SUMPRODUCT(--(H$1:H378=H379))&gt;0)</f>
        <v>0</v>
      </c>
    </row>
    <row r="380" spans="1:13" x14ac:dyDescent="0.25">
      <c r="A380" s="9" t="str">
        <f>IF(OR(B380="",M380,G380="— ignored"),"",MAX(A$1:A379)+1)</f>
        <v/>
      </c>
      <c r="B380" s="10"/>
      <c r="C380" s="11" t="str">
        <f>IF(I380="","",ROUND((I380+0.5*MAX(0,CEILING(ROUND((MAX(C$1:C379)-1/48-I380)/0.5,6),1)))*1440,0)/1440)</f>
        <v/>
      </c>
      <c r="D380" s="9" t="str" cm="1">
        <f t="array" ref="D380">IF(H380="","",IFERROR(INDEX(Log!$C$19:$G$19,VALUE(MID(H380,FIND("#",H380)+1,1))),""))</f>
        <v/>
      </c>
      <c r="E380" s="9" t="str" cm="1">
        <f t="array" ref="E380">IF(OR(H380="",M380),"",IFERROR(_xlfn.LET(_xlpm.t,SUBSTITUTE(UPPER(H380),"م","M"),_xlpm.u,SUBSTITUTE(_xlpm.t,"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80" s="12"/>
      <c r="G380" s="13" t="str">
        <f>IF(B380="","",IF(M380,"⚠ Duplicate (not counted)",IF(AND(I380="",D380="",E380=""),"— ignored",IF(C380="","⚠ Time",IF(D380="","⚠ Plant",IF(E380="","⚠ Quantity",IF(AND(ISNUMBER(L380),COUNTIF(L$1:L379,L380)&gt;0),"⚠ Same serial "&amp;L380,IF(AND(ISNUMBER(L380),L380&gt;MIN($L$2:$L$1001),COUNTIF($L$2:$L$1001,L380-1)=0,COUNTIF($L$2:$L$1001,L380-2)&lt;2),"⚠ Missing serial "&amp;(L380-1),IF(AND(MAX(K$1:K379)&gt;0,N(K380)-MAX(K$1:K379)&gt;180),"⚠ Gap &gt; 3h",IF(C380-I380&gt;=0.99,"next day",IF(C380-I380&gt;0.4,"12h → 24h","")))))))))))</f>
        <v/>
      </c>
      <c r="H380" s="4" t="str">
        <f t="shared" si="25"/>
        <v/>
      </c>
      <c r="I380" s="5" t="str">
        <f t="shared" si="26"/>
        <v/>
      </c>
      <c r="J380" s="6">
        <f t="shared" si="27"/>
        <v>0</v>
      </c>
      <c r="K380" s="4" t="str">
        <f t="shared" si="28"/>
        <v/>
      </c>
      <c r="L380" s="4" t="str">
        <f t="shared" si="29"/>
        <v/>
      </c>
      <c r="M380" s="4" t="b" cm="1">
        <f t="array" ref="M380">IF(H380="",FALSE,SUMPRODUCT(--(H$1:H379=H380))&gt;0)</f>
        <v>0</v>
      </c>
    </row>
    <row r="381" spans="1:13" x14ac:dyDescent="0.25">
      <c r="A381" s="9" t="str">
        <f>IF(OR(B381="",M381,G381="— ignored"),"",MAX(A$1:A380)+1)</f>
        <v/>
      </c>
      <c r="B381" s="10"/>
      <c r="C381" s="11" t="str">
        <f>IF(I381="","",ROUND((I381+0.5*MAX(0,CEILING(ROUND((MAX(C$1:C380)-1/48-I381)/0.5,6),1)))*1440,0)/1440)</f>
        <v/>
      </c>
      <c r="D381" s="9" t="str" cm="1">
        <f t="array" ref="D381">IF(H381="","",IFERROR(INDEX(Log!$C$19:$G$19,VALUE(MID(H381,FIND("#",H381)+1,1))),""))</f>
        <v/>
      </c>
      <c r="E381" s="9" t="str" cm="1">
        <f t="array" ref="E381">IF(OR(H381="",M381),"",IFERROR(_xlfn.LET(_xlpm.t,SUBSTITUTE(UPPER(H381),"م","M"),_xlpm.u,SUBSTITUTE(_xlpm.t,"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81" s="12"/>
      <c r="G381" s="13" t="str">
        <f>IF(B381="","",IF(M381,"⚠ Duplicate (not counted)",IF(AND(I381="",D381="",E381=""),"— ignored",IF(C381="","⚠ Time",IF(D381="","⚠ Plant",IF(E381="","⚠ Quantity",IF(AND(ISNUMBER(L381),COUNTIF(L$1:L380,L381)&gt;0),"⚠ Same serial "&amp;L381,IF(AND(ISNUMBER(L381),L381&gt;MIN($L$2:$L$1001),COUNTIF($L$2:$L$1001,L381-1)=0,COUNTIF($L$2:$L$1001,L381-2)&lt;2),"⚠ Missing serial "&amp;(L381-1),IF(AND(MAX(K$1:K380)&gt;0,N(K381)-MAX(K$1:K380)&gt;180),"⚠ Gap &gt; 3h",IF(C381-I381&gt;=0.99,"next day",IF(C381-I381&gt;0.4,"12h → 24h","")))))))))))</f>
        <v/>
      </c>
      <c r="H381" s="4" t="str">
        <f t="shared" si="25"/>
        <v/>
      </c>
      <c r="I381" s="5" t="str">
        <f t="shared" si="26"/>
        <v/>
      </c>
      <c r="J381" s="6">
        <f t="shared" si="27"/>
        <v>0</v>
      </c>
      <c r="K381" s="4" t="str">
        <f t="shared" si="28"/>
        <v/>
      </c>
      <c r="L381" s="4" t="str">
        <f t="shared" si="29"/>
        <v/>
      </c>
      <c r="M381" s="4" t="b" cm="1">
        <f t="array" ref="M381">IF(H381="",FALSE,SUMPRODUCT(--(H$1:H380=H381))&gt;0)</f>
        <v>0</v>
      </c>
    </row>
    <row r="382" spans="1:13" x14ac:dyDescent="0.25">
      <c r="A382" s="9" t="str">
        <f>IF(OR(B382="",M382,G382="— ignored"),"",MAX(A$1:A381)+1)</f>
        <v/>
      </c>
      <c r="B382" s="10"/>
      <c r="C382" s="11" t="str">
        <f>IF(I382="","",ROUND((I382+0.5*MAX(0,CEILING(ROUND((MAX(C$1:C381)-1/48-I382)/0.5,6),1)))*1440,0)/1440)</f>
        <v/>
      </c>
      <c r="D382" s="9" t="str" cm="1">
        <f t="array" ref="D382">IF(H382="","",IFERROR(INDEX(Log!$C$19:$G$19,VALUE(MID(H382,FIND("#",H382)+1,1))),""))</f>
        <v/>
      </c>
      <c r="E382" s="9" t="str" cm="1">
        <f t="array" ref="E382">IF(OR(H382="",M382),"",IFERROR(_xlfn.LET(_xlpm.t,SUBSTITUTE(UPPER(H382),"م","M"),_xlpm.u,SUBSTITUTE(_xlpm.t,"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82" s="12"/>
      <c r="G382" s="13" t="str">
        <f>IF(B382="","",IF(M382,"⚠ Duplicate (not counted)",IF(AND(I382="",D382="",E382=""),"— ignored",IF(C382="","⚠ Time",IF(D382="","⚠ Plant",IF(E382="","⚠ Quantity",IF(AND(ISNUMBER(L382),COUNTIF(L$1:L381,L382)&gt;0),"⚠ Same serial "&amp;L382,IF(AND(ISNUMBER(L382),L382&gt;MIN($L$2:$L$1001),COUNTIF($L$2:$L$1001,L382-1)=0,COUNTIF($L$2:$L$1001,L382-2)&lt;2),"⚠ Missing serial "&amp;(L382-1),IF(AND(MAX(K$1:K381)&gt;0,N(K382)-MAX(K$1:K381)&gt;180),"⚠ Gap &gt; 3h",IF(C382-I382&gt;=0.99,"next day",IF(C382-I382&gt;0.4,"12h → 24h","")))))))))))</f>
        <v/>
      </c>
      <c r="H382" s="4" t="str">
        <f t="shared" si="25"/>
        <v/>
      </c>
      <c r="I382" s="5" t="str">
        <f t="shared" si="26"/>
        <v/>
      </c>
      <c r="J382" s="6">
        <f t="shared" si="27"/>
        <v>0</v>
      </c>
      <c r="K382" s="4" t="str">
        <f t="shared" si="28"/>
        <v/>
      </c>
      <c r="L382" s="4" t="str">
        <f t="shared" si="29"/>
        <v/>
      </c>
      <c r="M382" s="4" t="b" cm="1">
        <f t="array" ref="M382">IF(H382="",FALSE,SUMPRODUCT(--(H$1:H381=H382))&gt;0)</f>
        <v>0</v>
      </c>
    </row>
    <row r="383" spans="1:13" x14ac:dyDescent="0.25">
      <c r="A383" s="9" t="str">
        <f>IF(OR(B383="",M383,G383="— ignored"),"",MAX(A$1:A382)+1)</f>
        <v/>
      </c>
      <c r="B383" s="10"/>
      <c r="C383" s="11" t="str">
        <f>IF(I383="","",ROUND((I383+0.5*MAX(0,CEILING(ROUND((MAX(C$1:C382)-1/48-I383)/0.5,6),1)))*1440,0)/1440)</f>
        <v/>
      </c>
      <c r="D383" s="9" t="str" cm="1">
        <f t="array" ref="D383">IF(H383="","",IFERROR(INDEX(Log!$C$19:$G$19,VALUE(MID(H383,FIND("#",H383)+1,1))),""))</f>
        <v/>
      </c>
      <c r="E383" s="9" t="str" cm="1">
        <f t="array" ref="E383">IF(OR(H383="",M383),"",IFERROR(_xlfn.LET(_xlpm.t,SUBSTITUTE(UPPER(H383),"م","M"),_xlpm.u,SUBSTITUTE(_xlpm.t,"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83" s="12"/>
      <c r="G383" s="13" t="str">
        <f>IF(B383="","",IF(M383,"⚠ Duplicate (not counted)",IF(AND(I383="",D383="",E383=""),"— ignored",IF(C383="","⚠ Time",IF(D383="","⚠ Plant",IF(E383="","⚠ Quantity",IF(AND(ISNUMBER(L383),COUNTIF(L$1:L382,L383)&gt;0),"⚠ Same serial "&amp;L383,IF(AND(ISNUMBER(L383),L383&gt;MIN($L$2:$L$1001),COUNTIF($L$2:$L$1001,L383-1)=0,COUNTIF($L$2:$L$1001,L383-2)&lt;2),"⚠ Missing serial "&amp;(L383-1),IF(AND(MAX(K$1:K382)&gt;0,N(K383)-MAX(K$1:K382)&gt;180),"⚠ Gap &gt; 3h",IF(C383-I383&gt;=0.99,"next day",IF(C383-I383&gt;0.4,"12h → 24h","")))))))))))</f>
        <v/>
      </c>
      <c r="H383" s="4" t="str">
        <f t="shared" si="25"/>
        <v/>
      </c>
      <c r="I383" s="5" t="str">
        <f t="shared" si="26"/>
        <v/>
      </c>
      <c r="J383" s="6">
        <f t="shared" si="27"/>
        <v>0</v>
      </c>
      <c r="K383" s="4" t="str">
        <f t="shared" si="28"/>
        <v/>
      </c>
      <c r="L383" s="4" t="str">
        <f t="shared" si="29"/>
        <v/>
      </c>
      <c r="M383" s="4" t="b" cm="1">
        <f t="array" ref="M383">IF(H383="",FALSE,SUMPRODUCT(--(H$1:H382=H383))&gt;0)</f>
        <v>0</v>
      </c>
    </row>
    <row r="384" spans="1:13" x14ac:dyDescent="0.25">
      <c r="A384" s="9" t="str">
        <f>IF(OR(B384="",M384,G384="— ignored"),"",MAX(A$1:A383)+1)</f>
        <v/>
      </c>
      <c r="B384" s="10"/>
      <c r="C384" s="11" t="str">
        <f>IF(I384="","",ROUND((I384+0.5*MAX(0,CEILING(ROUND((MAX(C$1:C383)-1/48-I384)/0.5,6),1)))*1440,0)/1440)</f>
        <v/>
      </c>
      <c r="D384" s="9" t="str" cm="1">
        <f t="array" ref="D384">IF(H384="","",IFERROR(INDEX(Log!$C$19:$G$19,VALUE(MID(H384,FIND("#",H384)+1,1))),""))</f>
        <v/>
      </c>
      <c r="E384" s="9" t="str" cm="1">
        <f t="array" ref="E384">IF(OR(H384="",M384),"",IFERROR(_xlfn.LET(_xlpm.t,SUBSTITUTE(UPPER(H384),"م","M"),_xlpm.u,SUBSTITUTE(_xlpm.t,"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84" s="12"/>
      <c r="G384" s="13" t="str">
        <f>IF(B384="","",IF(M384,"⚠ Duplicate (not counted)",IF(AND(I384="",D384="",E384=""),"— ignored",IF(C384="","⚠ Time",IF(D384="","⚠ Plant",IF(E384="","⚠ Quantity",IF(AND(ISNUMBER(L384),COUNTIF(L$1:L383,L384)&gt;0),"⚠ Same serial "&amp;L384,IF(AND(ISNUMBER(L384),L384&gt;MIN($L$2:$L$1001),COUNTIF($L$2:$L$1001,L384-1)=0,COUNTIF($L$2:$L$1001,L384-2)&lt;2),"⚠ Missing serial "&amp;(L384-1),IF(AND(MAX(K$1:K383)&gt;0,N(K384)-MAX(K$1:K383)&gt;180),"⚠ Gap &gt; 3h",IF(C384-I384&gt;=0.99,"next day",IF(C384-I384&gt;0.4,"12h → 24h","")))))))))))</f>
        <v/>
      </c>
      <c r="H384" s="4" t="str">
        <f t="shared" si="25"/>
        <v/>
      </c>
      <c r="I384" s="5" t="str">
        <f t="shared" si="26"/>
        <v/>
      </c>
      <c r="J384" s="6">
        <f t="shared" si="27"/>
        <v>0</v>
      </c>
      <c r="K384" s="4" t="str">
        <f t="shared" si="28"/>
        <v/>
      </c>
      <c r="L384" s="4" t="str">
        <f t="shared" si="29"/>
        <v/>
      </c>
      <c r="M384" s="4" t="b" cm="1">
        <f t="array" ref="M384">IF(H384="",FALSE,SUMPRODUCT(--(H$1:H383=H384))&gt;0)</f>
        <v>0</v>
      </c>
    </row>
    <row r="385" spans="1:13" x14ac:dyDescent="0.25">
      <c r="A385" s="9" t="str">
        <f>IF(OR(B385="",M385,G385="— ignored"),"",MAX(A$1:A384)+1)</f>
        <v/>
      </c>
      <c r="B385" s="10"/>
      <c r="C385" s="11" t="str">
        <f>IF(I385="","",ROUND((I385+0.5*MAX(0,CEILING(ROUND((MAX(C$1:C384)-1/48-I385)/0.5,6),1)))*1440,0)/1440)</f>
        <v/>
      </c>
      <c r="D385" s="9" t="str" cm="1">
        <f t="array" ref="D385">IF(H385="","",IFERROR(INDEX(Log!$C$19:$G$19,VALUE(MID(H385,FIND("#",H385)+1,1))),""))</f>
        <v/>
      </c>
      <c r="E385" s="9" t="str" cm="1">
        <f t="array" ref="E385">IF(OR(H385="",M385),"",IFERROR(_xlfn.LET(_xlpm.t,SUBSTITUTE(UPPER(H385),"م","M"),_xlpm.u,SUBSTITUTE(_xlpm.t,"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85" s="12"/>
      <c r="G385" s="13" t="str">
        <f>IF(B385="","",IF(M385,"⚠ Duplicate (not counted)",IF(AND(I385="",D385="",E385=""),"— ignored",IF(C385="","⚠ Time",IF(D385="","⚠ Plant",IF(E385="","⚠ Quantity",IF(AND(ISNUMBER(L385),COUNTIF(L$1:L384,L385)&gt;0),"⚠ Same serial "&amp;L385,IF(AND(ISNUMBER(L385),L385&gt;MIN($L$2:$L$1001),COUNTIF($L$2:$L$1001,L385-1)=0,COUNTIF($L$2:$L$1001,L385-2)&lt;2),"⚠ Missing serial "&amp;(L385-1),IF(AND(MAX(K$1:K384)&gt;0,N(K385)-MAX(K$1:K384)&gt;180),"⚠ Gap &gt; 3h",IF(C385-I385&gt;=0.99,"next day",IF(C385-I385&gt;0.4,"12h → 24h","")))))))))))</f>
        <v/>
      </c>
      <c r="H385" s="4" t="str">
        <f t="shared" si="25"/>
        <v/>
      </c>
      <c r="I385" s="5" t="str">
        <f t="shared" si="26"/>
        <v/>
      </c>
      <c r="J385" s="6">
        <f t="shared" si="27"/>
        <v>0</v>
      </c>
      <c r="K385" s="4" t="str">
        <f t="shared" si="28"/>
        <v/>
      </c>
      <c r="L385" s="4" t="str">
        <f t="shared" si="29"/>
        <v/>
      </c>
      <c r="M385" s="4" t="b" cm="1">
        <f t="array" ref="M385">IF(H385="",FALSE,SUMPRODUCT(--(H$1:H384=H385))&gt;0)</f>
        <v>0</v>
      </c>
    </row>
    <row r="386" spans="1:13" x14ac:dyDescent="0.25">
      <c r="A386" s="9" t="str">
        <f>IF(OR(B386="",M386,G386="— ignored"),"",MAX(A$1:A385)+1)</f>
        <v/>
      </c>
      <c r="B386" s="10"/>
      <c r="C386" s="11" t="str">
        <f>IF(I386="","",ROUND((I386+0.5*MAX(0,CEILING(ROUND((MAX(C$1:C385)-1/48-I386)/0.5,6),1)))*1440,0)/1440)</f>
        <v/>
      </c>
      <c r="D386" s="9" t="str" cm="1">
        <f t="array" ref="D386">IF(H386="","",IFERROR(INDEX(Log!$C$19:$G$19,VALUE(MID(H386,FIND("#",H386)+1,1))),""))</f>
        <v/>
      </c>
      <c r="E386" s="9" t="str" cm="1">
        <f t="array" ref="E386">IF(OR(H386="",M386),"",IFERROR(_xlfn.LET(_xlpm.t,SUBSTITUTE(UPPER(H386),"م","M"),_xlpm.u,SUBSTITUTE(_xlpm.t,"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86" s="12"/>
      <c r="G386" s="13" t="str">
        <f>IF(B386="","",IF(M386,"⚠ Duplicate (not counted)",IF(AND(I386="",D386="",E386=""),"— ignored",IF(C386="","⚠ Time",IF(D386="","⚠ Plant",IF(E386="","⚠ Quantity",IF(AND(ISNUMBER(L386),COUNTIF(L$1:L385,L386)&gt;0),"⚠ Same serial "&amp;L386,IF(AND(ISNUMBER(L386),L386&gt;MIN($L$2:$L$1001),COUNTIF($L$2:$L$1001,L386-1)=0,COUNTIF($L$2:$L$1001,L386-2)&lt;2),"⚠ Missing serial "&amp;(L386-1),IF(AND(MAX(K$1:K385)&gt;0,N(K386)-MAX(K$1:K385)&gt;180),"⚠ Gap &gt; 3h",IF(C386-I386&gt;=0.99,"next day",IF(C386-I386&gt;0.4,"12h → 24h","")))))))))))</f>
        <v/>
      </c>
      <c r="H386" s="4" t="str">
        <f t="shared" ref="H386:H449" si="30">IF(B386="","",_xlfn.LET(_xlpm.t,TRIM(B386),IF(LEFT(_xlpm.t,1)="[",IFERROR(TRIM(MID(_xlpm.t,FIND(": ",_xlpm.t,FIND("]",_xlpm.t))+2,500)),_xlpm.t),_xlpm.t)))</f>
        <v/>
      </c>
      <c r="I386" s="5" t="str">
        <f t="shared" ref="I386:I449" si="31">IF(H386="","",IFERROR(TIMEVALUE(TRIM(SUBSTITUTE(SUBSTITUTE(MID(H386,SEARCH(":",H386)-2,5),".",""),"*",""))),""))</f>
        <v/>
      </c>
      <c r="J386" s="6">
        <f t="shared" ref="J386:J449" si="32">IF(OR(B386="",F386="",M386),0,IF(ISNUMBER(F386),F386,N(E386)))</f>
        <v>0</v>
      </c>
      <c r="K386" s="4" t="str">
        <f t="shared" ref="K386:K449" si="33">IF(OR(C386="",M386),"",ROUND(C386*1440,0))</f>
        <v/>
      </c>
      <c r="L386" s="4" t="str">
        <f t="shared" ref="L386:L449" si="34">IF(OR(H386="",AND(I386="",D386="")),"",IFERROR(_xlfn.LET(_xlpm.t,TRIM(SUBSTITUTE(SUBSTITUTE(H386,"*",""),"_","")),VALUE(SUBSTITUTE(LEFT(_xlpm.t,FIND(" ",_xlpm.t&amp;" ")-1),".",""))),""))</f>
        <v/>
      </c>
      <c r="M386" s="4" t="b" cm="1">
        <f t="array" ref="M386">IF(H386="",FALSE,SUMPRODUCT(--(H$1:H385=H386))&gt;0)</f>
        <v>0</v>
      </c>
    </row>
    <row r="387" spans="1:13" x14ac:dyDescent="0.25">
      <c r="A387" s="9" t="str">
        <f>IF(OR(B387="",M387,G387="— ignored"),"",MAX(A$1:A386)+1)</f>
        <v/>
      </c>
      <c r="B387" s="10"/>
      <c r="C387" s="11" t="str">
        <f>IF(I387="","",ROUND((I387+0.5*MAX(0,CEILING(ROUND((MAX(C$1:C386)-1/48-I387)/0.5,6),1)))*1440,0)/1440)</f>
        <v/>
      </c>
      <c r="D387" s="9" t="str" cm="1">
        <f t="array" ref="D387">IF(H387="","",IFERROR(INDEX(Log!$C$19:$G$19,VALUE(MID(H387,FIND("#",H387)+1,1))),""))</f>
        <v/>
      </c>
      <c r="E387" s="9" t="str" cm="1">
        <f t="array" ref="E387">IF(OR(H387="",M387),"",IFERROR(_xlfn.LET(_xlpm.t,SUBSTITUTE(UPPER(H387),"م","M"),_xlpm.u,SUBSTITUTE(_xlpm.t,"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87" s="12"/>
      <c r="G387" s="13" t="str">
        <f>IF(B387="","",IF(M387,"⚠ Duplicate (not counted)",IF(AND(I387="",D387="",E387=""),"— ignored",IF(C387="","⚠ Time",IF(D387="","⚠ Plant",IF(E387="","⚠ Quantity",IF(AND(ISNUMBER(L387),COUNTIF(L$1:L386,L387)&gt;0),"⚠ Same serial "&amp;L387,IF(AND(ISNUMBER(L387),L387&gt;MIN($L$2:$L$1001),COUNTIF($L$2:$L$1001,L387-1)=0,COUNTIF($L$2:$L$1001,L387-2)&lt;2),"⚠ Missing serial "&amp;(L387-1),IF(AND(MAX(K$1:K386)&gt;0,N(K387)-MAX(K$1:K386)&gt;180),"⚠ Gap &gt; 3h",IF(C387-I387&gt;=0.99,"next day",IF(C387-I387&gt;0.4,"12h → 24h","")))))))))))</f>
        <v/>
      </c>
      <c r="H387" s="4" t="str">
        <f t="shared" si="30"/>
        <v/>
      </c>
      <c r="I387" s="5" t="str">
        <f t="shared" si="31"/>
        <v/>
      </c>
      <c r="J387" s="6">
        <f t="shared" si="32"/>
        <v>0</v>
      </c>
      <c r="K387" s="4" t="str">
        <f t="shared" si="33"/>
        <v/>
      </c>
      <c r="L387" s="4" t="str">
        <f t="shared" si="34"/>
        <v/>
      </c>
      <c r="M387" s="4" t="b" cm="1">
        <f t="array" ref="M387">IF(H387="",FALSE,SUMPRODUCT(--(H$1:H386=H387))&gt;0)</f>
        <v>0</v>
      </c>
    </row>
    <row r="388" spans="1:13" x14ac:dyDescent="0.25">
      <c r="A388" s="9" t="str">
        <f>IF(OR(B388="",M388,G388="— ignored"),"",MAX(A$1:A387)+1)</f>
        <v/>
      </c>
      <c r="B388" s="10"/>
      <c r="C388" s="11" t="str">
        <f>IF(I388="","",ROUND((I388+0.5*MAX(0,CEILING(ROUND((MAX(C$1:C387)-1/48-I388)/0.5,6),1)))*1440,0)/1440)</f>
        <v/>
      </c>
      <c r="D388" s="9" t="str" cm="1">
        <f t="array" ref="D388">IF(H388="","",IFERROR(INDEX(Log!$C$19:$G$19,VALUE(MID(H388,FIND("#",H388)+1,1))),""))</f>
        <v/>
      </c>
      <c r="E388" s="9" t="str" cm="1">
        <f t="array" ref="E388">IF(OR(H388="",M388),"",IFERROR(_xlfn.LET(_xlpm.t,SUBSTITUTE(UPPER(H388),"م","M"),_xlpm.u,SUBSTITUTE(_xlpm.t,"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88" s="12"/>
      <c r="G388" s="13" t="str">
        <f>IF(B388="","",IF(M388,"⚠ Duplicate (not counted)",IF(AND(I388="",D388="",E388=""),"— ignored",IF(C388="","⚠ Time",IF(D388="","⚠ Plant",IF(E388="","⚠ Quantity",IF(AND(ISNUMBER(L388),COUNTIF(L$1:L387,L388)&gt;0),"⚠ Same serial "&amp;L388,IF(AND(ISNUMBER(L388),L388&gt;MIN($L$2:$L$1001),COUNTIF($L$2:$L$1001,L388-1)=0,COUNTIF($L$2:$L$1001,L388-2)&lt;2),"⚠ Missing serial "&amp;(L388-1),IF(AND(MAX(K$1:K387)&gt;0,N(K388)-MAX(K$1:K387)&gt;180),"⚠ Gap &gt; 3h",IF(C388-I388&gt;=0.99,"next day",IF(C388-I388&gt;0.4,"12h → 24h","")))))))))))</f>
        <v/>
      </c>
      <c r="H388" s="4" t="str">
        <f t="shared" si="30"/>
        <v/>
      </c>
      <c r="I388" s="5" t="str">
        <f t="shared" si="31"/>
        <v/>
      </c>
      <c r="J388" s="6">
        <f t="shared" si="32"/>
        <v>0</v>
      </c>
      <c r="K388" s="4" t="str">
        <f t="shared" si="33"/>
        <v/>
      </c>
      <c r="L388" s="4" t="str">
        <f t="shared" si="34"/>
        <v/>
      </c>
      <c r="M388" s="4" t="b" cm="1">
        <f t="array" ref="M388">IF(H388="",FALSE,SUMPRODUCT(--(H$1:H387=H388))&gt;0)</f>
        <v>0</v>
      </c>
    </row>
    <row r="389" spans="1:13" x14ac:dyDescent="0.25">
      <c r="A389" s="9" t="str">
        <f>IF(OR(B389="",M389,G389="— ignored"),"",MAX(A$1:A388)+1)</f>
        <v/>
      </c>
      <c r="B389" s="10"/>
      <c r="C389" s="11" t="str">
        <f>IF(I389="","",ROUND((I389+0.5*MAX(0,CEILING(ROUND((MAX(C$1:C388)-1/48-I389)/0.5,6),1)))*1440,0)/1440)</f>
        <v/>
      </c>
      <c r="D389" s="9" t="str" cm="1">
        <f t="array" ref="D389">IF(H389="","",IFERROR(INDEX(Log!$C$19:$G$19,VALUE(MID(H389,FIND("#",H389)+1,1))),""))</f>
        <v/>
      </c>
      <c r="E389" s="9" t="str" cm="1">
        <f t="array" ref="E389">IF(OR(H389="",M389),"",IFERROR(_xlfn.LET(_xlpm.t,SUBSTITUTE(UPPER(H389),"م","M"),_xlpm.u,SUBSTITUTE(_xlpm.t,"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89" s="12"/>
      <c r="G389" s="13" t="str">
        <f>IF(B389="","",IF(M389,"⚠ Duplicate (not counted)",IF(AND(I389="",D389="",E389=""),"— ignored",IF(C389="","⚠ Time",IF(D389="","⚠ Plant",IF(E389="","⚠ Quantity",IF(AND(ISNUMBER(L389),COUNTIF(L$1:L388,L389)&gt;0),"⚠ Same serial "&amp;L389,IF(AND(ISNUMBER(L389),L389&gt;MIN($L$2:$L$1001),COUNTIF($L$2:$L$1001,L389-1)=0,COUNTIF($L$2:$L$1001,L389-2)&lt;2),"⚠ Missing serial "&amp;(L389-1),IF(AND(MAX(K$1:K388)&gt;0,N(K389)-MAX(K$1:K388)&gt;180),"⚠ Gap &gt; 3h",IF(C389-I389&gt;=0.99,"next day",IF(C389-I389&gt;0.4,"12h → 24h","")))))))))))</f>
        <v/>
      </c>
      <c r="H389" s="4" t="str">
        <f t="shared" si="30"/>
        <v/>
      </c>
      <c r="I389" s="5" t="str">
        <f t="shared" si="31"/>
        <v/>
      </c>
      <c r="J389" s="6">
        <f t="shared" si="32"/>
        <v>0</v>
      </c>
      <c r="K389" s="4" t="str">
        <f t="shared" si="33"/>
        <v/>
      </c>
      <c r="L389" s="4" t="str">
        <f t="shared" si="34"/>
        <v/>
      </c>
      <c r="M389" s="4" t="b" cm="1">
        <f t="array" ref="M389">IF(H389="",FALSE,SUMPRODUCT(--(H$1:H388=H389))&gt;0)</f>
        <v>0</v>
      </c>
    </row>
    <row r="390" spans="1:13" x14ac:dyDescent="0.25">
      <c r="A390" s="9" t="str">
        <f>IF(OR(B390="",M390,G390="— ignored"),"",MAX(A$1:A389)+1)</f>
        <v/>
      </c>
      <c r="B390" s="10"/>
      <c r="C390" s="11" t="str">
        <f>IF(I390="","",ROUND((I390+0.5*MAX(0,CEILING(ROUND((MAX(C$1:C389)-1/48-I390)/0.5,6),1)))*1440,0)/1440)</f>
        <v/>
      </c>
      <c r="D390" s="9" t="str" cm="1">
        <f t="array" ref="D390">IF(H390="","",IFERROR(INDEX(Log!$C$19:$G$19,VALUE(MID(H390,FIND("#",H390)+1,1))),""))</f>
        <v/>
      </c>
      <c r="E390" s="9" t="str" cm="1">
        <f t="array" ref="E390">IF(OR(H390="",M390),"",IFERROR(_xlfn.LET(_xlpm.t,SUBSTITUTE(UPPER(H390),"م","M"),_xlpm.u,SUBSTITUTE(_xlpm.t,"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90" s="12"/>
      <c r="G390" s="13" t="str">
        <f>IF(B390="","",IF(M390,"⚠ Duplicate (not counted)",IF(AND(I390="",D390="",E390=""),"— ignored",IF(C390="","⚠ Time",IF(D390="","⚠ Plant",IF(E390="","⚠ Quantity",IF(AND(ISNUMBER(L390),COUNTIF(L$1:L389,L390)&gt;0),"⚠ Same serial "&amp;L390,IF(AND(ISNUMBER(L390),L390&gt;MIN($L$2:$L$1001),COUNTIF($L$2:$L$1001,L390-1)=0,COUNTIF($L$2:$L$1001,L390-2)&lt;2),"⚠ Missing serial "&amp;(L390-1),IF(AND(MAX(K$1:K389)&gt;0,N(K390)-MAX(K$1:K389)&gt;180),"⚠ Gap &gt; 3h",IF(C390-I390&gt;=0.99,"next day",IF(C390-I390&gt;0.4,"12h → 24h","")))))))))))</f>
        <v/>
      </c>
      <c r="H390" s="4" t="str">
        <f t="shared" si="30"/>
        <v/>
      </c>
      <c r="I390" s="5" t="str">
        <f t="shared" si="31"/>
        <v/>
      </c>
      <c r="J390" s="6">
        <f t="shared" si="32"/>
        <v>0</v>
      </c>
      <c r="K390" s="4" t="str">
        <f t="shared" si="33"/>
        <v/>
      </c>
      <c r="L390" s="4" t="str">
        <f t="shared" si="34"/>
        <v/>
      </c>
      <c r="M390" s="4" t="b" cm="1">
        <f t="array" ref="M390">IF(H390="",FALSE,SUMPRODUCT(--(H$1:H389=H390))&gt;0)</f>
        <v>0</v>
      </c>
    </row>
    <row r="391" spans="1:13" x14ac:dyDescent="0.25">
      <c r="A391" s="9" t="str">
        <f>IF(OR(B391="",M391,G391="— ignored"),"",MAX(A$1:A390)+1)</f>
        <v/>
      </c>
      <c r="B391" s="10"/>
      <c r="C391" s="11" t="str">
        <f>IF(I391="","",ROUND((I391+0.5*MAX(0,CEILING(ROUND((MAX(C$1:C390)-1/48-I391)/0.5,6),1)))*1440,0)/1440)</f>
        <v/>
      </c>
      <c r="D391" s="9" t="str" cm="1">
        <f t="array" ref="D391">IF(H391="","",IFERROR(INDEX(Log!$C$19:$G$19,VALUE(MID(H391,FIND("#",H391)+1,1))),""))</f>
        <v/>
      </c>
      <c r="E391" s="9" t="str" cm="1">
        <f t="array" ref="E391">IF(OR(H391="",M391),"",IFERROR(_xlfn.LET(_xlpm.t,SUBSTITUTE(UPPER(H391),"م","M"),_xlpm.u,SUBSTITUTE(_xlpm.t,"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91" s="12"/>
      <c r="G391" s="13" t="str">
        <f>IF(B391="","",IF(M391,"⚠ Duplicate (not counted)",IF(AND(I391="",D391="",E391=""),"— ignored",IF(C391="","⚠ Time",IF(D391="","⚠ Plant",IF(E391="","⚠ Quantity",IF(AND(ISNUMBER(L391),COUNTIF(L$1:L390,L391)&gt;0),"⚠ Same serial "&amp;L391,IF(AND(ISNUMBER(L391),L391&gt;MIN($L$2:$L$1001),COUNTIF($L$2:$L$1001,L391-1)=0,COUNTIF($L$2:$L$1001,L391-2)&lt;2),"⚠ Missing serial "&amp;(L391-1),IF(AND(MAX(K$1:K390)&gt;0,N(K391)-MAX(K$1:K390)&gt;180),"⚠ Gap &gt; 3h",IF(C391-I391&gt;=0.99,"next day",IF(C391-I391&gt;0.4,"12h → 24h","")))))))))))</f>
        <v/>
      </c>
      <c r="H391" s="4" t="str">
        <f t="shared" si="30"/>
        <v/>
      </c>
      <c r="I391" s="5" t="str">
        <f t="shared" si="31"/>
        <v/>
      </c>
      <c r="J391" s="6">
        <f t="shared" si="32"/>
        <v>0</v>
      </c>
      <c r="K391" s="4" t="str">
        <f t="shared" si="33"/>
        <v/>
      </c>
      <c r="L391" s="4" t="str">
        <f t="shared" si="34"/>
        <v/>
      </c>
      <c r="M391" s="4" t="b" cm="1">
        <f t="array" ref="M391">IF(H391="",FALSE,SUMPRODUCT(--(H$1:H390=H391))&gt;0)</f>
        <v>0</v>
      </c>
    </row>
    <row r="392" spans="1:13" x14ac:dyDescent="0.25">
      <c r="A392" s="9" t="str">
        <f>IF(OR(B392="",M392,G392="— ignored"),"",MAX(A$1:A391)+1)</f>
        <v/>
      </c>
      <c r="B392" s="10"/>
      <c r="C392" s="11" t="str">
        <f>IF(I392="","",ROUND((I392+0.5*MAX(0,CEILING(ROUND((MAX(C$1:C391)-1/48-I392)/0.5,6),1)))*1440,0)/1440)</f>
        <v/>
      </c>
      <c r="D392" s="9" t="str" cm="1">
        <f t="array" ref="D392">IF(H392="","",IFERROR(INDEX(Log!$C$19:$G$19,VALUE(MID(H392,FIND("#",H392)+1,1))),""))</f>
        <v/>
      </c>
      <c r="E392" s="9" t="str" cm="1">
        <f t="array" ref="E392">IF(OR(H392="",M392),"",IFERROR(_xlfn.LET(_xlpm.t,SUBSTITUTE(UPPER(H392),"م","M"),_xlpm.u,SUBSTITUTE(_xlpm.t,"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92" s="12"/>
      <c r="G392" s="13" t="str">
        <f>IF(B392="","",IF(M392,"⚠ Duplicate (not counted)",IF(AND(I392="",D392="",E392=""),"— ignored",IF(C392="","⚠ Time",IF(D392="","⚠ Plant",IF(E392="","⚠ Quantity",IF(AND(ISNUMBER(L392),COUNTIF(L$1:L391,L392)&gt;0),"⚠ Same serial "&amp;L392,IF(AND(ISNUMBER(L392),L392&gt;MIN($L$2:$L$1001),COUNTIF($L$2:$L$1001,L392-1)=0,COUNTIF($L$2:$L$1001,L392-2)&lt;2),"⚠ Missing serial "&amp;(L392-1),IF(AND(MAX(K$1:K391)&gt;0,N(K392)-MAX(K$1:K391)&gt;180),"⚠ Gap &gt; 3h",IF(C392-I392&gt;=0.99,"next day",IF(C392-I392&gt;0.4,"12h → 24h","")))))))))))</f>
        <v/>
      </c>
      <c r="H392" s="4" t="str">
        <f t="shared" si="30"/>
        <v/>
      </c>
      <c r="I392" s="5" t="str">
        <f t="shared" si="31"/>
        <v/>
      </c>
      <c r="J392" s="6">
        <f t="shared" si="32"/>
        <v>0</v>
      </c>
      <c r="K392" s="4" t="str">
        <f t="shared" si="33"/>
        <v/>
      </c>
      <c r="L392" s="4" t="str">
        <f t="shared" si="34"/>
        <v/>
      </c>
      <c r="M392" s="4" t="b" cm="1">
        <f t="array" ref="M392">IF(H392="",FALSE,SUMPRODUCT(--(H$1:H391=H392))&gt;0)</f>
        <v>0</v>
      </c>
    </row>
    <row r="393" spans="1:13" x14ac:dyDescent="0.25">
      <c r="A393" s="9" t="str">
        <f>IF(OR(B393="",M393,G393="— ignored"),"",MAX(A$1:A392)+1)</f>
        <v/>
      </c>
      <c r="B393" s="10"/>
      <c r="C393" s="11" t="str">
        <f>IF(I393="","",ROUND((I393+0.5*MAX(0,CEILING(ROUND((MAX(C$1:C392)-1/48-I393)/0.5,6),1)))*1440,0)/1440)</f>
        <v/>
      </c>
      <c r="D393" s="9" t="str" cm="1">
        <f t="array" ref="D393">IF(H393="","",IFERROR(INDEX(Log!$C$19:$G$19,VALUE(MID(H393,FIND("#",H393)+1,1))),""))</f>
        <v/>
      </c>
      <c r="E393" s="9" t="str" cm="1">
        <f t="array" ref="E393">IF(OR(H393="",M393),"",IFERROR(_xlfn.LET(_xlpm.t,SUBSTITUTE(UPPER(H393),"م","M"),_xlpm.u,SUBSTITUTE(_xlpm.t,"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93" s="12"/>
      <c r="G393" s="13" t="str">
        <f>IF(B393="","",IF(M393,"⚠ Duplicate (not counted)",IF(AND(I393="",D393="",E393=""),"— ignored",IF(C393="","⚠ Time",IF(D393="","⚠ Plant",IF(E393="","⚠ Quantity",IF(AND(ISNUMBER(L393),COUNTIF(L$1:L392,L393)&gt;0),"⚠ Same serial "&amp;L393,IF(AND(ISNUMBER(L393),L393&gt;MIN($L$2:$L$1001),COUNTIF($L$2:$L$1001,L393-1)=0,COUNTIF($L$2:$L$1001,L393-2)&lt;2),"⚠ Missing serial "&amp;(L393-1),IF(AND(MAX(K$1:K392)&gt;0,N(K393)-MAX(K$1:K392)&gt;180),"⚠ Gap &gt; 3h",IF(C393-I393&gt;=0.99,"next day",IF(C393-I393&gt;0.4,"12h → 24h","")))))))))))</f>
        <v/>
      </c>
      <c r="H393" s="4" t="str">
        <f t="shared" si="30"/>
        <v/>
      </c>
      <c r="I393" s="5" t="str">
        <f t="shared" si="31"/>
        <v/>
      </c>
      <c r="J393" s="6">
        <f t="shared" si="32"/>
        <v>0</v>
      </c>
      <c r="K393" s="4" t="str">
        <f t="shared" si="33"/>
        <v/>
      </c>
      <c r="L393" s="4" t="str">
        <f t="shared" si="34"/>
        <v/>
      </c>
      <c r="M393" s="4" t="b" cm="1">
        <f t="array" ref="M393">IF(H393="",FALSE,SUMPRODUCT(--(H$1:H392=H393))&gt;0)</f>
        <v>0</v>
      </c>
    </row>
    <row r="394" spans="1:13" x14ac:dyDescent="0.25">
      <c r="A394" s="9" t="str">
        <f>IF(OR(B394="",M394,G394="— ignored"),"",MAX(A$1:A393)+1)</f>
        <v/>
      </c>
      <c r="B394" s="10"/>
      <c r="C394" s="11" t="str">
        <f>IF(I394="","",ROUND((I394+0.5*MAX(0,CEILING(ROUND((MAX(C$1:C393)-1/48-I394)/0.5,6),1)))*1440,0)/1440)</f>
        <v/>
      </c>
      <c r="D394" s="9" t="str" cm="1">
        <f t="array" ref="D394">IF(H394="","",IFERROR(INDEX(Log!$C$19:$G$19,VALUE(MID(H394,FIND("#",H394)+1,1))),""))</f>
        <v/>
      </c>
      <c r="E394" s="9" t="str" cm="1">
        <f t="array" ref="E394">IF(OR(H394="",M394),"",IFERROR(_xlfn.LET(_xlpm.t,SUBSTITUTE(UPPER(H394),"م","M"),_xlpm.u,SUBSTITUTE(_xlpm.t,"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94" s="12"/>
      <c r="G394" s="13" t="str">
        <f>IF(B394="","",IF(M394,"⚠ Duplicate (not counted)",IF(AND(I394="",D394="",E394=""),"— ignored",IF(C394="","⚠ Time",IF(D394="","⚠ Plant",IF(E394="","⚠ Quantity",IF(AND(ISNUMBER(L394),COUNTIF(L$1:L393,L394)&gt;0),"⚠ Same serial "&amp;L394,IF(AND(ISNUMBER(L394),L394&gt;MIN($L$2:$L$1001),COUNTIF($L$2:$L$1001,L394-1)=0,COUNTIF($L$2:$L$1001,L394-2)&lt;2),"⚠ Missing serial "&amp;(L394-1),IF(AND(MAX(K$1:K393)&gt;0,N(K394)-MAX(K$1:K393)&gt;180),"⚠ Gap &gt; 3h",IF(C394-I394&gt;=0.99,"next day",IF(C394-I394&gt;0.4,"12h → 24h","")))))))))))</f>
        <v/>
      </c>
      <c r="H394" s="4" t="str">
        <f t="shared" si="30"/>
        <v/>
      </c>
      <c r="I394" s="5" t="str">
        <f t="shared" si="31"/>
        <v/>
      </c>
      <c r="J394" s="6">
        <f t="shared" si="32"/>
        <v>0</v>
      </c>
      <c r="K394" s="4" t="str">
        <f t="shared" si="33"/>
        <v/>
      </c>
      <c r="L394" s="4" t="str">
        <f t="shared" si="34"/>
        <v/>
      </c>
      <c r="M394" s="4" t="b" cm="1">
        <f t="array" ref="M394">IF(H394="",FALSE,SUMPRODUCT(--(H$1:H393=H394))&gt;0)</f>
        <v>0</v>
      </c>
    </row>
    <row r="395" spans="1:13" x14ac:dyDescent="0.25">
      <c r="A395" s="9" t="str">
        <f>IF(OR(B395="",M395,G395="— ignored"),"",MAX(A$1:A394)+1)</f>
        <v/>
      </c>
      <c r="B395" s="10"/>
      <c r="C395" s="11" t="str">
        <f>IF(I395="","",ROUND((I395+0.5*MAX(0,CEILING(ROUND((MAX(C$1:C394)-1/48-I395)/0.5,6),1)))*1440,0)/1440)</f>
        <v/>
      </c>
      <c r="D395" s="9" t="str" cm="1">
        <f t="array" ref="D395">IF(H395="","",IFERROR(INDEX(Log!$C$19:$G$19,VALUE(MID(H395,FIND("#",H395)+1,1))),""))</f>
        <v/>
      </c>
      <c r="E395" s="9" t="str" cm="1">
        <f t="array" ref="E395">IF(OR(H395="",M395),"",IFERROR(_xlfn.LET(_xlpm.t,SUBSTITUTE(UPPER(H395),"م","M"),_xlpm.u,SUBSTITUTE(_xlpm.t,"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95" s="12"/>
      <c r="G395" s="13" t="str">
        <f>IF(B395="","",IF(M395,"⚠ Duplicate (not counted)",IF(AND(I395="",D395="",E395=""),"— ignored",IF(C395="","⚠ Time",IF(D395="","⚠ Plant",IF(E395="","⚠ Quantity",IF(AND(ISNUMBER(L395),COUNTIF(L$1:L394,L395)&gt;0),"⚠ Same serial "&amp;L395,IF(AND(ISNUMBER(L395),L395&gt;MIN($L$2:$L$1001),COUNTIF($L$2:$L$1001,L395-1)=0,COUNTIF($L$2:$L$1001,L395-2)&lt;2),"⚠ Missing serial "&amp;(L395-1),IF(AND(MAX(K$1:K394)&gt;0,N(K395)-MAX(K$1:K394)&gt;180),"⚠ Gap &gt; 3h",IF(C395-I395&gt;=0.99,"next day",IF(C395-I395&gt;0.4,"12h → 24h","")))))))))))</f>
        <v/>
      </c>
      <c r="H395" s="4" t="str">
        <f t="shared" si="30"/>
        <v/>
      </c>
      <c r="I395" s="5" t="str">
        <f t="shared" si="31"/>
        <v/>
      </c>
      <c r="J395" s="6">
        <f t="shared" si="32"/>
        <v>0</v>
      </c>
      <c r="K395" s="4" t="str">
        <f t="shared" si="33"/>
        <v/>
      </c>
      <c r="L395" s="4" t="str">
        <f t="shared" si="34"/>
        <v/>
      </c>
      <c r="M395" s="4" t="b" cm="1">
        <f t="array" ref="M395">IF(H395="",FALSE,SUMPRODUCT(--(H$1:H394=H395))&gt;0)</f>
        <v>0</v>
      </c>
    </row>
    <row r="396" spans="1:13" x14ac:dyDescent="0.25">
      <c r="A396" s="9" t="str">
        <f>IF(OR(B396="",M396,G396="— ignored"),"",MAX(A$1:A395)+1)</f>
        <v/>
      </c>
      <c r="B396" s="10"/>
      <c r="C396" s="11" t="str">
        <f>IF(I396="","",ROUND((I396+0.5*MAX(0,CEILING(ROUND((MAX(C$1:C395)-1/48-I396)/0.5,6),1)))*1440,0)/1440)</f>
        <v/>
      </c>
      <c r="D396" s="9" t="str" cm="1">
        <f t="array" ref="D396">IF(H396="","",IFERROR(INDEX(Log!$C$19:$G$19,VALUE(MID(H396,FIND("#",H396)+1,1))),""))</f>
        <v/>
      </c>
      <c r="E396" s="9" t="str" cm="1">
        <f t="array" ref="E396">IF(OR(H396="",M396),"",IFERROR(_xlfn.LET(_xlpm.t,SUBSTITUTE(UPPER(H396),"م","M"),_xlpm.u,SUBSTITUTE(_xlpm.t,"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96" s="12"/>
      <c r="G396" s="13" t="str">
        <f>IF(B396="","",IF(M396,"⚠ Duplicate (not counted)",IF(AND(I396="",D396="",E396=""),"— ignored",IF(C396="","⚠ Time",IF(D396="","⚠ Plant",IF(E396="","⚠ Quantity",IF(AND(ISNUMBER(L396),COUNTIF(L$1:L395,L396)&gt;0),"⚠ Same serial "&amp;L396,IF(AND(ISNUMBER(L396),L396&gt;MIN($L$2:$L$1001),COUNTIF($L$2:$L$1001,L396-1)=0,COUNTIF($L$2:$L$1001,L396-2)&lt;2),"⚠ Missing serial "&amp;(L396-1),IF(AND(MAX(K$1:K395)&gt;0,N(K396)-MAX(K$1:K395)&gt;180),"⚠ Gap &gt; 3h",IF(C396-I396&gt;=0.99,"next day",IF(C396-I396&gt;0.4,"12h → 24h","")))))))))))</f>
        <v/>
      </c>
      <c r="H396" s="4" t="str">
        <f t="shared" si="30"/>
        <v/>
      </c>
      <c r="I396" s="5" t="str">
        <f t="shared" si="31"/>
        <v/>
      </c>
      <c r="J396" s="6">
        <f t="shared" si="32"/>
        <v>0</v>
      </c>
      <c r="K396" s="4" t="str">
        <f t="shared" si="33"/>
        <v/>
      </c>
      <c r="L396" s="4" t="str">
        <f t="shared" si="34"/>
        <v/>
      </c>
      <c r="M396" s="4" t="b" cm="1">
        <f t="array" ref="M396">IF(H396="",FALSE,SUMPRODUCT(--(H$1:H395=H396))&gt;0)</f>
        <v>0</v>
      </c>
    </row>
    <row r="397" spans="1:13" x14ac:dyDescent="0.25">
      <c r="A397" s="9" t="str">
        <f>IF(OR(B397="",M397,G397="— ignored"),"",MAX(A$1:A396)+1)</f>
        <v/>
      </c>
      <c r="B397" s="10"/>
      <c r="C397" s="11" t="str">
        <f>IF(I397="","",ROUND((I397+0.5*MAX(0,CEILING(ROUND((MAX(C$1:C396)-1/48-I397)/0.5,6),1)))*1440,0)/1440)</f>
        <v/>
      </c>
      <c r="D397" s="9" t="str" cm="1">
        <f t="array" ref="D397">IF(H397="","",IFERROR(INDEX(Log!$C$19:$G$19,VALUE(MID(H397,FIND("#",H397)+1,1))),""))</f>
        <v/>
      </c>
      <c r="E397" s="9" t="str" cm="1">
        <f t="array" ref="E397">IF(OR(H397="",M397),"",IFERROR(_xlfn.LET(_xlpm.t,SUBSTITUTE(UPPER(H397),"م","M"),_xlpm.u,SUBSTITUTE(_xlpm.t,"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97" s="12"/>
      <c r="G397" s="13" t="str">
        <f>IF(B397="","",IF(M397,"⚠ Duplicate (not counted)",IF(AND(I397="",D397="",E397=""),"— ignored",IF(C397="","⚠ Time",IF(D397="","⚠ Plant",IF(E397="","⚠ Quantity",IF(AND(ISNUMBER(L397),COUNTIF(L$1:L396,L397)&gt;0),"⚠ Same serial "&amp;L397,IF(AND(ISNUMBER(L397),L397&gt;MIN($L$2:$L$1001),COUNTIF($L$2:$L$1001,L397-1)=0,COUNTIF($L$2:$L$1001,L397-2)&lt;2),"⚠ Missing serial "&amp;(L397-1),IF(AND(MAX(K$1:K396)&gt;0,N(K397)-MAX(K$1:K396)&gt;180),"⚠ Gap &gt; 3h",IF(C397-I397&gt;=0.99,"next day",IF(C397-I397&gt;0.4,"12h → 24h","")))))))))))</f>
        <v/>
      </c>
      <c r="H397" s="4" t="str">
        <f t="shared" si="30"/>
        <v/>
      </c>
      <c r="I397" s="5" t="str">
        <f t="shared" si="31"/>
        <v/>
      </c>
      <c r="J397" s="6">
        <f t="shared" si="32"/>
        <v>0</v>
      </c>
      <c r="K397" s="4" t="str">
        <f t="shared" si="33"/>
        <v/>
      </c>
      <c r="L397" s="4" t="str">
        <f t="shared" si="34"/>
        <v/>
      </c>
      <c r="M397" s="4" t="b" cm="1">
        <f t="array" ref="M397">IF(H397="",FALSE,SUMPRODUCT(--(H$1:H396=H397))&gt;0)</f>
        <v>0</v>
      </c>
    </row>
    <row r="398" spans="1:13" x14ac:dyDescent="0.25">
      <c r="A398" s="9" t="str">
        <f>IF(OR(B398="",M398,G398="— ignored"),"",MAX(A$1:A397)+1)</f>
        <v/>
      </c>
      <c r="B398" s="10"/>
      <c r="C398" s="11" t="str">
        <f>IF(I398="","",ROUND((I398+0.5*MAX(0,CEILING(ROUND((MAX(C$1:C397)-1/48-I398)/0.5,6),1)))*1440,0)/1440)</f>
        <v/>
      </c>
      <c r="D398" s="9" t="str" cm="1">
        <f t="array" ref="D398">IF(H398="","",IFERROR(INDEX(Log!$C$19:$G$19,VALUE(MID(H398,FIND("#",H398)+1,1))),""))</f>
        <v/>
      </c>
      <c r="E398" s="9" t="str" cm="1">
        <f t="array" ref="E398">IF(OR(H398="",M398),"",IFERROR(_xlfn.LET(_xlpm.t,SUBSTITUTE(UPPER(H398),"م","M"),_xlpm.u,SUBSTITUTE(_xlpm.t,"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98" s="12"/>
      <c r="G398" s="13" t="str">
        <f>IF(B398="","",IF(M398,"⚠ Duplicate (not counted)",IF(AND(I398="",D398="",E398=""),"— ignored",IF(C398="","⚠ Time",IF(D398="","⚠ Plant",IF(E398="","⚠ Quantity",IF(AND(ISNUMBER(L398),COUNTIF(L$1:L397,L398)&gt;0),"⚠ Same serial "&amp;L398,IF(AND(ISNUMBER(L398),L398&gt;MIN($L$2:$L$1001),COUNTIF($L$2:$L$1001,L398-1)=0,COUNTIF($L$2:$L$1001,L398-2)&lt;2),"⚠ Missing serial "&amp;(L398-1),IF(AND(MAX(K$1:K397)&gt;0,N(K398)-MAX(K$1:K397)&gt;180),"⚠ Gap &gt; 3h",IF(C398-I398&gt;=0.99,"next day",IF(C398-I398&gt;0.4,"12h → 24h","")))))))))))</f>
        <v/>
      </c>
      <c r="H398" s="4" t="str">
        <f t="shared" si="30"/>
        <v/>
      </c>
      <c r="I398" s="5" t="str">
        <f t="shared" si="31"/>
        <v/>
      </c>
      <c r="J398" s="6">
        <f t="shared" si="32"/>
        <v>0</v>
      </c>
      <c r="K398" s="4" t="str">
        <f t="shared" si="33"/>
        <v/>
      </c>
      <c r="L398" s="4" t="str">
        <f t="shared" si="34"/>
        <v/>
      </c>
      <c r="M398" s="4" t="b" cm="1">
        <f t="array" ref="M398">IF(H398="",FALSE,SUMPRODUCT(--(H$1:H397=H398))&gt;0)</f>
        <v>0</v>
      </c>
    </row>
    <row r="399" spans="1:13" x14ac:dyDescent="0.25">
      <c r="A399" s="9" t="str">
        <f>IF(OR(B399="",M399,G399="— ignored"),"",MAX(A$1:A398)+1)</f>
        <v/>
      </c>
      <c r="B399" s="10"/>
      <c r="C399" s="11" t="str">
        <f>IF(I399="","",ROUND((I399+0.5*MAX(0,CEILING(ROUND((MAX(C$1:C398)-1/48-I399)/0.5,6),1)))*1440,0)/1440)</f>
        <v/>
      </c>
      <c r="D399" s="9" t="str" cm="1">
        <f t="array" ref="D399">IF(H399="","",IFERROR(INDEX(Log!$C$19:$G$19,VALUE(MID(H399,FIND("#",H399)+1,1))),""))</f>
        <v/>
      </c>
      <c r="E399" s="9" t="str" cm="1">
        <f t="array" ref="E399">IF(OR(H399="",M399),"",IFERROR(_xlfn.LET(_xlpm.t,SUBSTITUTE(UPPER(H399),"م","M"),_xlpm.u,SUBSTITUTE(_xlpm.t,"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399" s="12"/>
      <c r="G399" s="13" t="str">
        <f>IF(B399="","",IF(M399,"⚠ Duplicate (not counted)",IF(AND(I399="",D399="",E399=""),"— ignored",IF(C399="","⚠ Time",IF(D399="","⚠ Plant",IF(E399="","⚠ Quantity",IF(AND(ISNUMBER(L399),COUNTIF(L$1:L398,L399)&gt;0),"⚠ Same serial "&amp;L399,IF(AND(ISNUMBER(L399),L399&gt;MIN($L$2:$L$1001),COUNTIF($L$2:$L$1001,L399-1)=0,COUNTIF($L$2:$L$1001,L399-2)&lt;2),"⚠ Missing serial "&amp;(L399-1),IF(AND(MAX(K$1:K398)&gt;0,N(K399)-MAX(K$1:K398)&gt;180),"⚠ Gap &gt; 3h",IF(C399-I399&gt;=0.99,"next day",IF(C399-I399&gt;0.4,"12h → 24h","")))))))))))</f>
        <v/>
      </c>
      <c r="H399" s="4" t="str">
        <f t="shared" si="30"/>
        <v/>
      </c>
      <c r="I399" s="5" t="str">
        <f t="shared" si="31"/>
        <v/>
      </c>
      <c r="J399" s="6">
        <f t="shared" si="32"/>
        <v>0</v>
      </c>
      <c r="K399" s="4" t="str">
        <f t="shared" si="33"/>
        <v/>
      </c>
      <c r="L399" s="4" t="str">
        <f t="shared" si="34"/>
        <v/>
      </c>
      <c r="M399" s="4" t="b" cm="1">
        <f t="array" ref="M399">IF(H399="",FALSE,SUMPRODUCT(--(H$1:H398=H399))&gt;0)</f>
        <v>0</v>
      </c>
    </row>
    <row r="400" spans="1:13" x14ac:dyDescent="0.25">
      <c r="A400" s="9" t="str">
        <f>IF(OR(B400="",M400,G400="— ignored"),"",MAX(A$1:A399)+1)</f>
        <v/>
      </c>
      <c r="B400" s="10"/>
      <c r="C400" s="11" t="str">
        <f>IF(I400="","",ROUND((I400+0.5*MAX(0,CEILING(ROUND((MAX(C$1:C399)-1/48-I400)/0.5,6),1)))*1440,0)/1440)</f>
        <v/>
      </c>
      <c r="D400" s="9" t="str" cm="1">
        <f t="array" ref="D400">IF(H400="","",IFERROR(INDEX(Log!$C$19:$G$19,VALUE(MID(H400,FIND("#",H400)+1,1))),""))</f>
        <v/>
      </c>
      <c r="E400" s="9" t="str" cm="1">
        <f t="array" ref="E400">IF(OR(H400="",M400),"",IFERROR(_xlfn.LET(_xlpm.t,SUBSTITUTE(UPPER(H400),"م","M"),_xlpm.u,SUBSTITUTE(_xlpm.t,"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00" s="12"/>
      <c r="G400" s="13" t="str">
        <f>IF(B400="","",IF(M400,"⚠ Duplicate (not counted)",IF(AND(I400="",D400="",E400=""),"— ignored",IF(C400="","⚠ Time",IF(D400="","⚠ Plant",IF(E400="","⚠ Quantity",IF(AND(ISNUMBER(L400),COUNTIF(L$1:L399,L400)&gt;0),"⚠ Same serial "&amp;L400,IF(AND(ISNUMBER(L400),L400&gt;MIN($L$2:$L$1001),COUNTIF($L$2:$L$1001,L400-1)=0,COUNTIF($L$2:$L$1001,L400-2)&lt;2),"⚠ Missing serial "&amp;(L400-1),IF(AND(MAX(K$1:K399)&gt;0,N(K400)-MAX(K$1:K399)&gt;180),"⚠ Gap &gt; 3h",IF(C400-I400&gt;=0.99,"next day",IF(C400-I400&gt;0.4,"12h → 24h","")))))))))))</f>
        <v/>
      </c>
      <c r="H400" s="4" t="str">
        <f t="shared" si="30"/>
        <v/>
      </c>
      <c r="I400" s="5" t="str">
        <f t="shared" si="31"/>
        <v/>
      </c>
      <c r="J400" s="6">
        <f t="shared" si="32"/>
        <v>0</v>
      </c>
      <c r="K400" s="4" t="str">
        <f t="shared" si="33"/>
        <v/>
      </c>
      <c r="L400" s="4" t="str">
        <f t="shared" si="34"/>
        <v/>
      </c>
      <c r="M400" s="4" t="b" cm="1">
        <f t="array" ref="M400">IF(H400="",FALSE,SUMPRODUCT(--(H$1:H399=H400))&gt;0)</f>
        <v>0</v>
      </c>
    </row>
    <row r="401" spans="1:13" x14ac:dyDescent="0.25">
      <c r="A401" s="9" t="str">
        <f>IF(OR(B401="",M401,G401="— ignored"),"",MAX(A$1:A400)+1)</f>
        <v/>
      </c>
      <c r="B401" s="10"/>
      <c r="C401" s="11" t="str">
        <f>IF(I401="","",ROUND((I401+0.5*MAX(0,CEILING(ROUND((MAX(C$1:C400)-1/48-I401)/0.5,6),1)))*1440,0)/1440)</f>
        <v/>
      </c>
      <c r="D401" s="9" t="str" cm="1">
        <f t="array" ref="D401">IF(H401="","",IFERROR(INDEX(Log!$C$19:$G$19,VALUE(MID(H401,FIND("#",H401)+1,1))),""))</f>
        <v/>
      </c>
      <c r="E401" s="9" t="str" cm="1">
        <f t="array" ref="E401">IF(OR(H401="",M401),"",IFERROR(_xlfn.LET(_xlpm.t,SUBSTITUTE(UPPER(H401),"م","M"),_xlpm.u,SUBSTITUTE(_xlpm.t,"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01" s="12"/>
      <c r="G401" s="13" t="str">
        <f>IF(B401="","",IF(M401,"⚠ Duplicate (not counted)",IF(AND(I401="",D401="",E401=""),"— ignored",IF(C401="","⚠ Time",IF(D401="","⚠ Plant",IF(E401="","⚠ Quantity",IF(AND(ISNUMBER(L401),COUNTIF(L$1:L400,L401)&gt;0),"⚠ Same serial "&amp;L401,IF(AND(ISNUMBER(L401),L401&gt;MIN($L$2:$L$1001),COUNTIF($L$2:$L$1001,L401-1)=0,COUNTIF($L$2:$L$1001,L401-2)&lt;2),"⚠ Missing serial "&amp;(L401-1),IF(AND(MAX(K$1:K400)&gt;0,N(K401)-MAX(K$1:K400)&gt;180),"⚠ Gap &gt; 3h",IF(C401-I401&gt;=0.99,"next day",IF(C401-I401&gt;0.4,"12h → 24h","")))))))))))</f>
        <v/>
      </c>
      <c r="H401" s="4" t="str">
        <f t="shared" si="30"/>
        <v/>
      </c>
      <c r="I401" s="5" t="str">
        <f t="shared" si="31"/>
        <v/>
      </c>
      <c r="J401" s="6">
        <f t="shared" si="32"/>
        <v>0</v>
      </c>
      <c r="K401" s="4" t="str">
        <f t="shared" si="33"/>
        <v/>
      </c>
      <c r="L401" s="4" t="str">
        <f t="shared" si="34"/>
        <v/>
      </c>
      <c r="M401" s="4" t="b" cm="1">
        <f t="array" ref="M401">IF(H401="",FALSE,SUMPRODUCT(--(H$1:H400=H401))&gt;0)</f>
        <v>0</v>
      </c>
    </row>
    <row r="402" spans="1:13" x14ac:dyDescent="0.25">
      <c r="A402" s="9" t="str">
        <f>IF(OR(B402="",M402,G402="— ignored"),"",MAX(A$1:A401)+1)</f>
        <v/>
      </c>
      <c r="B402" s="10"/>
      <c r="C402" s="11" t="str">
        <f>IF(I402="","",ROUND((I402+0.5*MAX(0,CEILING(ROUND((MAX(C$1:C401)-1/48-I402)/0.5,6),1)))*1440,0)/1440)</f>
        <v/>
      </c>
      <c r="D402" s="9" t="str" cm="1">
        <f t="array" ref="D402">IF(H402="","",IFERROR(INDEX(Log!$C$19:$G$19,VALUE(MID(H402,FIND("#",H402)+1,1))),""))</f>
        <v/>
      </c>
      <c r="E402" s="9" t="str" cm="1">
        <f t="array" ref="E402">IF(OR(H402="",M402),"",IFERROR(_xlfn.LET(_xlpm.t,SUBSTITUTE(UPPER(H402),"م","M"),_xlpm.u,SUBSTITUTE(_xlpm.t,"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02" s="12"/>
      <c r="G402" s="13" t="str">
        <f>IF(B402="","",IF(M402,"⚠ Duplicate (not counted)",IF(AND(I402="",D402="",E402=""),"— ignored",IF(C402="","⚠ Time",IF(D402="","⚠ Plant",IF(E402="","⚠ Quantity",IF(AND(ISNUMBER(L402),COUNTIF(L$1:L401,L402)&gt;0),"⚠ Same serial "&amp;L402,IF(AND(ISNUMBER(L402),L402&gt;MIN($L$2:$L$1001),COUNTIF($L$2:$L$1001,L402-1)=0,COUNTIF($L$2:$L$1001,L402-2)&lt;2),"⚠ Missing serial "&amp;(L402-1),IF(AND(MAX(K$1:K401)&gt;0,N(K402)-MAX(K$1:K401)&gt;180),"⚠ Gap &gt; 3h",IF(C402-I402&gt;=0.99,"next day",IF(C402-I402&gt;0.4,"12h → 24h","")))))))))))</f>
        <v/>
      </c>
      <c r="H402" s="4" t="str">
        <f t="shared" si="30"/>
        <v/>
      </c>
      <c r="I402" s="5" t="str">
        <f t="shared" si="31"/>
        <v/>
      </c>
      <c r="J402" s="6">
        <f t="shared" si="32"/>
        <v>0</v>
      </c>
      <c r="K402" s="4" t="str">
        <f t="shared" si="33"/>
        <v/>
      </c>
      <c r="L402" s="4" t="str">
        <f t="shared" si="34"/>
        <v/>
      </c>
      <c r="M402" s="4" t="b" cm="1">
        <f t="array" ref="M402">IF(H402="",FALSE,SUMPRODUCT(--(H$1:H401=H402))&gt;0)</f>
        <v>0</v>
      </c>
    </row>
    <row r="403" spans="1:13" x14ac:dyDescent="0.25">
      <c r="A403" s="9" t="str">
        <f>IF(OR(B403="",M403,G403="— ignored"),"",MAX(A$1:A402)+1)</f>
        <v/>
      </c>
      <c r="B403" s="10"/>
      <c r="C403" s="11" t="str">
        <f>IF(I403="","",ROUND((I403+0.5*MAX(0,CEILING(ROUND((MAX(C$1:C402)-1/48-I403)/0.5,6),1)))*1440,0)/1440)</f>
        <v/>
      </c>
      <c r="D403" s="9" t="str" cm="1">
        <f t="array" ref="D403">IF(H403="","",IFERROR(INDEX(Log!$C$19:$G$19,VALUE(MID(H403,FIND("#",H403)+1,1))),""))</f>
        <v/>
      </c>
      <c r="E403" s="9" t="str" cm="1">
        <f t="array" ref="E403">IF(OR(H403="",M403),"",IFERROR(_xlfn.LET(_xlpm.t,SUBSTITUTE(UPPER(H403),"م","M"),_xlpm.u,SUBSTITUTE(_xlpm.t,"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03" s="12"/>
      <c r="G403" s="13" t="str">
        <f>IF(B403="","",IF(M403,"⚠ Duplicate (not counted)",IF(AND(I403="",D403="",E403=""),"— ignored",IF(C403="","⚠ Time",IF(D403="","⚠ Plant",IF(E403="","⚠ Quantity",IF(AND(ISNUMBER(L403),COUNTIF(L$1:L402,L403)&gt;0),"⚠ Same serial "&amp;L403,IF(AND(ISNUMBER(L403),L403&gt;MIN($L$2:$L$1001),COUNTIF($L$2:$L$1001,L403-1)=0,COUNTIF($L$2:$L$1001,L403-2)&lt;2),"⚠ Missing serial "&amp;(L403-1),IF(AND(MAX(K$1:K402)&gt;0,N(K403)-MAX(K$1:K402)&gt;180),"⚠ Gap &gt; 3h",IF(C403-I403&gt;=0.99,"next day",IF(C403-I403&gt;0.4,"12h → 24h","")))))))))))</f>
        <v/>
      </c>
      <c r="H403" s="4" t="str">
        <f t="shared" si="30"/>
        <v/>
      </c>
      <c r="I403" s="5" t="str">
        <f t="shared" si="31"/>
        <v/>
      </c>
      <c r="J403" s="6">
        <f t="shared" si="32"/>
        <v>0</v>
      </c>
      <c r="K403" s="4" t="str">
        <f t="shared" si="33"/>
        <v/>
      </c>
      <c r="L403" s="4" t="str">
        <f t="shared" si="34"/>
        <v/>
      </c>
      <c r="M403" s="4" t="b" cm="1">
        <f t="array" ref="M403">IF(H403="",FALSE,SUMPRODUCT(--(H$1:H402=H403))&gt;0)</f>
        <v>0</v>
      </c>
    </row>
    <row r="404" spans="1:13" x14ac:dyDescent="0.25">
      <c r="A404" s="9" t="str">
        <f>IF(OR(B404="",M404,G404="— ignored"),"",MAX(A$1:A403)+1)</f>
        <v/>
      </c>
      <c r="B404" s="10"/>
      <c r="C404" s="11" t="str">
        <f>IF(I404="","",ROUND((I404+0.5*MAX(0,CEILING(ROUND((MAX(C$1:C403)-1/48-I404)/0.5,6),1)))*1440,0)/1440)</f>
        <v/>
      </c>
      <c r="D404" s="9" t="str" cm="1">
        <f t="array" ref="D404">IF(H404="","",IFERROR(INDEX(Log!$C$19:$G$19,VALUE(MID(H404,FIND("#",H404)+1,1))),""))</f>
        <v/>
      </c>
      <c r="E404" s="9" t="str" cm="1">
        <f t="array" ref="E404">IF(OR(H404="",M404),"",IFERROR(_xlfn.LET(_xlpm.t,SUBSTITUTE(UPPER(H404),"م","M"),_xlpm.u,SUBSTITUTE(_xlpm.t,"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04" s="12"/>
      <c r="G404" s="13" t="str">
        <f>IF(B404="","",IF(M404,"⚠ Duplicate (not counted)",IF(AND(I404="",D404="",E404=""),"— ignored",IF(C404="","⚠ Time",IF(D404="","⚠ Plant",IF(E404="","⚠ Quantity",IF(AND(ISNUMBER(L404),COUNTIF(L$1:L403,L404)&gt;0),"⚠ Same serial "&amp;L404,IF(AND(ISNUMBER(L404),L404&gt;MIN($L$2:$L$1001),COUNTIF($L$2:$L$1001,L404-1)=0,COUNTIF($L$2:$L$1001,L404-2)&lt;2),"⚠ Missing serial "&amp;(L404-1),IF(AND(MAX(K$1:K403)&gt;0,N(K404)-MAX(K$1:K403)&gt;180),"⚠ Gap &gt; 3h",IF(C404-I404&gt;=0.99,"next day",IF(C404-I404&gt;0.4,"12h → 24h","")))))))))))</f>
        <v/>
      </c>
      <c r="H404" s="4" t="str">
        <f t="shared" si="30"/>
        <v/>
      </c>
      <c r="I404" s="5" t="str">
        <f t="shared" si="31"/>
        <v/>
      </c>
      <c r="J404" s="6">
        <f t="shared" si="32"/>
        <v>0</v>
      </c>
      <c r="K404" s="4" t="str">
        <f t="shared" si="33"/>
        <v/>
      </c>
      <c r="L404" s="4" t="str">
        <f t="shared" si="34"/>
        <v/>
      </c>
      <c r="M404" s="4" t="b" cm="1">
        <f t="array" ref="M404">IF(H404="",FALSE,SUMPRODUCT(--(H$1:H403=H404))&gt;0)</f>
        <v>0</v>
      </c>
    </row>
    <row r="405" spans="1:13" x14ac:dyDescent="0.25">
      <c r="A405" s="9" t="str">
        <f>IF(OR(B405="",M405,G405="— ignored"),"",MAX(A$1:A404)+1)</f>
        <v/>
      </c>
      <c r="B405" s="10"/>
      <c r="C405" s="11" t="str">
        <f>IF(I405="","",ROUND((I405+0.5*MAX(0,CEILING(ROUND((MAX(C$1:C404)-1/48-I405)/0.5,6),1)))*1440,0)/1440)</f>
        <v/>
      </c>
      <c r="D405" s="9" t="str" cm="1">
        <f t="array" ref="D405">IF(H405="","",IFERROR(INDEX(Log!$C$19:$G$19,VALUE(MID(H405,FIND("#",H405)+1,1))),""))</f>
        <v/>
      </c>
      <c r="E405" s="9" t="str" cm="1">
        <f t="array" ref="E405">IF(OR(H405="",M405),"",IFERROR(_xlfn.LET(_xlpm.t,SUBSTITUTE(UPPER(H405),"م","M"),_xlpm.u,SUBSTITUTE(_xlpm.t,"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05" s="12"/>
      <c r="G405" s="13" t="str">
        <f>IF(B405="","",IF(M405,"⚠ Duplicate (not counted)",IF(AND(I405="",D405="",E405=""),"— ignored",IF(C405="","⚠ Time",IF(D405="","⚠ Plant",IF(E405="","⚠ Quantity",IF(AND(ISNUMBER(L405),COUNTIF(L$1:L404,L405)&gt;0),"⚠ Same serial "&amp;L405,IF(AND(ISNUMBER(L405),L405&gt;MIN($L$2:$L$1001),COUNTIF($L$2:$L$1001,L405-1)=0,COUNTIF($L$2:$L$1001,L405-2)&lt;2),"⚠ Missing serial "&amp;(L405-1),IF(AND(MAX(K$1:K404)&gt;0,N(K405)-MAX(K$1:K404)&gt;180),"⚠ Gap &gt; 3h",IF(C405-I405&gt;=0.99,"next day",IF(C405-I405&gt;0.4,"12h → 24h","")))))))))))</f>
        <v/>
      </c>
      <c r="H405" s="4" t="str">
        <f t="shared" si="30"/>
        <v/>
      </c>
      <c r="I405" s="5" t="str">
        <f t="shared" si="31"/>
        <v/>
      </c>
      <c r="J405" s="6">
        <f t="shared" si="32"/>
        <v>0</v>
      </c>
      <c r="K405" s="4" t="str">
        <f t="shared" si="33"/>
        <v/>
      </c>
      <c r="L405" s="4" t="str">
        <f t="shared" si="34"/>
        <v/>
      </c>
      <c r="M405" s="4" t="b" cm="1">
        <f t="array" ref="M405">IF(H405="",FALSE,SUMPRODUCT(--(H$1:H404=H405))&gt;0)</f>
        <v>0</v>
      </c>
    </row>
    <row r="406" spans="1:13" x14ac:dyDescent="0.25">
      <c r="A406" s="9" t="str">
        <f>IF(OR(B406="",M406,G406="— ignored"),"",MAX(A$1:A405)+1)</f>
        <v/>
      </c>
      <c r="B406" s="10"/>
      <c r="C406" s="11" t="str">
        <f>IF(I406="","",ROUND((I406+0.5*MAX(0,CEILING(ROUND((MAX(C$1:C405)-1/48-I406)/0.5,6),1)))*1440,0)/1440)</f>
        <v/>
      </c>
      <c r="D406" s="9" t="str" cm="1">
        <f t="array" ref="D406">IF(H406="","",IFERROR(INDEX(Log!$C$19:$G$19,VALUE(MID(H406,FIND("#",H406)+1,1))),""))</f>
        <v/>
      </c>
      <c r="E406" s="9" t="str" cm="1">
        <f t="array" ref="E406">IF(OR(H406="",M406),"",IFERROR(_xlfn.LET(_xlpm.t,SUBSTITUTE(UPPER(H406),"م","M"),_xlpm.u,SUBSTITUTE(_xlpm.t,"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06" s="12"/>
      <c r="G406" s="13" t="str">
        <f>IF(B406="","",IF(M406,"⚠ Duplicate (not counted)",IF(AND(I406="",D406="",E406=""),"— ignored",IF(C406="","⚠ Time",IF(D406="","⚠ Plant",IF(E406="","⚠ Quantity",IF(AND(ISNUMBER(L406),COUNTIF(L$1:L405,L406)&gt;0),"⚠ Same serial "&amp;L406,IF(AND(ISNUMBER(L406),L406&gt;MIN($L$2:$L$1001),COUNTIF($L$2:$L$1001,L406-1)=0,COUNTIF($L$2:$L$1001,L406-2)&lt;2),"⚠ Missing serial "&amp;(L406-1),IF(AND(MAX(K$1:K405)&gt;0,N(K406)-MAX(K$1:K405)&gt;180),"⚠ Gap &gt; 3h",IF(C406-I406&gt;=0.99,"next day",IF(C406-I406&gt;0.4,"12h → 24h","")))))))))))</f>
        <v/>
      </c>
      <c r="H406" s="4" t="str">
        <f t="shared" si="30"/>
        <v/>
      </c>
      <c r="I406" s="5" t="str">
        <f t="shared" si="31"/>
        <v/>
      </c>
      <c r="J406" s="6">
        <f t="shared" si="32"/>
        <v>0</v>
      </c>
      <c r="K406" s="4" t="str">
        <f t="shared" si="33"/>
        <v/>
      </c>
      <c r="L406" s="4" t="str">
        <f t="shared" si="34"/>
        <v/>
      </c>
      <c r="M406" s="4" t="b" cm="1">
        <f t="array" ref="M406">IF(H406="",FALSE,SUMPRODUCT(--(H$1:H405=H406))&gt;0)</f>
        <v>0</v>
      </c>
    </row>
    <row r="407" spans="1:13" x14ac:dyDescent="0.25">
      <c r="A407" s="9" t="str">
        <f>IF(OR(B407="",M407,G407="— ignored"),"",MAX(A$1:A406)+1)</f>
        <v/>
      </c>
      <c r="B407" s="10"/>
      <c r="C407" s="11" t="str">
        <f>IF(I407="","",ROUND((I407+0.5*MAX(0,CEILING(ROUND((MAX(C$1:C406)-1/48-I407)/0.5,6),1)))*1440,0)/1440)</f>
        <v/>
      </c>
      <c r="D407" s="9" t="str" cm="1">
        <f t="array" ref="D407">IF(H407="","",IFERROR(INDEX(Log!$C$19:$G$19,VALUE(MID(H407,FIND("#",H407)+1,1))),""))</f>
        <v/>
      </c>
      <c r="E407" s="9" t="str" cm="1">
        <f t="array" ref="E407">IF(OR(H407="",M407),"",IFERROR(_xlfn.LET(_xlpm.t,SUBSTITUTE(UPPER(H407),"م","M"),_xlpm.u,SUBSTITUTE(_xlpm.t,"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07" s="12"/>
      <c r="G407" s="13" t="str">
        <f>IF(B407="","",IF(M407,"⚠ Duplicate (not counted)",IF(AND(I407="",D407="",E407=""),"— ignored",IF(C407="","⚠ Time",IF(D407="","⚠ Plant",IF(E407="","⚠ Quantity",IF(AND(ISNUMBER(L407),COUNTIF(L$1:L406,L407)&gt;0),"⚠ Same serial "&amp;L407,IF(AND(ISNUMBER(L407),L407&gt;MIN($L$2:$L$1001),COUNTIF($L$2:$L$1001,L407-1)=0,COUNTIF($L$2:$L$1001,L407-2)&lt;2),"⚠ Missing serial "&amp;(L407-1),IF(AND(MAX(K$1:K406)&gt;0,N(K407)-MAX(K$1:K406)&gt;180),"⚠ Gap &gt; 3h",IF(C407-I407&gt;=0.99,"next day",IF(C407-I407&gt;0.4,"12h → 24h","")))))))))))</f>
        <v/>
      </c>
      <c r="H407" s="4" t="str">
        <f t="shared" si="30"/>
        <v/>
      </c>
      <c r="I407" s="5" t="str">
        <f t="shared" si="31"/>
        <v/>
      </c>
      <c r="J407" s="6">
        <f t="shared" si="32"/>
        <v>0</v>
      </c>
      <c r="K407" s="4" t="str">
        <f t="shared" si="33"/>
        <v/>
      </c>
      <c r="L407" s="4" t="str">
        <f t="shared" si="34"/>
        <v/>
      </c>
      <c r="M407" s="4" t="b" cm="1">
        <f t="array" ref="M407">IF(H407="",FALSE,SUMPRODUCT(--(H$1:H406=H407))&gt;0)</f>
        <v>0</v>
      </c>
    </row>
    <row r="408" spans="1:13" x14ac:dyDescent="0.25">
      <c r="A408" s="9" t="str">
        <f>IF(OR(B408="",M408,G408="— ignored"),"",MAX(A$1:A407)+1)</f>
        <v/>
      </c>
      <c r="B408" s="10"/>
      <c r="C408" s="11" t="str">
        <f>IF(I408="","",ROUND((I408+0.5*MAX(0,CEILING(ROUND((MAX(C$1:C407)-1/48-I408)/0.5,6),1)))*1440,0)/1440)</f>
        <v/>
      </c>
      <c r="D408" s="9" t="str" cm="1">
        <f t="array" ref="D408">IF(H408="","",IFERROR(INDEX(Log!$C$19:$G$19,VALUE(MID(H408,FIND("#",H408)+1,1))),""))</f>
        <v/>
      </c>
      <c r="E408" s="9" t="str" cm="1">
        <f t="array" ref="E408">IF(OR(H408="",M408),"",IFERROR(_xlfn.LET(_xlpm.t,SUBSTITUTE(UPPER(H408),"م","M"),_xlpm.u,SUBSTITUTE(_xlpm.t,"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08" s="12"/>
      <c r="G408" s="13" t="str">
        <f>IF(B408="","",IF(M408,"⚠ Duplicate (not counted)",IF(AND(I408="",D408="",E408=""),"— ignored",IF(C408="","⚠ Time",IF(D408="","⚠ Plant",IF(E408="","⚠ Quantity",IF(AND(ISNUMBER(L408),COUNTIF(L$1:L407,L408)&gt;0),"⚠ Same serial "&amp;L408,IF(AND(ISNUMBER(L408),L408&gt;MIN($L$2:$L$1001),COUNTIF($L$2:$L$1001,L408-1)=0,COUNTIF($L$2:$L$1001,L408-2)&lt;2),"⚠ Missing serial "&amp;(L408-1),IF(AND(MAX(K$1:K407)&gt;0,N(K408)-MAX(K$1:K407)&gt;180),"⚠ Gap &gt; 3h",IF(C408-I408&gt;=0.99,"next day",IF(C408-I408&gt;0.4,"12h → 24h","")))))))))))</f>
        <v/>
      </c>
      <c r="H408" s="4" t="str">
        <f t="shared" si="30"/>
        <v/>
      </c>
      <c r="I408" s="5" t="str">
        <f t="shared" si="31"/>
        <v/>
      </c>
      <c r="J408" s="6">
        <f t="shared" si="32"/>
        <v>0</v>
      </c>
      <c r="K408" s="4" t="str">
        <f t="shared" si="33"/>
        <v/>
      </c>
      <c r="L408" s="4" t="str">
        <f t="shared" si="34"/>
        <v/>
      </c>
      <c r="M408" s="4" t="b" cm="1">
        <f t="array" ref="M408">IF(H408="",FALSE,SUMPRODUCT(--(H$1:H407=H408))&gt;0)</f>
        <v>0</v>
      </c>
    </row>
    <row r="409" spans="1:13" x14ac:dyDescent="0.25">
      <c r="A409" s="9" t="str">
        <f>IF(OR(B409="",M409,G409="— ignored"),"",MAX(A$1:A408)+1)</f>
        <v/>
      </c>
      <c r="B409" s="10"/>
      <c r="C409" s="11" t="str">
        <f>IF(I409="","",ROUND((I409+0.5*MAX(0,CEILING(ROUND((MAX(C$1:C408)-1/48-I409)/0.5,6),1)))*1440,0)/1440)</f>
        <v/>
      </c>
      <c r="D409" s="9" t="str" cm="1">
        <f t="array" ref="D409">IF(H409="","",IFERROR(INDEX(Log!$C$19:$G$19,VALUE(MID(H409,FIND("#",H409)+1,1))),""))</f>
        <v/>
      </c>
      <c r="E409" s="9" t="str" cm="1">
        <f t="array" ref="E409">IF(OR(H409="",M409),"",IFERROR(_xlfn.LET(_xlpm.t,SUBSTITUTE(UPPER(H409),"م","M"),_xlpm.u,SUBSTITUTE(_xlpm.t,"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09" s="12"/>
      <c r="G409" s="13" t="str">
        <f>IF(B409="","",IF(M409,"⚠ Duplicate (not counted)",IF(AND(I409="",D409="",E409=""),"— ignored",IF(C409="","⚠ Time",IF(D409="","⚠ Plant",IF(E409="","⚠ Quantity",IF(AND(ISNUMBER(L409),COUNTIF(L$1:L408,L409)&gt;0),"⚠ Same serial "&amp;L409,IF(AND(ISNUMBER(L409),L409&gt;MIN($L$2:$L$1001),COUNTIF($L$2:$L$1001,L409-1)=0,COUNTIF($L$2:$L$1001,L409-2)&lt;2),"⚠ Missing serial "&amp;(L409-1),IF(AND(MAX(K$1:K408)&gt;0,N(K409)-MAX(K$1:K408)&gt;180),"⚠ Gap &gt; 3h",IF(C409-I409&gt;=0.99,"next day",IF(C409-I409&gt;0.4,"12h → 24h","")))))))))))</f>
        <v/>
      </c>
      <c r="H409" s="4" t="str">
        <f t="shared" si="30"/>
        <v/>
      </c>
      <c r="I409" s="5" t="str">
        <f t="shared" si="31"/>
        <v/>
      </c>
      <c r="J409" s="6">
        <f t="shared" si="32"/>
        <v>0</v>
      </c>
      <c r="K409" s="4" t="str">
        <f t="shared" si="33"/>
        <v/>
      </c>
      <c r="L409" s="4" t="str">
        <f t="shared" si="34"/>
        <v/>
      </c>
      <c r="M409" s="4" t="b" cm="1">
        <f t="array" ref="M409">IF(H409="",FALSE,SUMPRODUCT(--(H$1:H408=H409))&gt;0)</f>
        <v>0</v>
      </c>
    </row>
    <row r="410" spans="1:13" x14ac:dyDescent="0.25">
      <c r="A410" s="9" t="str">
        <f>IF(OR(B410="",M410,G410="— ignored"),"",MAX(A$1:A409)+1)</f>
        <v/>
      </c>
      <c r="B410" s="10"/>
      <c r="C410" s="11" t="str">
        <f>IF(I410="","",ROUND((I410+0.5*MAX(0,CEILING(ROUND((MAX(C$1:C409)-1/48-I410)/0.5,6),1)))*1440,0)/1440)</f>
        <v/>
      </c>
      <c r="D410" s="9" t="str" cm="1">
        <f t="array" ref="D410">IF(H410="","",IFERROR(INDEX(Log!$C$19:$G$19,VALUE(MID(H410,FIND("#",H410)+1,1))),""))</f>
        <v/>
      </c>
      <c r="E410" s="9" t="str" cm="1">
        <f t="array" ref="E410">IF(OR(H410="",M410),"",IFERROR(_xlfn.LET(_xlpm.t,SUBSTITUTE(UPPER(H410),"م","M"),_xlpm.u,SUBSTITUTE(_xlpm.t,"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10" s="12"/>
      <c r="G410" s="13" t="str">
        <f>IF(B410="","",IF(M410,"⚠ Duplicate (not counted)",IF(AND(I410="",D410="",E410=""),"— ignored",IF(C410="","⚠ Time",IF(D410="","⚠ Plant",IF(E410="","⚠ Quantity",IF(AND(ISNUMBER(L410),COUNTIF(L$1:L409,L410)&gt;0),"⚠ Same serial "&amp;L410,IF(AND(ISNUMBER(L410),L410&gt;MIN($L$2:$L$1001),COUNTIF($L$2:$L$1001,L410-1)=0,COUNTIF($L$2:$L$1001,L410-2)&lt;2),"⚠ Missing serial "&amp;(L410-1),IF(AND(MAX(K$1:K409)&gt;0,N(K410)-MAX(K$1:K409)&gt;180),"⚠ Gap &gt; 3h",IF(C410-I410&gt;=0.99,"next day",IF(C410-I410&gt;0.4,"12h → 24h","")))))))))))</f>
        <v/>
      </c>
      <c r="H410" s="4" t="str">
        <f t="shared" si="30"/>
        <v/>
      </c>
      <c r="I410" s="5" t="str">
        <f t="shared" si="31"/>
        <v/>
      </c>
      <c r="J410" s="6">
        <f t="shared" si="32"/>
        <v>0</v>
      </c>
      <c r="K410" s="4" t="str">
        <f t="shared" si="33"/>
        <v/>
      </c>
      <c r="L410" s="4" t="str">
        <f t="shared" si="34"/>
        <v/>
      </c>
      <c r="M410" s="4" t="b" cm="1">
        <f t="array" ref="M410">IF(H410="",FALSE,SUMPRODUCT(--(H$1:H409=H410))&gt;0)</f>
        <v>0</v>
      </c>
    </row>
    <row r="411" spans="1:13" x14ac:dyDescent="0.25">
      <c r="A411" s="9" t="str">
        <f>IF(OR(B411="",M411,G411="— ignored"),"",MAX(A$1:A410)+1)</f>
        <v/>
      </c>
      <c r="B411" s="10"/>
      <c r="C411" s="11" t="str">
        <f>IF(I411="","",ROUND((I411+0.5*MAX(0,CEILING(ROUND((MAX(C$1:C410)-1/48-I411)/0.5,6),1)))*1440,0)/1440)</f>
        <v/>
      </c>
      <c r="D411" s="9" t="str" cm="1">
        <f t="array" ref="D411">IF(H411="","",IFERROR(INDEX(Log!$C$19:$G$19,VALUE(MID(H411,FIND("#",H411)+1,1))),""))</f>
        <v/>
      </c>
      <c r="E411" s="9" t="str" cm="1">
        <f t="array" ref="E411">IF(OR(H411="",M411),"",IFERROR(_xlfn.LET(_xlpm.t,SUBSTITUTE(UPPER(H411),"م","M"),_xlpm.u,SUBSTITUTE(_xlpm.t,"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11" s="12"/>
      <c r="G411" s="13" t="str">
        <f>IF(B411="","",IF(M411,"⚠ Duplicate (not counted)",IF(AND(I411="",D411="",E411=""),"— ignored",IF(C411="","⚠ Time",IF(D411="","⚠ Plant",IF(E411="","⚠ Quantity",IF(AND(ISNUMBER(L411),COUNTIF(L$1:L410,L411)&gt;0),"⚠ Same serial "&amp;L411,IF(AND(ISNUMBER(L411),L411&gt;MIN($L$2:$L$1001),COUNTIF($L$2:$L$1001,L411-1)=0,COUNTIF($L$2:$L$1001,L411-2)&lt;2),"⚠ Missing serial "&amp;(L411-1),IF(AND(MAX(K$1:K410)&gt;0,N(K411)-MAX(K$1:K410)&gt;180),"⚠ Gap &gt; 3h",IF(C411-I411&gt;=0.99,"next day",IF(C411-I411&gt;0.4,"12h → 24h","")))))))))))</f>
        <v/>
      </c>
      <c r="H411" s="4" t="str">
        <f t="shared" si="30"/>
        <v/>
      </c>
      <c r="I411" s="5" t="str">
        <f t="shared" si="31"/>
        <v/>
      </c>
      <c r="J411" s="6">
        <f t="shared" si="32"/>
        <v>0</v>
      </c>
      <c r="K411" s="4" t="str">
        <f t="shared" si="33"/>
        <v/>
      </c>
      <c r="L411" s="4" t="str">
        <f t="shared" si="34"/>
        <v/>
      </c>
      <c r="M411" s="4" t="b" cm="1">
        <f t="array" ref="M411">IF(H411="",FALSE,SUMPRODUCT(--(H$1:H410=H411))&gt;0)</f>
        <v>0</v>
      </c>
    </row>
    <row r="412" spans="1:13" x14ac:dyDescent="0.25">
      <c r="A412" s="9" t="str">
        <f>IF(OR(B412="",M412,G412="— ignored"),"",MAX(A$1:A411)+1)</f>
        <v/>
      </c>
      <c r="B412" s="10"/>
      <c r="C412" s="11" t="str">
        <f>IF(I412="","",ROUND((I412+0.5*MAX(0,CEILING(ROUND((MAX(C$1:C411)-1/48-I412)/0.5,6),1)))*1440,0)/1440)</f>
        <v/>
      </c>
      <c r="D412" s="9" t="str" cm="1">
        <f t="array" ref="D412">IF(H412="","",IFERROR(INDEX(Log!$C$19:$G$19,VALUE(MID(H412,FIND("#",H412)+1,1))),""))</f>
        <v/>
      </c>
      <c r="E412" s="9" t="str" cm="1">
        <f t="array" ref="E412">IF(OR(H412="",M412),"",IFERROR(_xlfn.LET(_xlpm.t,SUBSTITUTE(UPPER(H412),"م","M"),_xlpm.u,SUBSTITUTE(_xlpm.t,"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12" s="12"/>
      <c r="G412" s="13" t="str">
        <f>IF(B412="","",IF(M412,"⚠ Duplicate (not counted)",IF(AND(I412="",D412="",E412=""),"— ignored",IF(C412="","⚠ Time",IF(D412="","⚠ Plant",IF(E412="","⚠ Quantity",IF(AND(ISNUMBER(L412),COUNTIF(L$1:L411,L412)&gt;0),"⚠ Same serial "&amp;L412,IF(AND(ISNUMBER(L412),L412&gt;MIN($L$2:$L$1001),COUNTIF($L$2:$L$1001,L412-1)=0,COUNTIF($L$2:$L$1001,L412-2)&lt;2),"⚠ Missing serial "&amp;(L412-1),IF(AND(MAX(K$1:K411)&gt;0,N(K412)-MAX(K$1:K411)&gt;180),"⚠ Gap &gt; 3h",IF(C412-I412&gt;=0.99,"next day",IF(C412-I412&gt;0.4,"12h → 24h","")))))))))))</f>
        <v/>
      </c>
      <c r="H412" s="4" t="str">
        <f t="shared" si="30"/>
        <v/>
      </c>
      <c r="I412" s="5" t="str">
        <f t="shared" si="31"/>
        <v/>
      </c>
      <c r="J412" s="6">
        <f t="shared" si="32"/>
        <v>0</v>
      </c>
      <c r="K412" s="4" t="str">
        <f t="shared" si="33"/>
        <v/>
      </c>
      <c r="L412" s="4" t="str">
        <f t="shared" si="34"/>
        <v/>
      </c>
      <c r="M412" s="4" t="b" cm="1">
        <f t="array" ref="M412">IF(H412="",FALSE,SUMPRODUCT(--(H$1:H411=H412))&gt;0)</f>
        <v>0</v>
      </c>
    </row>
    <row r="413" spans="1:13" x14ac:dyDescent="0.25">
      <c r="A413" s="9" t="str">
        <f>IF(OR(B413="",M413,G413="— ignored"),"",MAX(A$1:A412)+1)</f>
        <v/>
      </c>
      <c r="B413" s="10"/>
      <c r="C413" s="11" t="str">
        <f>IF(I413="","",ROUND((I413+0.5*MAX(0,CEILING(ROUND((MAX(C$1:C412)-1/48-I413)/0.5,6),1)))*1440,0)/1440)</f>
        <v/>
      </c>
      <c r="D413" s="9" t="str" cm="1">
        <f t="array" ref="D413">IF(H413="","",IFERROR(INDEX(Log!$C$19:$G$19,VALUE(MID(H413,FIND("#",H413)+1,1))),""))</f>
        <v/>
      </c>
      <c r="E413" s="9" t="str" cm="1">
        <f t="array" ref="E413">IF(OR(H413="",M413),"",IFERROR(_xlfn.LET(_xlpm.t,SUBSTITUTE(UPPER(H413),"م","M"),_xlpm.u,SUBSTITUTE(_xlpm.t,"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13" s="12"/>
      <c r="G413" s="13" t="str">
        <f>IF(B413="","",IF(M413,"⚠ Duplicate (not counted)",IF(AND(I413="",D413="",E413=""),"— ignored",IF(C413="","⚠ Time",IF(D413="","⚠ Plant",IF(E413="","⚠ Quantity",IF(AND(ISNUMBER(L413),COUNTIF(L$1:L412,L413)&gt;0),"⚠ Same serial "&amp;L413,IF(AND(ISNUMBER(L413),L413&gt;MIN($L$2:$L$1001),COUNTIF($L$2:$L$1001,L413-1)=0,COUNTIF($L$2:$L$1001,L413-2)&lt;2),"⚠ Missing serial "&amp;(L413-1),IF(AND(MAX(K$1:K412)&gt;0,N(K413)-MAX(K$1:K412)&gt;180),"⚠ Gap &gt; 3h",IF(C413-I413&gt;=0.99,"next day",IF(C413-I413&gt;0.4,"12h → 24h","")))))))))))</f>
        <v/>
      </c>
      <c r="H413" s="4" t="str">
        <f t="shared" si="30"/>
        <v/>
      </c>
      <c r="I413" s="5" t="str">
        <f t="shared" si="31"/>
        <v/>
      </c>
      <c r="J413" s="6">
        <f t="shared" si="32"/>
        <v>0</v>
      </c>
      <c r="K413" s="4" t="str">
        <f t="shared" si="33"/>
        <v/>
      </c>
      <c r="L413" s="4" t="str">
        <f t="shared" si="34"/>
        <v/>
      </c>
      <c r="M413" s="4" t="b" cm="1">
        <f t="array" ref="M413">IF(H413="",FALSE,SUMPRODUCT(--(H$1:H412=H413))&gt;0)</f>
        <v>0</v>
      </c>
    </row>
    <row r="414" spans="1:13" x14ac:dyDescent="0.25">
      <c r="A414" s="9" t="str">
        <f>IF(OR(B414="",M414,G414="— ignored"),"",MAX(A$1:A413)+1)</f>
        <v/>
      </c>
      <c r="B414" s="10"/>
      <c r="C414" s="11" t="str">
        <f>IF(I414="","",ROUND((I414+0.5*MAX(0,CEILING(ROUND((MAX(C$1:C413)-1/48-I414)/0.5,6),1)))*1440,0)/1440)</f>
        <v/>
      </c>
      <c r="D414" s="9" t="str" cm="1">
        <f t="array" ref="D414">IF(H414="","",IFERROR(INDEX(Log!$C$19:$G$19,VALUE(MID(H414,FIND("#",H414)+1,1))),""))</f>
        <v/>
      </c>
      <c r="E414" s="9" t="str" cm="1">
        <f t="array" ref="E414">IF(OR(H414="",M414),"",IFERROR(_xlfn.LET(_xlpm.t,SUBSTITUTE(UPPER(H414),"م","M"),_xlpm.u,SUBSTITUTE(_xlpm.t,"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14" s="12"/>
      <c r="G414" s="13" t="str">
        <f>IF(B414="","",IF(M414,"⚠ Duplicate (not counted)",IF(AND(I414="",D414="",E414=""),"— ignored",IF(C414="","⚠ Time",IF(D414="","⚠ Plant",IF(E414="","⚠ Quantity",IF(AND(ISNUMBER(L414),COUNTIF(L$1:L413,L414)&gt;0),"⚠ Same serial "&amp;L414,IF(AND(ISNUMBER(L414),L414&gt;MIN($L$2:$L$1001),COUNTIF($L$2:$L$1001,L414-1)=0,COUNTIF($L$2:$L$1001,L414-2)&lt;2),"⚠ Missing serial "&amp;(L414-1),IF(AND(MAX(K$1:K413)&gt;0,N(K414)-MAX(K$1:K413)&gt;180),"⚠ Gap &gt; 3h",IF(C414-I414&gt;=0.99,"next day",IF(C414-I414&gt;0.4,"12h → 24h","")))))))))))</f>
        <v/>
      </c>
      <c r="H414" s="4" t="str">
        <f t="shared" si="30"/>
        <v/>
      </c>
      <c r="I414" s="5" t="str">
        <f t="shared" si="31"/>
        <v/>
      </c>
      <c r="J414" s="6">
        <f t="shared" si="32"/>
        <v>0</v>
      </c>
      <c r="K414" s="4" t="str">
        <f t="shared" si="33"/>
        <v/>
      </c>
      <c r="L414" s="4" t="str">
        <f t="shared" si="34"/>
        <v/>
      </c>
      <c r="M414" s="4" t="b" cm="1">
        <f t="array" ref="M414">IF(H414="",FALSE,SUMPRODUCT(--(H$1:H413=H414))&gt;0)</f>
        <v>0</v>
      </c>
    </row>
    <row r="415" spans="1:13" x14ac:dyDescent="0.25">
      <c r="A415" s="9" t="str">
        <f>IF(OR(B415="",M415,G415="— ignored"),"",MAX(A$1:A414)+1)</f>
        <v/>
      </c>
      <c r="B415" s="10"/>
      <c r="C415" s="11" t="str">
        <f>IF(I415="","",ROUND((I415+0.5*MAX(0,CEILING(ROUND((MAX(C$1:C414)-1/48-I415)/0.5,6),1)))*1440,0)/1440)</f>
        <v/>
      </c>
      <c r="D415" s="9" t="str" cm="1">
        <f t="array" ref="D415">IF(H415="","",IFERROR(INDEX(Log!$C$19:$G$19,VALUE(MID(H415,FIND("#",H415)+1,1))),""))</f>
        <v/>
      </c>
      <c r="E415" s="9" t="str" cm="1">
        <f t="array" ref="E415">IF(OR(H415="",M415),"",IFERROR(_xlfn.LET(_xlpm.t,SUBSTITUTE(UPPER(H415),"م","M"),_xlpm.u,SUBSTITUTE(_xlpm.t,"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15" s="12"/>
      <c r="G415" s="13" t="str">
        <f>IF(B415="","",IF(M415,"⚠ Duplicate (not counted)",IF(AND(I415="",D415="",E415=""),"— ignored",IF(C415="","⚠ Time",IF(D415="","⚠ Plant",IF(E415="","⚠ Quantity",IF(AND(ISNUMBER(L415),COUNTIF(L$1:L414,L415)&gt;0),"⚠ Same serial "&amp;L415,IF(AND(ISNUMBER(L415),L415&gt;MIN($L$2:$L$1001),COUNTIF($L$2:$L$1001,L415-1)=0,COUNTIF($L$2:$L$1001,L415-2)&lt;2),"⚠ Missing serial "&amp;(L415-1),IF(AND(MAX(K$1:K414)&gt;0,N(K415)-MAX(K$1:K414)&gt;180),"⚠ Gap &gt; 3h",IF(C415-I415&gt;=0.99,"next day",IF(C415-I415&gt;0.4,"12h → 24h","")))))))))))</f>
        <v/>
      </c>
      <c r="H415" s="4" t="str">
        <f t="shared" si="30"/>
        <v/>
      </c>
      <c r="I415" s="5" t="str">
        <f t="shared" si="31"/>
        <v/>
      </c>
      <c r="J415" s="6">
        <f t="shared" si="32"/>
        <v>0</v>
      </c>
      <c r="K415" s="4" t="str">
        <f t="shared" si="33"/>
        <v/>
      </c>
      <c r="L415" s="4" t="str">
        <f t="shared" si="34"/>
        <v/>
      </c>
      <c r="M415" s="4" t="b" cm="1">
        <f t="array" ref="M415">IF(H415="",FALSE,SUMPRODUCT(--(H$1:H414=H415))&gt;0)</f>
        <v>0</v>
      </c>
    </row>
    <row r="416" spans="1:13" x14ac:dyDescent="0.25">
      <c r="A416" s="9" t="str">
        <f>IF(OR(B416="",M416,G416="— ignored"),"",MAX(A$1:A415)+1)</f>
        <v/>
      </c>
      <c r="B416" s="10"/>
      <c r="C416" s="11" t="str">
        <f>IF(I416="","",ROUND((I416+0.5*MAX(0,CEILING(ROUND((MAX(C$1:C415)-1/48-I416)/0.5,6),1)))*1440,0)/1440)</f>
        <v/>
      </c>
      <c r="D416" s="9" t="str" cm="1">
        <f t="array" ref="D416">IF(H416="","",IFERROR(INDEX(Log!$C$19:$G$19,VALUE(MID(H416,FIND("#",H416)+1,1))),""))</f>
        <v/>
      </c>
      <c r="E416" s="9" t="str" cm="1">
        <f t="array" ref="E416">IF(OR(H416="",M416),"",IFERROR(_xlfn.LET(_xlpm.t,SUBSTITUTE(UPPER(H416),"م","M"),_xlpm.u,SUBSTITUTE(_xlpm.t,"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16" s="12"/>
      <c r="G416" s="13" t="str">
        <f>IF(B416="","",IF(M416,"⚠ Duplicate (not counted)",IF(AND(I416="",D416="",E416=""),"— ignored",IF(C416="","⚠ Time",IF(D416="","⚠ Plant",IF(E416="","⚠ Quantity",IF(AND(ISNUMBER(L416),COUNTIF(L$1:L415,L416)&gt;0),"⚠ Same serial "&amp;L416,IF(AND(ISNUMBER(L416),L416&gt;MIN($L$2:$L$1001),COUNTIF($L$2:$L$1001,L416-1)=0,COUNTIF($L$2:$L$1001,L416-2)&lt;2),"⚠ Missing serial "&amp;(L416-1),IF(AND(MAX(K$1:K415)&gt;0,N(K416)-MAX(K$1:K415)&gt;180),"⚠ Gap &gt; 3h",IF(C416-I416&gt;=0.99,"next day",IF(C416-I416&gt;0.4,"12h → 24h","")))))))))))</f>
        <v/>
      </c>
      <c r="H416" s="4" t="str">
        <f t="shared" si="30"/>
        <v/>
      </c>
      <c r="I416" s="5" t="str">
        <f t="shared" si="31"/>
        <v/>
      </c>
      <c r="J416" s="6">
        <f t="shared" si="32"/>
        <v>0</v>
      </c>
      <c r="K416" s="4" t="str">
        <f t="shared" si="33"/>
        <v/>
      </c>
      <c r="L416" s="4" t="str">
        <f t="shared" si="34"/>
        <v/>
      </c>
      <c r="M416" s="4" t="b" cm="1">
        <f t="array" ref="M416">IF(H416="",FALSE,SUMPRODUCT(--(H$1:H415=H416))&gt;0)</f>
        <v>0</v>
      </c>
    </row>
    <row r="417" spans="1:13" x14ac:dyDescent="0.25">
      <c r="A417" s="9" t="str">
        <f>IF(OR(B417="",M417,G417="— ignored"),"",MAX(A$1:A416)+1)</f>
        <v/>
      </c>
      <c r="B417" s="10"/>
      <c r="C417" s="11" t="str">
        <f>IF(I417="","",ROUND((I417+0.5*MAX(0,CEILING(ROUND((MAX(C$1:C416)-1/48-I417)/0.5,6),1)))*1440,0)/1440)</f>
        <v/>
      </c>
      <c r="D417" s="9" t="str" cm="1">
        <f t="array" ref="D417">IF(H417="","",IFERROR(INDEX(Log!$C$19:$G$19,VALUE(MID(H417,FIND("#",H417)+1,1))),""))</f>
        <v/>
      </c>
      <c r="E417" s="9" t="str" cm="1">
        <f t="array" ref="E417">IF(OR(H417="",M417),"",IFERROR(_xlfn.LET(_xlpm.t,SUBSTITUTE(UPPER(H417),"م","M"),_xlpm.u,SUBSTITUTE(_xlpm.t,"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17" s="12"/>
      <c r="G417" s="13" t="str">
        <f>IF(B417="","",IF(M417,"⚠ Duplicate (not counted)",IF(AND(I417="",D417="",E417=""),"— ignored",IF(C417="","⚠ Time",IF(D417="","⚠ Plant",IF(E417="","⚠ Quantity",IF(AND(ISNUMBER(L417),COUNTIF(L$1:L416,L417)&gt;0),"⚠ Same serial "&amp;L417,IF(AND(ISNUMBER(L417),L417&gt;MIN($L$2:$L$1001),COUNTIF($L$2:$L$1001,L417-1)=0,COUNTIF($L$2:$L$1001,L417-2)&lt;2),"⚠ Missing serial "&amp;(L417-1),IF(AND(MAX(K$1:K416)&gt;0,N(K417)-MAX(K$1:K416)&gt;180),"⚠ Gap &gt; 3h",IF(C417-I417&gt;=0.99,"next day",IF(C417-I417&gt;0.4,"12h → 24h","")))))))))))</f>
        <v/>
      </c>
      <c r="H417" s="4" t="str">
        <f t="shared" si="30"/>
        <v/>
      </c>
      <c r="I417" s="5" t="str">
        <f t="shared" si="31"/>
        <v/>
      </c>
      <c r="J417" s="6">
        <f t="shared" si="32"/>
        <v>0</v>
      </c>
      <c r="K417" s="4" t="str">
        <f t="shared" si="33"/>
        <v/>
      </c>
      <c r="L417" s="4" t="str">
        <f t="shared" si="34"/>
        <v/>
      </c>
      <c r="M417" s="4" t="b" cm="1">
        <f t="array" ref="M417">IF(H417="",FALSE,SUMPRODUCT(--(H$1:H416=H417))&gt;0)</f>
        <v>0</v>
      </c>
    </row>
    <row r="418" spans="1:13" x14ac:dyDescent="0.25">
      <c r="A418" s="9" t="str">
        <f>IF(OR(B418="",M418,G418="— ignored"),"",MAX(A$1:A417)+1)</f>
        <v/>
      </c>
      <c r="B418" s="10"/>
      <c r="C418" s="11" t="str">
        <f>IF(I418="","",ROUND((I418+0.5*MAX(0,CEILING(ROUND((MAX(C$1:C417)-1/48-I418)/0.5,6),1)))*1440,0)/1440)</f>
        <v/>
      </c>
      <c r="D418" s="9" t="str" cm="1">
        <f t="array" ref="D418">IF(H418="","",IFERROR(INDEX(Log!$C$19:$G$19,VALUE(MID(H418,FIND("#",H418)+1,1))),""))</f>
        <v/>
      </c>
      <c r="E418" s="9" t="str" cm="1">
        <f t="array" ref="E418">IF(OR(H418="",M418),"",IFERROR(_xlfn.LET(_xlpm.t,SUBSTITUTE(UPPER(H418),"م","M"),_xlpm.u,SUBSTITUTE(_xlpm.t,"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18" s="12"/>
      <c r="G418" s="13" t="str">
        <f>IF(B418="","",IF(M418,"⚠ Duplicate (not counted)",IF(AND(I418="",D418="",E418=""),"— ignored",IF(C418="","⚠ Time",IF(D418="","⚠ Plant",IF(E418="","⚠ Quantity",IF(AND(ISNUMBER(L418),COUNTIF(L$1:L417,L418)&gt;0),"⚠ Same serial "&amp;L418,IF(AND(ISNUMBER(L418),L418&gt;MIN($L$2:$L$1001),COUNTIF($L$2:$L$1001,L418-1)=0,COUNTIF($L$2:$L$1001,L418-2)&lt;2),"⚠ Missing serial "&amp;(L418-1),IF(AND(MAX(K$1:K417)&gt;0,N(K418)-MAX(K$1:K417)&gt;180),"⚠ Gap &gt; 3h",IF(C418-I418&gt;=0.99,"next day",IF(C418-I418&gt;0.4,"12h → 24h","")))))))))))</f>
        <v/>
      </c>
      <c r="H418" s="4" t="str">
        <f t="shared" si="30"/>
        <v/>
      </c>
      <c r="I418" s="5" t="str">
        <f t="shared" si="31"/>
        <v/>
      </c>
      <c r="J418" s="6">
        <f t="shared" si="32"/>
        <v>0</v>
      </c>
      <c r="K418" s="4" t="str">
        <f t="shared" si="33"/>
        <v/>
      </c>
      <c r="L418" s="4" t="str">
        <f t="shared" si="34"/>
        <v/>
      </c>
      <c r="M418" s="4" t="b" cm="1">
        <f t="array" ref="M418">IF(H418="",FALSE,SUMPRODUCT(--(H$1:H417=H418))&gt;0)</f>
        <v>0</v>
      </c>
    </row>
    <row r="419" spans="1:13" x14ac:dyDescent="0.25">
      <c r="A419" s="9" t="str">
        <f>IF(OR(B419="",M419,G419="— ignored"),"",MAX(A$1:A418)+1)</f>
        <v/>
      </c>
      <c r="B419" s="10"/>
      <c r="C419" s="11" t="str">
        <f>IF(I419="","",ROUND((I419+0.5*MAX(0,CEILING(ROUND((MAX(C$1:C418)-1/48-I419)/0.5,6),1)))*1440,0)/1440)</f>
        <v/>
      </c>
      <c r="D419" s="9" t="str" cm="1">
        <f t="array" ref="D419">IF(H419="","",IFERROR(INDEX(Log!$C$19:$G$19,VALUE(MID(H419,FIND("#",H419)+1,1))),""))</f>
        <v/>
      </c>
      <c r="E419" s="9" t="str" cm="1">
        <f t="array" ref="E419">IF(OR(H419="",M419),"",IFERROR(_xlfn.LET(_xlpm.t,SUBSTITUTE(UPPER(H419),"م","M"),_xlpm.u,SUBSTITUTE(_xlpm.t,"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19" s="12"/>
      <c r="G419" s="13" t="str">
        <f>IF(B419="","",IF(M419,"⚠ Duplicate (not counted)",IF(AND(I419="",D419="",E419=""),"— ignored",IF(C419="","⚠ Time",IF(D419="","⚠ Plant",IF(E419="","⚠ Quantity",IF(AND(ISNUMBER(L419),COUNTIF(L$1:L418,L419)&gt;0),"⚠ Same serial "&amp;L419,IF(AND(ISNUMBER(L419),L419&gt;MIN($L$2:$L$1001),COUNTIF($L$2:$L$1001,L419-1)=0,COUNTIF($L$2:$L$1001,L419-2)&lt;2),"⚠ Missing serial "&amp;(L419-1),IF(AND(MAX(K$1:K418)&gt;0,N(K419)-MAX(K$1:K418)&gt;180),"⚠ Gap &gt; 3h",IF(C419-I419&gt;=0.99,"next day",IF(C419-I419&gt;0.4,"12h → 24h","")))))))))))</f>
        <v/>
      </c>
      <c r="H419" s="4" t="str">
        <f t="shared" si="30"/>
        <v/>
      </c>
      <c r="I419" s="5" t="str">
        <f t="shared" si="31"/>
        <v/>
      </c>
      <c r="J419" s="6">
        <f t="shared" si="32"/>
        <v>0</v>
      </c>
      <c r="K419" s="4" t="str">
        <f t="shared" si="33"/>
        <v/>
      </c>
      <c r="L419" s="4" t="str">
        <f t="shared" si="34"/>
        <v/>
      </c>
      <c r="M419" s="4" t="b" cm="1">
        <f t="array" ref="M419">IF(H419="",FALSE,SUMPRODUCT(--(H$1:H418=H419))&gt;0)</f>
        <v>0</v>
      </c>
    </row>
    <row r="420" spans="1:13" x14ac:dyDescent="0.25">
      <c r="A420" s="9" t="str">
        <f>IF(OR(B420="",M420,G420="— ignored"),"",MAX(A$1:A419)+1)</f>
        <v/>
      </c>
      <c r="B420" s="10"/>
      <c r="C420" s="11" t="str">
        <f>IF(I420="","",ROUND((I420+0.5*MAX(0,CEILING(ROUND((MAX(C$1:C419)-1/48-I420)/0.5,6),1)))*1440,0)/1440)</f>
        <v/>
      </c>
      <c r="D420" s="9" t="str" cm="1">
        <f t="array" ref="D420">IF(H420="","",IFERROR(INDEX(Log!$C$19:$G$19,VALUE(MID(H420,FIND("#",H420)+1,1))),""))</f>
        <v/>
      </c>
      <c r="E420" s="9" t="str" cm="1">
        <f t="array" ref="E420">IF(OR(H420="",M420),"",IFERROR(_xlfn.LET(_xlpm.t,SUBSTITUTE(UPPER(H420),"م","M"),_xlpm.u,SUBSTITUTE(_xlpm.t,"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20" s="12"/>
      <c r="G420" s="13" t="str">
        <f>IF(B420="","",IF(M420,"⚠ Duplicate (not counted)",IF(AND(I420="",D420="",E420=""),"— ignored",IF(C420="","⚠ Time",IF(D420="","⚠ Plant",IF(E420="","⚠ Quantity",IF(AND(ISNUMBER(L420),COUNTIF(L$1:L419,L420)&gt;0),"⚠ Same serial "&amp;L420,IF(AND(ISNUMBER(L420),L420&gt;MIN($L$2:$L$1001),COUNTIF($L$2:$L$1001,L420-1)=0,COUNTIF($L$2:$L$1001,L420-2)&lt;2),"⚠ Missing serial "&amp;(L420-1),IF(AND(MAX(K$1:K419)&gt;0,N(K420)-MAX(K$1:K419)&gt;180),"⚠ Gap &gt; 3h",IF(C420-I420&gt;=0.99,"next day",IF(C420-I420&gt;0.4,"12h → 24h","")))))))))))</f>
        <v/>
      </c>
      <c r="H420" s="4" t="str">
        <f t="shared" si="30"/>
        <v/>
      </c>
      <c r="I420" s="5" t="str">
        <f t="shared" si="31"/>
        <v/>
      </c>
      <c r="J420" s="6">
        <f t="shared" si="32"/>
        <v>0</v>
      </c>
      <c r="K420" s="4" t="str">
        <f t="shared" si="33"/>
        <v/>
      </c>
      <c r="L420" s="4" t="str">
        <f t="shared" si="34"/>
        <v/>
      </c>
      <c r="M420" s="4" t="b" cm="1">
        <f t="array" ref="M420">IF(H420="",FALSE,SUMPRODUCT(--(H$1:H419=H420))&gt;0)</f>
        <v>0</v>
      </c>
    </row>
    <row r="421" spans="1:13" x14ac:dyDescent="0.25">
      <c r="A421" s="9" t="str">
        <f>IF(OR(B421="",M421,G421="— ignored"),"",MAX(A$1:A420)+1)</f>
        <v/>
      </c>
      <c r="B421" s="10"/>
      <c r="C421" s="11" t="str">
        <f>IF(I421="","",ROUND((I421+0.5*MAX(0,CEILING(ROUND((MAX(C$1:C420)-1/48-I421)/0.5,6),1)))*1440,0)/1440)</f>
        <v/>
      </c>
      <c r="D421" s="9" t="str" cm="1">
        <f t="array" ref="D421">IF(H421="","",IFERROR(INDEX(Log!$C$19:$G$19,VALUE(MID(H421,FIND("#",H421)+1,1))),""))</f>
        <v/>
      </c>
      <c r="E421" s="9" t="str" cm="1">
        <f t="array" ref="E421">IF(OR(H421="",M421),"",IFERROR(_xlfn.LET(_xlpm.t,SUBSTITUTE(UPPER(H421),"م","M"),_xlpm.u,SUBSTITUTE(_xlpm.t,"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21" s="12"/>
      <c r="G421" s="13" t="str">
        <f>IF(B421="","",IF(M421,"⚠ Duplicate (not counted)",IF(AND(I421="",D421="",E421=""),"— ignored",IF(C421="","⚠ Time",IF(D421="","⚠ Plant",IF(E421="","⚠ Quantity",IF(AND(ISNUMBER(L421),COUNTIF(L$1:L420,L421)&gt;0),"⚠ Same serial "&amp;L421,IF(AND(ISNUMBER(L421),L421&gt;MIN($L$2:$L$1001),COUNTIF($L$2:$L$1001,L421-1)=0,COUNTIF($L$2:$L$1001,L421-2)&lt;2),"⚠ Missing serial "&amp;(L421-1),IF(AND(MAX(K$1:K420)&gt;0,N(K421)-MAX(K$1:K420)&gt;180),"⚠ Gap &gt; 3h",IF(C421-I421&gt;=0.99,"next day",IF(C421-I421&gt;0.4,"12h → 24h","")))))))))))</f>
        <v/>
      </c>
      <c r="H421" s="4" t="str">
        <f t="shared" si="30"/>
        <v/>
      </c>
      <c r="I421" s="5" t="str">
        <f t="shared" si="31"/>
        <v/>
      </c>
      <c r="J421" s="6">
        <f t="shared" si="32"/>
        <v>0</v>
      </c>
      <c r="K421" s="4" t="str">
        <f t="shared" si="33"/>
        <v/>
      </c>
      <c r="L421" s="4" t="str">
        <f t="shared" si="34"/>
        <v/>
      </c>
      <c r="M421" s="4" t="b" cm="1">
        <f t="array" ref="M421">IF(H421="",FALSE,SUMPRODUCT(--(H$1:H420=H421))&gt;0)</f>
        <v>0</v>
      </c>
    </row>
    <row r="422" spans="1:13" x14ac:dyDescent="0.25">
      <c r="A422" s="9" t="str">
        <f>IF(OR(B422="",M422,G422="— ignored"),"",MAX(A$1:A421)+1)</f>
        <v/>
      </c>
      <c r="B422" s="10"/>
      <c r="C422" s="11" t="str">
        <f>IF(I422="","",ROUND((I422+0.5*MAX(0,CEILING(ROUND((MAX(C$1:C421)-1/48-I422)/0.5,6),1)))*1440,0)/1440)</f>
        <v/>
      </c>
      <c r="D422" s="9" t="str" cm="1">
        <f t="array" ref="D422">IF(H422="","",IFERROR(INDEX(Log!$C$19:$G$19,VALUE(MID(H422,FIND("#",H422)+1,1))),""))</f>
        <v/>
      </c>
      <c r="E422" s="9" t="str" cm="1">
        <f t="array" ref="E422">IF(OR(H422="",M422),"",IFERROR(_xlfn.LET(_xlpm.t,SUBSTITUTE(UPPER(H422),"م","M"),_xlpm.u,SUBSTITUTE(_xlpm.t,"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22" s="12"/>
      <c r="G422" s="13" t="str">
        <f>IF(B422="","",IF(M422,"⚠ Duplicate (not counted)",IF(AND(I422="",D422="",E422=""),"— ignored",IF(C422="","⚠ Time",IF(D422="","⚠ Plant",IF(E422="","⚠ Quantity",IF(AND(ISNUMBER(L422),COUNTIF(L$1:L421,L422)&gt;0),"⚠ Same serial "&amp;L422,IF(AND(ISNUMBER(L422),L422&gt;MIN($L$2:$L$1001),COUNTIF($L$2:$L$1001,L422-1)=0,COUNTIF($L$2:$L$1001,L422-2)&lt;2),"⚠ Missing serial "&amp;(L422-1),IF(AND(MAX(K$1:K421)&gt;0,N(K422)-MAX(K$1:K421)&gt;180),"⚠ Gap &gt; 3h",IF(C422-I422&gt;=0.99,"next day",IF(C422-I422&gt;0.4,"12h → 24h","")))))))))))</f>
        <v/>
      </c>
      <c r="H422" s="4" t="str">
        <f t="shared" si="30"/>
        <v/>
      </c>
      <c r="I422" s="5" t="str">
        <f t="shared" si="31"/>
        <v/>
      </c>
      <c r="J422" s="6">
        <f t="shared" si="32"/>
        <v>0</v>
      </c>
      <c r="K422" s="4" t="str">
        <f t="shared" si="33"/>
        <v/>
      </c>
      <c r="L422" s="4" t="str">
        <f t="shared" si="34"/>
        <v/>
      </c>
      <c r="M422" s="4" t="b" cm="1">
        <f t="array" ref="M422">IF(H422="",FALSE,SUMPRODUCT(--(H$1:H421=H422))&gt;0)</f>
        <v>0</v>
      </c>
    </row>
    <row r="423" spans="1:13" x14ac:dyDescent="0.25">
      <c r="A423" s="9" t="str">
        <f>IF(OR(B423="",M423,G423="— ignored"),"",MAX(A$1:A422)+1)</f>
        <v/>
      </c>
      <c r="B423" s="10"/>
      <c r="C423" s="11" t="str">
        <f>IF(I423="","",ROUND((I423+0.5*MAX(0,CEILING(ROUND((MAX(C$1:C422)-1/48-I423)/0.5,6),1)))*1440,0)/1440)</f>
        <v/>
      </c>
      <c r="D423" s="9" t="str" cm="1">
        <f t="array" ref="D423">IF(H423="","",IFERROR(INDEX(Log!$C$19:$G$19,VALUE(MID(H423,FIND("#",H423)+1,1))),""))</f>
        <v/>
      </c>
      <c r="E423" s="9" t="str" cm="1">
        <f t="array" ref="E423">IF(OR(H423="",M423),"",IFERROR(_xlfn.LET(_xlpm.t,SUBSTITUTE(UPPER(H423),"م","M"),_xlpm.u,SUBSTITUTE(_xlpm.t,"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23" s="12"/>
      <c r="G423" s="13" t="str">
        <f>IF(B423="","",IF(M423,"⚠ Duplicate (not counted)",IF(AND(I423="",D423="",E423=""),"— ignored",IF(C423="","⚠ Time",IF(D423="","⚠ Plant",IF(E423="","⚠ Quantity",IF(AND(ISNUMBER(L423),COUNTIF(L$1:L422,L423)&gt;0),"⚠ Same serial "&amp;L423,IF(AND(ISNUMBER(L423),L423&gt;MIN($L$2:$L$1001),COUNTIF($L$2:$L$1001,L423-1)=0,COUNTIF($L$2:$L$1001,L423-2)&lt;2),"⚠ Missing serial "&amp;(L423-1),IF(AND(MAX(K$1:K422)&gt;0,N(K423)-MAX(K$1:K422)&gt;180),"⚠ Gap &gt; 3h",IF(C423-I423&gt;=0.99,"next day",IF(C423-I423&gt;0.4,"12h → 24h","")))))))))))</f>
        <v/>
      </c>
      <c r="H423" s="4" t="str">
        <f t="shared" si="30"/>
        <v/>
      </c>
      <c r="I423" s="5" t="str">
        <f t="shared" si="31"/>
        <v/>
      </c>
      <c r="J423" s="6">
        <f t="shared" si="32"/>
        <v>0</v>
      </c>
      <c r="K423" s="4" t="str">
        <f t="shared" si="33"/>
        <v/>
      </c>
      <c r="L423" s="4" t="str">
        <f t="shared" si="34"/>
        <v/>
      </c>
      <c r="M423" s="4" t="b" cm="1">
        <f t="array" ref="M423">IF(H423="",FALSE,SUMPRODUCT(--(H$1:H422=H423))&gt;0)</f>
        <v>0</v>
      </c>
    </row>
    <row r="424" spans="1:13" x14ac:dyDescent="0.25">
      <c r="A424" s="9" t="str">
        <f>IF(OR(B424="",M424,G424="— ignored"),"",MAX(A$1:A423)+1)</f>
        <v/>
      </c>
      <c r="B424" s="10"/>
      <c r="C424" s="11" t="str">
        <f>IF(I424="","",ROUND((I424+0.5*MAX(0,CEILING(ROUND((MAX(C$1:C423)-1/48-I424)/0.5,6),1)))*1440,0)/1440)</f>
        <v/>
      </c>
      <c r="D424" s="9" t="str" cm="1">
        <f t="array" ref="D424">IF(H424="","",IFERROR(INDEX(Log!$C$19:$G$19,VALUE(MID(H424,FIND("#",H424)+1,1))),""))</f>
        <v/>
      </c>
      <c r="E424" s="9" t="str" cm="1">
        <f t="array" ref="E424">IF(OR(H424="",M424),"",IFERROR(_xlfn.LET(_xlpm.t,SUBSTITUTE(UPPER(H424),"م","M"),_xlpm.u,SUBSTITUTE(_xlpm.t,"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24" s="12"/>
      <c r="G424" s="13" t="str">
        <f>IF(B424="","",IF(M424,"⚠ Duplicate (not counted)",IF(AND(I424="",D424="",E424=""),"— ignored",IF(C424="","⚠ Time",IF(D424="","⚠ Plant",IF(E424="","⚠ Quantity",IF(AND(ISNUMBER(L424),COUNTIF(L$1:L423,L424)&gt;0),"⚠ Same serial "&amp;L424,IF(AND(ISNUMBER(L424),L424&gt;MIN($L$2:$L$1001),COUNTIF($L$2:$L$1001,L424-1)=0,COUNTIF($L$2:$L$1001,L424-2)&lt;2),"⚠ Missing serial "&amp;(L424-1),IF(AND(MAX(K$1:K423)&gt;0,N(K424)-MAX(K$1:K423)&gt;180),"⚠ Gap &gt; 3h",IF(C424-I424&gt;=0.99,"next day",IF(C424-I424&gt;0.4,"12h → 24h","")))))))))))</f>
        <v/>
      </c>
      <c r="H424" s="4" t="str">
        <f t="shared" si="30"/>
        <v/>
      </c>
      <c r="I424" s="5" t="str">
        <f t="shared" si="31"/>
        <v/>
      </c>
      <c r="J424" s="6">
        <f t="shared" si="32"/>
        <v>0</v>
      </c>
      <c r="K424" s="4" t="str">
        <f t="shared" si="33"/>
        <v/>
      </c>
      <c r="L424" s="4" t="str">
        <f t="shared" si="34"/>
        <v/>
      </c>
      <c r="M424" s="4" t="b" cm="1">
        <f t="array" ref="M424">IF(H424="",FALSE,SUMPRODUCT(--(H$1:H423=H424))&gt;0)</f>
        <v>0</v>
      </c>
    </row>
    <row r="425" spans="1:13" x14ac:dyDescent="0.25">
      <c r="A425" s="9" t="str">
        <f>IF(OR(B425="",M425,G425="— ignored"),"",MAX(A$1:A424)+1)</f>
        <v/>
      </c>
      <c r="B425" s="10"/>
      <c r="C425" s="11" t="str">
        <f>IF(I425="","",ROUND((I425+0.5*MAX(0,CEILING(ROUND((MAX(C$1:C424)-1/48-I425)/0.5,6),1)))*1440,0)/1440)</f>
        <v/>
      </c>
      <c r="D425" s="9" t="str" cm="1">
        <f t="array" ref="D425">IF(H425="","",IFERROR(INDEX(Log!$C$19:$G$19,VALUE(MID(H425,FIND("#",H425)+1,1))),""))</f>
        <v/>
      </c>
      <c r="E425" s="9" t="str" cm="1">
        <f t="array" ref="E425">IF(OR(H425="",M425),"",IFERROR(_xlfn.LET(_xlpm.t,SUBSTITUTE(UPPER(H425),"م","M"),_xlpm.u,SUBSTITUTE(_xlpm.t,"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25" s="12"/>
      <c r="G425" s="13" t="str">
        <f>IF(B425="","",IF(M425,"⚠ Duplicate (not counted)",IF(AND(I425="",D425="",E425=""),"— ignored",IF(C425="","⚠ Time",IF(D425="","⚠ Plant",IF(E425="","⚠ Quantity",IF(AND(ISNUMBER(L425),COUNTIF(L$1:L424,L425)&gt;0),"⚠ Same serial "&amp;L425,IF(AND(ISNUMBER(L425),L425&gt;MIN($L$2:$L$1001),COUNTIF($L$2:$L$1001,L425-1)=0,COUNTIF($L$2:$L$1001,L425-2)&lt;2),"⚠ Missing serial "&amp;(L425-1),IF(AND(MAX(K$1:K424)&gt;0,N(K425)-MAX(K$1:K424)&gt;180),"⚠ Gap &gt; 3h",IF(C425-I425&gt;=0.99,"next day",IF(C425-I425&gt;0.4,"12h → 24h","")))))))))))</f>
        <v/>
      </c>
      <c r="H425" s="4" t="str">
        <f t="shared" si="30"/>
        <v/>
      </c>
      <c r="I425" s="5" t="str">
        <f t="shared" si="31"/>
        <v/>
      </c>
      <c r="J425" s="6">
        <f t="shared" si="32"/>
        <v>0</v>
      </c>
      <c r="K425" s="4" t="str">
        <f t="shared" si="33"/>
        <v/>
      </c>
      <c r="L425" s="4" t="str">
        <f t="shared" si="34"/>
        <v/>
      </c>
      <c r="M425" s="4" t="b" cm="1">
        <f t="array" ref="M425">IF(H425="",FALSE,SUMPRODUCT(--(H$1:H424=H425))&gt;0)</f>
        <v>0</v>
      </c>
    </row>
    <row r="426" spans="1:13" x14ac:dyDescent="0.25">
      <c r="A426" s="9" t="str">
        <f>IF(OR(B426="",M426,G426="— ignored"),"",MAX(A$1:A425)+1)</f>
        <v/>
      </c>
      <c r="B426" s="10"/>
      <c r="C426" s="11" t="str">
        <f>IF(I426="","",ROUND((I426+0.5*MAX(0,CEILING(ROUND((MAX(C$1:C425)-1/48-I426)/0.5,6),1)))*1440,0)/1440)</f>
        <v/>
      </c>
      <c r="D426" s="9" t="str" cm="1">
        <f t="array" ref="D426">IF(H426="","",IFERROR(INDEX(Log!$C$19:$G$19,VALUE(MID(H426,FIND("#",H426)+1,1))),""))</f>
        <v/>
      </c>
      <c r="E426" s="9" t="str" cm="1">
        <f t="array" ref="E426">IF(OR(H426="",M426),"",IFERROR(_xlfn.LET(_xlpm.t,SUBSTITUTE(UPPER(H426),"م","M"),_xlpm.u,SUBSTITUTE(_xlpm.t,"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26" s="12"/>
      <c r="G426" s="13" t="str">
        <f>IF(B426="","",IF(M426,"⚠ Duplicate (not counted)",IF(AND(I426="",D426="",E426=""),"— ignored",IF(C426="","⚠ Time",IF(D426="","⚠ Plant",IF(E426="","⚠ Quantity",IF(AND(ISNUMBER(L426),COUNTIF(L$1:L425,L426)&gt;0),"⚠ Same serial "&amp;L426,IF(AND(ISNUMBER(L426),L426&gt;MIN($L$2:$L$1001),COUNTIF($L$2:$L$1001,L426-1)=0,COUNTIF($L$2:$L$1001,L426-2)&lt;2),"⚠ Missing serial "&amp;(L426-1),IF(AND(MAX(K$1:K425)&gt;0,N(K426)-MAX(K$1:K425)&gt;180),"⚠ Gap &gt; 3h",IF(C426-I426&gt;=0.99,"next day",IF(C426-I426&gt;0.4,"12h → 24h","")))))))))))</f>
        <v/>
      </c>
      <c r="H426" s="4" t="str">
        <f t="shared" si="30"/>
        <v/>
      </c>
      <c r="I426" s="5" t="str">
        <f t="shared" si="31"/>
        <v/>
      </c>
      <c r="J426" s="6">
        <f t="shared" si="32"/>
        <v>0</v>
      </c>
      <c r="K426" s="4" t="str">
        <f t="shared" si="33"/>
        <v/>
      </c>
      <c r="L426" s="4" t="str">
        <f t="shared" si="34"/>
        <v/>
      </c>
      <c r="M426" s="4" t="b" cm="1">
        <f t="array" ref="M426">IF(H426="",FALSE,SUMPRODUCT(--(H$1:H425=H426))&gt;0)</f>
        <v>0</v>
      </c>
    </row>
    <row r="427" spans="1:13" x14ac:dyDescent="0.25">
      <c r="A427" s="9" t="str">
        <f>IF(OR(B427="",M427,G427="— ignored"),"",MAX(A$1:A426)+1)</f>
        <v/>
      </c>
      <c r="B427" s="10"/>
      <c r="C427" s="11" t="str">
        <f>IF(I427="","",ROUND((I427+0.5*MAX(0,CEILING(ROUND((MAX(C$1:C426)-1/48-I427)/0.5,6),1)))*1440,0)/1440)</f>
        <v/>
      </c>
      <c r="D427" s="9" t="str" cm="1">
        <f t="array" ref="D427">IF(H427="","",IFERROR(INDEX(Log!$C$19:$G$19,VALUE(MID(H427,FIND("#",H427)+1,1))),""))</f>
        <v/>
      </c>
      <c r="E427" s="9" t="str" cm="1">
        <f t="array" ref="E427">IF(OR(H427="",M427),"",IFERROR(_xlfn.LET(_xlpm.t,SUBSTITUTE(UPPER(H427),"م","M"),_xlpm.u,SUBSTITUTE(_xlpm.t,"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27" s="12"/>
      <c r="G427" s="13" t="str">
        <f>IF(B427="","",IF(M427,"⚠ Duplicate (not counted)",IF(AND(I427="",D427="",E427=""),"— ignored",IF(C427="","⚠ Time",IF(D427="","⚠ Plant",IF(E427="","⚠ Quantity",IF(AND(ISNUMBER(L427),COUNTIF(L$1:L426,L427)&gt;0),"⚠ Same serial "&amp;L427,IF(AND(ISNUMBER(L427),L427&gt;MIN($L$2:$L$1001),COUNTIF($L$2:$L$1001,L427-1)=0,COUNTIF($L$2:$L$1001,L427-2)&lt;2),"⚠ Missing serial "&amp;(L427-1),IF(AND(MAX(K$1:K426)&gt;0,N(K427)-MAX(K$1:K426)&gt;180),"⚠ Gap &gt; 3h",IF(C427-I427&gt;=0.99,"next day",IF(C427-I427&gt;0.4,"12h → 24h","")))))))))))</f>
        <v/>
      </c>
      <c r="H427" s="4" t="str">
        <f t="shared" si="30"/>
        <v/>
      </c>
      <c r="I427" s="5" t="str">
        <f t="shared" si="31"/>
        <v/>
      </c>
      <c r="J427" s="6">
        <f t="shared" si="32"/>
        <v>0</v>
      </c>
      <c r="K427" s="4" t="str">
        <f t="shared" si="33"/>
        <v/>
      </c>
      <c r="L427" s="4" t="str">
        <f t="shared" si="34"/>
        <v/>
      </c>
      <c r="M427" s="4" t="b" cm="1">
        <f t="array" ref="M427">IF(H427="",FALSE,SUMPRODUCT(--(H$1:H426=H427))&gt;0)</f>
        <v>0</v>
      </c>
    </row>
    <row r="428" spans="1:13" x14ac:dyDescent="0.25">
      <c r="A428" s="9" t="str">
        <f>IF(OR(B428="",M428,G428="— ignored"),"",MAX(A$1:A427)+1)</f>
        <v/>
      </c>
      <c r="B428" s="10"/>
      <c r="C428" s="11" t="str">
        <f>IF(I428="","",ROUND((I428+0.5*MAX(0,CEILING(ROUND((MAX(C$1:C427)-1/48-I428)/0.5,6),1)))*1440,0)/1440)</f>
        <v/>
      </c>
      <c r="D428" s="9" t="str" cm="1">
        <f t="array" ref="D428">IF(H428="","",IFERROR(INDEX(Log!$C$19:$G$19,VALUE(MID(H428,FIND("#",H428)+1,1))),""))</f>
        <v/>
      </c>
      <c r="E428" s="9" t="str" cm="1">
        <f t="array" ref="E428">IF(OR(H428="",M428),"",IFERROR(_xlfn.LET(_xlpm.t,SUBSTITUTE(UPPER(H428),"م","M"),_xlpm.u,SUBSTITUTE(_xlpm.t,"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28" s="12"/>
      <c r="G428" s="13" t="str">
        <f>IF(B428="","",IF(M428,"⚠ Duplicate (not counted)",IF(AND(I428="",D428="",E428=""),"— ignored",IF(C428="","⚠ Time",IF(D428="","⚠ Plant",IF(E428="","⚠ Quantity",IF(AND(ISNUMBER(L428),COUNTIF(L$1:L427,L428)&gt;0),"⚠ Same serial "&amp;L428,IF(AND(ISNUMBER(L428),L428&gt;MIN($L$2:$L$1001),COUNTIF($L$2:$L$1001,L428-1)=0,COUNTIF($L$2:$L$1001,L428-2)&lt;2),"⚠ Missing serial "&amp;(L428-1),IF(AND(MAX(K$1:K427)&gt;0,N(K428)-MAX(K$1:K427)&gt;180),"⚠ Gap &gt; 3h",IF(C428-I428&gt;=0.99,"next day",IF(C428-I428&gt;0.4,"12h → 24h","")))))))))))</f>
        <v/>
      </c>
      <c r="H428" s="4" t="str">
        <f t="shared" si="30"/>
        <v/>
      </c>
      <c r="I428" s="5" t="str">
        <f t="shared" si="31"/>
        <v/>
      </c>
      <c r="J428" s="6">
        <f t="shared" si="32"/>
        <v>0</v>
      </c>
      <c r="K428" s="4" t="str">
        <f t="shared" si="33"/>
        <v/>
      </c>
      <c r="L428" s="4" t="str">
        <f t="shared" si="34"/>
        <v/>
      </c>
      <c r="M428" s="4" t="b" cm="1">
        <f t="array" ref="M428">IF(H428="",FALSE,SUMPRODUCT(--(H$1:H427=H428))&gt;0)</f>
        <v>0</v>
      </c>
    </row>
    <row r="429" spans="1:13" x14ac:dyDescent="0.25">
      <c r="A429" s="9" t="str">
        <f>IF(OR(B429="",M429,G429="— ignored"),"",MAX(A$1:A428)+1)</f>
        <v/>
      </c>
      <c r="B429" s="10"/>
      <c r="C429" s="11" t="str">
        <f>IF(I429="","",ROUND((I429+0.5*MAX(0,CEILING(ROUND((MAX(C$1:C428)-1/48-I429)/0.5,6),1)))*1440,0)/1440)</f>
        <v/>
      </c>
      <c r="D429" s="9" t="str" cm="1">
        <f t="array" ref="D429">IF(H429="","",IFERROR(INDEX(Log!$C$19:$G$19,VALUE(MID(H429,FIND("#",H429)+1,1))),""))</f>
        <v/>
      </c>
      <c r="E429" s="9" t="str" cm="1">
        <f t="array" ref="E429">IF(OR(H429="",M429),"",IFERROR(_xlfn.LET(_xlpm.t,SUBSTITUTE(UPPER(H429),"م","M"),_xlpm.u,SUBSTITUTE(_xlpm.t,"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29" s="12"/>
      <c r="G429" s="13" t="str">
        <f>IF(B429="","",IF(M429,"⚠ Duplicate (not counted)",IF(AND(I429="",D429="",E429=""),"— ignored",IF(C429="","⚠ Time",IF(D429="","⚠ Plant",IF(E429="","⚠ Quantity",IF(AND(ISNUMBER(L429),COUNTIF(L$1:L428,L429)&gt;0),"⚠ Same serial "&amp;L429,IF(AND(ISNUMBER(L429),L429&gt;MIN($L$2:$L$1001),COUNTIF($L$2:$L$1001,L429-1)=0,COUNTIF($L$2:$L$1001,L429-2)&lt;2),"⚠ Missing serial "&amp;(L429-1),IF(AND(MAX(K$1:K428)&gt;0,N(K429)-MAX(K$1:K428)&gt;180),"⚠ Gap &gt; 3h",IF(C429-I429&gt;=0.99,"next day",IF(C429-I429&gt;0.4,"12h → 24h","")))))))))))</f>
        <v/>
      </c>
      <c r="H429" s="4" t="str">
        <f t="shared" si="30"/>
        <v/>
      </c>
      <c r="I429" s="5" t="str">
        <f t="shared" si="31"/>
        <v/>
      </c>
      <c r="J429" s="6">
        <f t="shared" si="32"/>
        <v>0</v>
      </c>
      <c r="K429" s="4" t="str">
        <f t="shared" si="33"/>
        <v/>
      </c>
      <c r="L429" s="4" t="str">
        <f t="shared" si="34"/>
        <v/>
      </c>
      <c r="M429" s="4" t="b" cm="1">
        <f t="array" ref="M429">IF(H429="",FALSE,SUMPRODUCT(--(H$1:H428=H429))&gt;0)</f>
        <v>0</v>
      </c>
    </row>
    <row r="430" spans="1:13" x14ac:dyDescent="0.25">
      <c r="A430" s="9" t="str">
        <f>IF(OR(B430="",M430,G430="— ignored"),"",MAX(A$1:A429)+1)</f>
        <v/>
      </c>
      <c r="B430" s="10"/>
      <c r="C430" s="11" t="str">
        <f>IF(I430="","",ROUND((I430+0.5*MAX(0,CEILING(ROUND((MAX(C$1:C429)-1/48-I430)/0.5,6),1)))*1440,0)/1440)</f>
        <v/>
      </c>
      <c r="D430" s="9" t="str" cm="1">
        <f t="array" ref="D430">IF(H430="","",IFERROR(INDEX(Log!$C$19:$G$19,VALUE(MID(H430,FIND("#",H430)+1,1))),""))</f>
        <v/>
      </c>
      <c r="E430" s="9" t="str" cm="1">
        <f t="array" ref="E430">IF(OR(H430="",M430),"",IFERROR(_xlfn.LET(_xlpm.t,SUBSTITUTE(UPPER(H430),"م","M"),_xlpm.u,SUBSTITUTE(_xlpm.t,"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30" s="12"/>
      <c r="G430" s="13" t="str">
        <f>IF(B430="","",IF(M430,"⚠ Duplicate (not counted)",IF(AND(I430="",D430="",E430=""),"— ignored",IF(C430="","⚠ Time",IF(D430="","⚠ Plant",IF(E430="","⚠ Quantity",IF(AND(ISNUMBER(L430),COUNTIF(L$1:L429,L430)&gt;0),"⚠ Same serial "&amp;L430,IF(AND(ISNUMBER(L430),L430&gt;MIN($L$2:$L$1001),COUNTIF($L$2:$L$1001,L430-1)=0,COUNTIF($L$2:$L$1001,L430-2)&lt;2),"⚠ Missing serial "&amp;(L430-1),IF(AND(MAX(K$1:K429)&gt;0,N(K430)-MAX(K$1:K429)&gt;180),"⚠ Gap &gt; 3h",IF(C430-I430&gt;=0.99,"next day",IF(C430-I430&gt;0.4,"12h → 24h","")))))))))))</f>
        <v/>
      </c>
      <c r="H430" s="4" t="str">
        <f t="shared" si="30"/>
        <v/>
      </c>
      <c r="I430" s="5" t="str">
        <f t="shared" si="31"/>
        <v/>
      </c>
      <c r="J430" s="6">
        <f t="shared" si="32"/>
        <v>0</v>
      </c>
      <c r="K430" s="4" t="str">
        <f t="shared" si="33"/>
        <v/>
      </c>
      <c r="L430" s="4" t="str">
        <f t="shared" si="34"/>
        <v/>
      </c>
      <c r="M430" s="4" t="b" cm="1">
        <f t="array" ref="M430">IF(H430="",FALSE,SUMPRODUCT(--(H$1:H429=H430))&gt;0)</f>
        <v>0</v>
      </c>
    </row>
    <row r="431" spans="1:13" x14ac:dyDescent="0.25">
      <c r="A431" s="9" t="str">
        <f>IF(OR(B431="",M431,G431="— ignored"),"",MAX(A$1:A430)+1)</f>
        <v/>
      </c>
      <c r="B431" s="10"/>
      <c r="C431" s="11" t="str">
        <f>IF(I431="","",ROUND((I431+0.5*MAX(0,CEILING(ROUND((MAX(C$1:C430)-1/48-I431)/0.5,6),1)))*1440,0)/1440)</f>
        <v/>
      </c>
      <c r="D431" s="9" t="str" cm="1">
        <f t="array" ref="D431">IF(H431="","",IFERROR(INDEX(Log!$C$19:$G$19,VALUE(MID(H431,FIND("#",H431)+1,1))),""))</f>
        <v/>
      </c>
      <c r="E431" s="9" t="str" cm="1">
        <f t="array" ref="E431">IF(OR(H431="",M431),"",IFERROR(_xlfn.LET(_xlpm.t,SUBSTITUTE(UPPER(H431),"م","M"),_xlpm.u,SUBSTITUTE(_xlpm.t,"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31" s="12"/>
      <c r="G431" s="13" t="str">
        <f>IF(B431="","",IF(M431,"⚠ Duplicate (not counted)",IF(AND(I431="",D431="",E431=""),"— ignored",IF(C431="","⚠ Time",IF(D431="","⚠ Plant",IF(E431="","⚠ Quantity",IF(AND(ISNUMBER(L431),COUNTIF(L$1:L430,L431)&gt;0),"⚠ Same serial "&amp;L431,IF(AND(ISNUMBER(L431),L431&gt;MIN($L$2:$L$1001),COUNTIF($L$2:$L$1001,L431-1)=0,COUNTIF($L$2:$L$1001,L431-2)&lt;2),"⚠ Missing serial "&amp;(L431-1),IF(AND(MAX(K$1:K430)&gt;0,N(K431)-MAX(K$1:K430)&gt;180),"⚠ Gap &gt; 3h",IF(C431-I431&gt;=0.99,"next day",IF(C431-I431&gt;0.4,"12h → 24h","")))))))))))</f>
        <v/>
      </c>
      <c r="H431" s="4" t="str">
        <f t="shared" si="30"/>
        <v/>
      </c>
      <c r="I431" s="5" t="str">
        <f t="shared" si="31"/>
        <v/>
      </c>
      <c r="J431" s="6">
        <f t="shared" si="32"/>
        <v>0</v>
      </c>
      <c r="K431" s="4" t="str">
        <f t="shared" si="33"/>
        <v/>
      </c>
      <c r="L431" s="4" t="str">
        <f t="shared" si="34"/>
        <v/>
      </c>
      <c r="M431" s="4" t="b" cm="1">
        <f t="array" ref="M431">IF(H431="",FALSE,SUMPRODUCT(--(H$1:H430=H431))&gt;0)</f>
        <v>0</v>
      </c>
    </row>
    <row r="432" spans="1:13" x14ac:dyDescent="0.25">
      <c r="A432" s="9" t="str">
        <f>IF(OR(B432="",M432,G432="— ignored"),"",MAX(A$1:A431)+1)</f>
        <v/>
      </c>
      <c r="B432" s="10"/>
      <c r="C432" s="11" t="str">
        <f>IF(I432="","",ROUND((I432+0.5*MAX(0,CEILING(ROUND((MAX(C$1:C431)-1/48-I432)/0.5,6),1)))*1440,0)/1440)</f>
        <v/>
      </c>
      <c r="D432" s="9" t="str" cm="1">
        <f t="array" ref="D432">IF(H432="","",IFERROR(INDEX(Log!$C$19:$G$19,VALUE(MID(H432,FIND("#",H432)+1,1))),""))</f>
        <v/>
      </c>
      <c r="E432" s="9" t="str" cm="1">
        <f t="array" ref="E432">IF(OR(H432="",M432),"",IFERROR(_xlfn.LET(_xlpm.t,SUBSTITUTE(UPPER(H432),"م","M"),_xlpm.u,SUBSTITUTE(_xlpm.t,"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32" s="12"/>
      <c r="G432" s="13" t="str">
        <f>IF(B432="","",IF(M432,"⚠ Duplicate (not counted)",IF(AND(I432="",D432="",E432=""),"— ignored",IF(C432="","⚠ Time",IF(D432="","⚠ Plant",IF(E432="","⚠ Quantity",IF(AND(ISNUMBER(L432),COUNTIF(L$1:L431,L432)&gt;0),"⚠ Same serial "&amp;L432,IF(AND(ISNUMBER(L432),L432&gt;MIN($L$2:$L$1001),COUNTIF($L$2:$L$1001,L432-1)=0,COUNTIF($L$2:$L$1001,L432-2)&lt;2),"⚠ Missing serial "&amp;(L432-1),IF(AND(MAX(K$1:K431)&gt;0,N(K432)-MAX(K$1:K431)&gt;180),"⚠ Gap &gt; 3h",IF(C432-I432&gt;=0.99,"next day",IF(C432-I432&gt;0.4,"12h → 24h","")))))))))))</f>
        <v/>
      </c>
      <c r="H432" s="4" t="str">
        <f t="shared" si="30"/>
        <v/>
      </c>
      <c r="I432" s="5" t="str">
        <f t="shared" si="31"/>
        <v/>
      </c>
      <c r="J432" s="6">
        <f t="shared" si="32"/>
        <v>0</v>
      </c>
      <c r="K432" s="4" t="str">
        <f t="shared" si="33"/>
        <v/>
      </c>
      <c r="L432" s="4" t="str">
        <f t="shared" si="34"/>
        <v/>
      </c>
      <c r="M432" s="4" t="b" cm="1">
        <f t="array" ref="M432">IF(H432="",FALSE,SUMPRODUCT(--(H$1:H431=H432))&gt;0)</f>
        <v>0</v>
      </c>
    </row>
    <row r="433" spans="1:13" x14ac:dyDescent="0.25">
      <c r="A433" s="9" t="str">
        <f>IF(OR(B433="",M433,G433="— ignored"),"",MAX(A$1:A432)+1)</f>
        <v/>
      </c>
      <c r="B433" s="10"/>
      <c r="C433" s="11" t="str">
        <f>IF(I433="","",ROUND((I433+0.5*MAX(0,CEILING(ROUND((MAX(C$1:C432)-1/48-I433)/0.5,6),1)))*1440,0)/1440)</f>
        <v/>
      </c>
      <c r="D433" s="9" t="str" cm="1">
        <f t="array" ref="D433">IF(H433="","",IFERROR(INDEX(Log!$C$19:$G$19,VALUE(MID(H433,FIND("#",H433)+1,1))),""))</f>
        <v/>
      </c>
      <c r="E433" s="9" t="str" cm="1">
        <f t="array" ref="E433">IF(OR(H433="",M433),"",IFERROR(_xlfn.LET(_xlpm.t,SUBSTITUTE(UPPER(H433),"م","M"),_xlpm.u,SUBSTITUTE(_xlpm.t,"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33" s="12"/>
      <c r="G433" s="13" t="str">
        <f>IF(B433="","",IF(M433,"⚠ Duplicate (not counted)",IF(AND(I433="",D433="",E433=""),"— ignored",IF(C433="","⚠ Time",IF(D433="","⚠ Plant",IF(E433="","⚠ Quantity",IF(AND(ISNUMBER(L433),COUNTIF(L$1:L432,L433)&gt;0),"⚠ Same serial "&amp;L433,IF(AND(ISNUMBER(L433),L433&gt;MIN($L$2:$L$1001),COUNTIF($L$2:$L$1001,L433-1)=0,COUNTIF($L$2:$L$1001,L433-2)&lt;2),"⚠ Missing serial "&amp;(L433-1),IF(AND(MAX(K$1:K432)&gt;0,N(K433)-MAX(K$1:K432)&gt;180),"⚠ Gap &gt; 3h",IF(C433-I433&gt;=0.99,"next day",IF(C433-I433&gt;0.4,"12h → 24h","")))))))))))</f>
        <v/>
      </c>
      <c r="H433" s="4" t="str">
        <f t="shared" si="30"/>
        <v/>
      </c>
      <c r="I433" s="5" t="str">
        <f t="shared" si="31"/>
        <v/>
      </c>
      <c r="J433" s="6">
        <f t="shared" si="32"/>
        <v>0</v>
      </c>
      <c r="K433" s="4" t="str">
        <f t="shared" si="33"/>
        <v/>
      </c>
      <c r="L433" s="4" t="str">
        <f t="shared" si="34"/>
        <v/>
      </c>
      <c r="M433" s="4" t="b" cm="1">
        <f t="array" ref="M433">IF(H433="",FALSE,SUMPRODUCT(--(H$1:H432=H433))&gt;0)</f>
        <v>0</v>
      </c>
    </row>
    <row r="434" spans="1:13" x14ac:dyDescent="0.25">
      <c r="A434" s="9" t="str">
        <f>IF(OR(B434="",M434,G434="— ignored"),"",MAX(A$1:A433)+1)</f>
        <v/>
      </c>
      <c r="B434" s="10"/>
      <c r="C434" s="11" t="str">
        <f>IF(I434="","",ROUND((I434+0.5*MAX(0,CEILING(ROUND((MAX(C$1:C433)-1/48-I434)/0.5,6),1)))*1440,0)/1440)</f>
        <v/>
      </c>
      <c r="D434" s="9" t="str" cm="1">
        <f t="array" ref="D434">IF(H434="","",IFERROR(INDEX(Log!$C$19:$G$19,VALUE(MID(H434,FIND("#",H434)+1,1))),""))</f>
        <v/>
      </c>
      <c r="E434" s="9" t="str" cm="1">
        <f t="array" ref="E434">IF(OR(H434="",M434),"",IFERROR(_xlfn.LET(_xlpm.t,SUBSTITUTE(UPPER(H434),"م","M"),_xlpm.u,SUBSTITUTE(_xlpm.t,"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34" s="12"/>
      <c r="G434" s="13" t="str">
        <f>IF(B434="","",IF(M434,"⚠ Duplicate (not counted)",IF(AND(I434="",D434="",E434=""),"— ignored",IF(C434="","⚠ Time",IF(D434="","⚠ Plant",IF(E434="","⚠ Quantity",IF(AND(ISNUMBER(L434),COUNTIF(L$1:L433,L434)&gt;0),"⚠ Same serial "&amp;L434,IF(AND(ISNUMBER(L434),L434&gt;MIN($L$2:$L$1001),COUNTIF($L$2:$L$1001,L434-1)=0,COUNTIF($L$2:$L$1001,L434-2)&lt;2),"⚠ Missing serial "&amp;(L434-1),IF(AND(MAX(K$1:K433)&gt;0,N(K434)-MAX(K$1:K433)&gt;180),"⚠ Gap &gt; 3h",IF(C434-I434&gt;=0.99,"next day",IF(C434-I434&gt;0.4,"12h → 24h","")))))))))))</f>
        <v/>
      </c>
      <c r="H434" s="4" t="str">
        <f t="shared" si="30"/>
        <v/>
      </c>
      <c r="I434" s="5" t="str">
        <f t="shared" si="31"/>
        <v/>
      </c>
      <c r="J434" s="6">
        <f t="shared" si="32"/>
        <v>0</v>
      </c>
      <c r="K434" s="4" t="str">
        <f t="shared" si="33"/>
        <v/>
      </c>
      <c r="L434" s="4" t="str">
        <f t="shared" si="34"/>
        <v/>
      </c>
      <c r="M434" s="4" t="b" cm="1">
        <f t="array" ref="M434">IF(H434="",FALSE,SUMPRODUCT(--(H$1:H433=H434))&gt;0)</f>
        <v>0</v>
      </c>
    </row>
    <row r="435" spans="1:13" x14ac:dyDescent="0.25">
      <c r="A435" s="9" t="str">
        <f>IF(OR(B435="",M435,G435="— ignored"),"",MAX(A$1:A434)+1)</f>
        <v/>
      </c>
      <c r="B435" s="10"/>
      <c r="C435" s="11" t="str">
        <f>IF(I435="","",ROUND((I435+0.5*MAX(0,CEILING(ROUND((MAX(C$1:C434)-1/48-I435)/0.5,6),1)))*1440,0)/1440)</f>
        <v/>
      </c>
      <c r="D435" s="9" t="str" cm="1">
        <f t="array" ref="D435">IF(H435="","",IFERROR(INDEX(Log!$C$19:$G$19,VALUE(MID(H435,FIND("#",H435)+1,1))),""))</f>
        <v/>
      </c>
      <c r="E435" s="9" t="str" cm="1">
        <f t="array" ref="E435">IF(OR(H435="",M435),"",IFERROR(_xlfn.LET(_xlpm.t,SUBSTITUTE(UPPER(H435),"م","M"),_xlpm.u,SUBSTITUTE(_xlpm.t,"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35" s="12"/>
      <c r="G435" s="13" t="str">
        <f>IF(B435="","",IF(M435,"⚠ Duplicate (not counted)",IF(AND(I435="",D435="",E435=""),"— ignored",IF(C435="","⚠ Time",IF(D435="","⚠ Plant",IF(E435="","⚠ Quantity",IF(AND(ISNUMBER(L435),COUNTIF(L$1:L434,L435)&gt;0),"⚠ Same serial "&amp;L435,IF(AND(ISNUMBER(L435),L435&gt;MIN($L$2:$L$1001),COUNTIF($L$2:$L$1001,L435-1)=0,COUNTIF($L$2:$L$1001,L435-2)&lt;2),"⚠ Missing serial "&amp;(L435-1),IF(AND(MAX(K$1:K434)&gt;0,N(K435)-MAX(K$1:K434)&gt;180),"⚠ Gap &gt; 3h",IF(C435-I435&gt;=0.99,"next day",IF(C435-I435&gt;0.4,"12h → 24h","")))))))))))</f>
        <v/>
      </c>
      <c r="H435" s="4" t="str">
        <f t="shared" si="30"/>
        <v/>
      </c>
      <c r="I435" s="5" t="str">
        <f t="shared" si="31"/>
        <v/>
      </c>
      <c r="J435" s="6">
        <f t="shared" si="32"/>
        <v>0</v>
      </c>
      <c r="K435" s="4" t="str">
        <f t="shared" si="33"/>
        <v/>
      </c>
      <c r="L435" s="4" t="str">
        <f t="shared" si="34"/>
        <v/>
      </c>
      <c r="M435" s="4" t="b" cm="1">
        <f t="array" ref="M435">IF(H435="",FALSE,SUMPRODUCT(--(H$1:H434=H435))&gt;0)</f>
        <v>0</v>
      </c>
    </row>
    <row r="436" spans="1:13" x14ac:dyDescent="0.25">
      <c r="A436" s="9" t="str">
        <f>IF(OR(B436="",M436,G436="— ignored"),"",MAX(A$1:A435)+1)</f>
        <v/>
      </c>
      <c r="B436" s="10"/>
      <c r="C436" s="11" t="str">
        <f>IF(I436="","",ROUND((I436+0.5*MAX(0,CEILING(ROUND((MAX(C$1:C435)-1/48-I436)/0.5,6),1)))*1440,0)/1440)</f>
        <v/>
      </c>
      <c r="D436" s="9" t="str" cm="1">
        <f t="array" ref="D436">IF(H436="","",IFERROR(INDEX(Log!$C$19:$G$19,VALUE(MID(H436,FIND("#",H436)+1,1))),""))</f>
        <v/>
      </c>
      <c r="E436" s="9" t="str" cm="1">
        <f t="array" ref="E436">IF(OR(H436="",M436),"",IFERROR(_xlfn.LET(_xlpm.t,SUBSTITUTE(UPPER(H436),"م","M"),_xlpm.u,SUBSTITUTE(_xlpm.t,"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36" s="12"/>
      <c r="G436" s="13" t="str">
        <f>IF(B436="","",IF(M436,"⚠ Duplicate (not counted)",IF(AND(I436="",D436="",E436=""),"— ignored",IF(C436="","⚠ Time",IF(D436="","⚠ Plant",IF(E436="","⚠ Quantity",IF(AND(ISNUMBER(L436),COUNTIF(L$1:L435,L436)&gt;0),"⚠ Same serial "&amp;L436,IF(AND(ISNUMBER(L436),L436&gt;MIN($L$2:$L$1001),COUNTIF($L$2:$L$1001,L436-1)=0,COUNTIF($L$2:$L$1001,L436-2)&lt;2),"⚠ Missing serial "&amp;(L436-1),IF(AND(MAX(K$1:K435)&gt;0,N(K436)-MAX(K$1:K435)&gt;180),"⚠ Gap &gt; 3h",IF(C436-I436&gt;=0.99,"next day",IF(C436-I436&gt;0.4,"12h → 24h","")))))))))))</f>
        <v/>
      </c>
      <c r="H436" s="4" t="str">
        <f t="shared" si="30"/>
        <v/>
      </c>
      <c r="I436" s="5" t="str">
        <f t="shared" si="31"/>
        <v/>
      </c>
      <c r="J436" s="6">
        <f t="shared" si="32"/>
        <v>0</v>
      </c>
      <c r="K436" s="4" t="str">
        <f t="shared" si="33"/>
        <v/>
      </c>
      <c r="L436" s="4" t="str">
        <f t="shared" si="34"/>
        <v/>
      </c>
      <c r="M436" s="4" t="b" cm="1">
        <f t="array" ref="M436">IF(H436="",FALSE,SUMPRODUCT(--(H$1:H435=H436))&gt;0)</f>
        <v>0</v>
      </c>
    </row>
    <row r="437" spans="1:13" x14ac:dyDescent="0.25">
      <c r="A437" s="9" t="str">
        <f>IF(OR(B437="",M437,G437="— ignored"),"",MAX(A$1:A436)+1)</f>
        <v/>
      </c>
      <c r="B437" s="10"/>
      <c r="C437" s="11" t="str">
        <f>IF(I437="","",ROUND((I437+0.5*MAX(0,CEILING(ROUND((MAX(C$1:C436)-1/48-I437)/0.5,6),1)))*1440,0)/1440)</f>
        <v/>
      </c>
      <c r="D437" s="9" t="str" cm="1">
        <f t="array" ref="D437">IF(H437="","",IFERROR(INDEX(Log!$C$19:$G$19,VALUE(MID(H437,FIND("#",H437)+1,1))),""))</f>
        <v/>
      </c>
      <c r="E437" s="9" t="str" cm="1">
        <f t="array" ref="E437">IF(OR(H437="",M437),"",IFERROR(_xlfn.LET(_xlpm.t,SUBSTITUTE(UPPER(H437),"م","M"),_xlpm.u,SUBSTITUTE(_xlpm.t,"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37" s="12"/>
      <c r="G437" s="13" t="str">
        <f>IF(B437="","",IF(M437,"⚠ Duplicate (not counted)",IF(AND(I437="",D437="",E437=""),"— ignored",IF(C437="","⚠ Time",IF(D437="","⚠ Plant",IF(E437="","⚠ Quantity",IF(AND(ISNUMBER(L437),COUNTIF(L$1:L436,L437)&gt;0),"⚠ Same serial "&amp;L437,IF(AND(ISNUMBER(L437),L437&gt;MIN($L$2:$L$1001),COUNTIF($L$2:$L$1001,L437-1)=0,COUNTIF($L$2:$L$1001,L437-2)&lt;2),"⚠ Missing serial "&amp;(L437-1),IF(AND(MAX(K$1:K436)&gt;0,N(K437)-MAX(K$1:K436)&gt;180),"⚠ Gap &gt; 3h",IF(C437-I437&gt;=0.99,"next day",IF(C437-I437&gt;0.4,"12h → 24h","")))))))))))</f>
        <v/>
      </c>
      <c r="H437" s="4" t="str">
        <f t="shared" si="30"/>
        <v/>
      </c>
      <c r="I437" s="5" t="str">
        <f t="shared" si="31"/>
        <v/>
      </c>
      <c r="J437" s="6">
        <f t="shared" si="32"/>
        <v>0</v>
      </c>
      <c r="K437" s="4" t="str">
        <f t="shared" si="33"/>
        <v/>
      </c>
      <c r="L437" s="4" t="str">
        <f t="shared" si="34"/>
        <v/>
      </c>
      <c r="M437" s="4" t="b" cm="1">
        <f t="array" ref="M437">IF(H437="",FALSE,SUMPRODUCT(--(H$1:H436=H437))&gt;0)</f>
        <v>0</v>
      </c>
    </row>
    <row r="438" spans="1:13" x14ac:dyDescent="0.25">
      <c r="A438" s="9" t="str">
        <f>IF(OR(B438="",M438,G438="— ignored"),"",MAX(A$1:A437)+1)</f>
        <v/>
      </c>
      <c r="B438" s="10"/>
      <c r="C438" s="11" t="str">
        <f>IF(I438="","",ROUND((I438+0.5*MAX(0,CEILING(ROUND((MAX(C$1:C437)-1/48-I438)/0.5,6),1)))*1440,0)/1440)</f>
        <v/>
      </c>
      <c r="D438" s="9" t="str" cm="1">
        <f t="array" ref="D438">IF(H438="","",IFERROR(INDEX(Log!$C$19:$G$19,VALUE(MID(H438,FIND("#",H438)+1,1))),""))</f>
        <v/>
      </c>
      <c r="E438" s="9" t="str" cm="1">
        <f t="array" ref="E438">IF(OR(H438="",M438),"",IFERROR(_xlfn.LET(_xlpm.t,SUBSTITUTE(UPPER(H438),"م","M"),_xlpm.u,SUBSTITUTE(_xlpm.t,"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38" s="12"/>
      <c r="G438" s="13" t="str">
        <f>IF(B438="","",IF(M438,"⚠ Duplicate (not counted)",IF(AND(I438="",D438="",E438=""),"— ignored",IF(C438="","⚠ Time",IF(D438="","⚠ Plant",IF(E438="","⚠ Quantity",IF(AND(ISNUMBER(L438),COUNTIF(L$1:L437,L438)&gt;0),"⚠ Same serial "&amp;L438,IF(AND(ISNUMBER(L438),L438&gt;MIN($L$2:$L$1001),COUNTIF($L$2:$L$1001,L438-1)=0,COUNTIF($L$2:$L$1001,L438-2)&lt;2),"⚠ Missing serial "&amp;(L438-1),IF(AND(MAX(K$1:K437)&gt;0,N(K438)-MAX(K$1:K437)&gt;180),"⚠ Gap &gt; 3h",IF(C438-I438&gt;=0.99,"next day",IF(C438-I438&gt;0.4,"12h → 24h","")))))))))))</f>
        <v/>
      </c>
      <c r="H438" s="4" t="str">
        <f t="shared" si="30"/>
        <v/>
      </c>
      <c r="I438" s="5" t="str">
        <f t="shared" si="31"/>
        <v/>
      </c>
      <c r="J438" s="6">
        <f t="shared" si="32"/>
        <v>0</v>
      </c>
      <c r="K438" s="4" t="str">
        <f t="shared" si="33"/>
        <v/>
      </c>
      <c r="L438" s="4" t="str">
        <f t="shared" si="34"/>
        <v/>
      </c>
      <c r="M438" s="4" t="b" cm="1">
        <f t="array" ref="M438">IF(H438="",FALSE,SUMPRODUCT(--(H$1:H437=H438))&gt;0)</f>
        <v>0</v>
      </c>
    </row>
    <row r="439" spans="1:13" x14ac:dyDescent="0.25">
      <c r="A439" s="9" t="str">
        <f>IF(OR(B439="",M439,G439="— ignored"),"",MAX(A$1:A438)+1)</f>
        <v/>
      </c>
      <c r="B439" s="10"/>
      <c r="C439" s="11" t="str">
        <f>IF(I439="","",ROUND((I439+0.5*MAX(0,CEILING(ROUND((MAX(C$1:C438)-1/48-I439)/0.5,6),1)))*1440,0)/1440)</f>
        <v/>
      </c>
      <c r="D439" s="9" t="str" cm="1">
        <f t="array" ref="D439">IF(H439="","",IFERROR(INDEX(Log!$C$19:$G$19,VALUE(MID(H439,FIND("#",H439)+1,1))),""))</f>
        <v/>
      </c>
      <c r="E439" s="9" t="str" cm="1">
        <f t="array" ref="E439">IF(OR(H439="",M439),"",IFERROR(_xlfn.LET(_xlpm.t,SUBSTITUTE(UPPER(H439),"م","M"),_xlpm.u,SUBSTITUTE(_xlpm.t,"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39" s="12"/>
      <c r="G439" s="13" t="str">
        <f>IF(B439="","",IF(M439,"⚠ Duplicate (not counted)",IF(AND(I439="",D439="",E439=""),"— ignored",IF(C439="","⚠ Time",IF(D439="","⚠ Plant",IF(E439="","⚠ Quantity",IF(AND(ISNUMBER(L439),COUNTIF(L$1:L438,L439)&gt;0),"⚠ Same serial "&amp;L439,IF(AND(ISNUMBER(L439),L439&gt;MIN($L$2:$L$1001),COUNTIF($L$2:$L$1001,L439-1)=0,COUNTIF($L$2:$L$1001,L439-2)&lt;2),"⚠ Missing serial "&amp;(L439-1),IF(AND(MAX(K$1:K438)&gt;0,N(K439)-MAX(K$1:K438)&gt;180),"⚠ Gap &gt; 3h",IF(C439-I439&gt;=0.99,"next day",IF(C439-I439&gt;0.4,"12h → 24h","")))))))))))</f>
        <v/>
      </c>
      <c r="H439" s="4" t="str">
        <f t="shared" si="30"/>
        <v/>
      </c>
      <c r="I439" s="5" t="str">
        <f t="shared" si="31"/>
        <v/>
      </c>
      <c r="J439" s="6">
        <f t="shared" si="32"/>
        <v>0</v>
      </c>
      <c r="K439" s="4" t="str">
        <f t="shared" si="33"/>
        <v/>
      </c>
      <c r="L439" s="4" t="str">
        <f t="shared" si="34"/>
        <v/>
      </c>
      <c r="M439" s="4" t="b" cm="1">
        <f t="array" ref="M439">IF(H439="",FALSE,SUMPRODUCT(--(H$1:H438=H439))&gt;0)</f>
        <v>0</v>
      </c>
    </row>
    <row r="440" spans="1:13" x14ac:dyDescent="0.25">
      <c r="A440" s="9" t="str">
        <f>IF(OR(B440="",M440,G440="— ignored"),"",MAX(A$1:A439)+1)</f>
        <v/>
      </c>
      <c r="B440" s="10"/>
      <c r="C440" s="11" t="str">
        <f>IF(I440="","",ROUND((I440+0.5*MAX(0,CEILING(ROUND((MAX(C$1:C439)-1/48-I440)/0.5,6),1)))*1440,0)/1440)</f>
        <v/>
      </c>
      <c r="D440" s="9" t="str" cm="1">
        <f t="array" ref="D440">IF(H440="","",IFERROR(INDEX(Log!$C$19:$G$19,VALUE(MID(H440,FIND("#",H440)+1,1))),""))</f>
        <v/>
      </c>
      <c r="E440" s="9" t="str" cm="1">
        <f t="array" ref="E440">IF(OR(H440="",M440),"",IFERROR(_xlfn.LET(_xlpm.t,SUBSTITUTE(UPPER(H440),"م","M"),_xlpm.u,SUBSTITUTE(_xlpm.t,"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40" s="12"/>
      <c r="G440" s="13" t="str">
        <f>IF(B440="","",IF(M440,"⚠ Duplicate (not counted)",IF(AND(I440="",D440="",E440=""),"— ignored",IF(C440="","⚠ Time",IF(D440="","⚠ Plant",IF(E440="","⚠ Quantity",IF(AND(ISNUMBER(L440),COUNTIF(L$1:L439,L440)&gt;0),"⚠ Same serial "&amp;L440,IF(AND(ISNUMBER(L440),L440&gt;MIN($L$2:$L$1001),COUNTIF($L$2:$L$1001,L440-1)=0,COUNTIF($L$2:$L$1001,L440-2)&lt;2),"⚠ Missing serial "&amp;(L440-1),IF(AND(MAX(K$1:K439)&gt;0,N(K440)-MAX(K$1:K439)&gt;180),"⚠ Gap &gt; 3h",IF(C440-I440&gt;=0.99,"next day",IF(C440-I440&gt;0.4,"12h → 24h","")))))))))))</f>
        <v/>
      </c>
      <c r="H440" s="4" t="str">
        <f t="shared" si="30"/>
        <v/>
      </c>
      <c r="I440" s="5" t="str">
        <f t="shared" si="31"/>
        <v/>
      </c>
      <c r="J440" s="6">
        <f t="shared" si="32"/>
        <v>0</v>
      </c>
      <c r="K440" s="4" t="str">
        <f t="shared" si="33"/>
        <v/>
      </c>
      <c r="L440" s="4" t="str">
        <f t="shared" si="34"/>
        <v/>
      </c>
      <c r="M440" s="4" t="b" cm="1">
        <f t="array" ref="M440">IF(H440="",FALSE,SUMPRODUCT(--(H$1:H439=H440))&gt;0)</f>
        <v>0</v>
      </c>
    </row>
    <row r="441" spans="1:13" x14ac:dyDescent="0.25">
      <c r="A441" s="9" t="str">
        <f>IF(OR(B441="",M441,G441="— ignored"),"",MAX(A$1:A440)+1)</f>
        <v/>
      </c>
      <c r="B441" s="10"/>
      <c r="C441" s="11" t="str">
        <f>IF(I441="","",ROUND((I441+0.5*MAX(0,CEILING(ROUND((MAX(C$1:C440)-1/48-I441)/0.5,6),1)))*1440,0)/1440)</f>
        <v/>
      </c>
      <c r="D441" s="9" t="str" cm="1">
        <f t="array" ref="D441">IF(H441="","",IFERROR(INDEX(Log!$C$19:$G$19,VALUE(MID(H441,FIND("#",H441)+1,1))),""))</f>
        <v/>
      </c>
      <c r="E441" s="9" t="str" cm="1">
        <f t="array" ref="E441">IF(OR(H441="",M441),"",IFERROR(_xlfn.LET(_xlpm.t,SUBSTITUTE(UPPER(H441),"م","M"),_xlpm.u,SUBSTITUTE(_xlpm.t,"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41" s="12"/>
      <c r="G441" s="13" t="str">
        <f>IF(B441="","",IF(M441,"⚠ Duplicate (not counted)",IF(AND(I441="",D441="",E441=""),"— ignored",IF(C441="","⚠ Time",IF(D441="","⚠ Plant",IF(E441="","⚠ Quantity",IF(AND(ISNUMBER(L441),COUNTIF(L$1:L440,L441)&gt;0),"⚠ Same serial "&amp;L441,IF(AND(ISNUMBER(L441),L441&gt;MIN($L$2:$L$1001),COUNTIF($L$2:$L$1001,L441-1)=0,COUNTIF($L$2:$L$1001,L441-2)&lt;2),"⚠ Missing serial "&amp;(L441-1),IF(AND(MAX(K$1:K440)&gt;0,N(K441)-MAX(K$1:K440)&gt;180),"⚠ Gap &gt; 3h",IF(C441-I441&gt;=0.99,"next day",IF(C441-I441&gt;0.4,"12h → 24h","")))))))))))</f>
        <v/>
      </c>
      <c r="H441" s="4" t="str">
        <f t="shared" si="30"/>
        <v/>
      </c>
      <c r="I441" s="5" t="str">
        <f t="shared" si="31"/>
        <v/>
      </c>
      <c r="J441" s="6">
        <f t="shared" si="32"/>
        <v>0</v>
      </c>
      <c r="K441" s="4" t="str">
        <f t="shared" si="33"/>
        <v/>
      </c>
      <c r="L441" s="4" t="str">
        <f t="shared" si="34"/>
        <v/>
      </c>
      <c r="M441" s="4" t="b" cm="1">
        <f t="array" ref="M441">IF(H441="",FALSE,SUMPRODUCT(--(H$1:H440=H441))&gt;0)</f>
        <v>0</v>
      </c>
    </row>
    <row r="442" spans="1:13" x14ac:dyDescent="0.25">
      <c r="A442" s="9" t="str">
        <f>IF(OR(B442="",M442,G442="— ignored"),"",MAX(A$1:A441)+1)</f>
        <v/>
      </c>
      <c r="B442" s="10"/>
      <c r="C442" s="11" t="str">
        <f>IF(I442="","",ROUND((I442+0.5*MAX(0,CEILING(ROUND((MAX(C$1:C441)-1/48-I442)/0.5,6),1)))*1440,0)/1440)</f>
        <v/>
      </c>
      <c r="D442" s="9" t="str" cm="1">
        <f t="array" ref="D442">IF(H442="","",IFERROR(INDEX(Log!$C$19:$G$19,VALUE(MID(H442,FIND("#",H442)+1,1))),""))</f>
        <v/>
      </c>
      <c r="E442" s="9" t="str" cm="1">
        <f t="array" ref="E442">IF(OR(H442="",M442),"",IFERROR(_xlfn.LET(_xlpm.t,SUBSTITUTE(UPPER(H442),"م","M"),_xlpm.u,SUBSTITUTE(_xlpm.t,"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42" s="12"/>
      <c r="G442" s="13" t="str">
        <f>IF(B442="","",IF(M442,"⚠ Duplicate (not counted)",IF(AND(I442="",D442="",E442=""),"— ignored",IF(C442="","⚠ Time",IF(D442="","⚠ Plant",IF(E442="","⚠ Quantity",IF(AND(ISNUMBER(L442),COUNTIF(L$1:L441,L442)&gt;0),"⚠ Same serial "&amp;L442,IF(AND(ISNUMBER(L442),L442&gt;MIN($L$2:$L$1001),COUNTIF($L$2:$L$1001,L442-1)=0,COUNTIF($L$2:$L$1001,L442-2)&lt;2),"⚠ Missing serial "&amp;(L442-1),IF(AND(MAX(K$1:K441)&gt;0,N(K442)-MAX(K$1:K441)&gt;180),"⚠ Gap &gt; 3h",IF(C442-I442&gt;=0.99,"next day",IF(C442-I442&gt;0.4,"12h → 24h","")))))))))))</f>
        <v/>
      </c>
      <c r="H442" s="4" t="str">
        <f t="shared" si="30"/>
        <v/>
      </c>
      <c r="I442" s="5" t="str">
        <f t="shared" si="31"/>
        <v/>
      </c>
      <c r="J442" s="6">
        <f t="shared" si="32"/>
        <v>0</v>
      </c>
      <c r="K442" s="4" t="str">
        <f t="shared" si="33"/>
        <v/>
      </c>
      <c r="L442" s="4" t="str">
        <f t="shared" si="34"/>
        <v/>
      </c>
      <c r="M442" s="4" t="b" cm="1">
        <f t="array" ref="M442">IF(H442="",FALSE,SUMPRODUCT(--(H$1:H441=H442))&gt;0)</f>
        <v>0</v>
      </c>
    </row>
    <row r="443" spans="1:13" x14ac:dyDescent="0.25">
      <c r="A443" s="9" t="str">
        <f>IF(OR(B443="",M443,G443="— ignored"),"",MAX(A$1:A442)+1)</f>
        <v/>
      </c>
      <c r="B443" s="10"/>
      <c r="C443" s="11" t="str">
        <f>IF(I443="","",ROUND((I443+0.5*MAX(0,CEILING(ROUND((MAX(C$1:C442)-1/48-I443)/0.5,6),1)))*1440,0)/1440)</f>
        <v/>
      </c>
      <c r="D443" s="9" t="str" cm="1">
        <f t="array" ref="D443">IF(H443="","",IFERROR(INDEX(Log!$C$19:$G$19,VALUE(MID(H443,FIND("#",H443)+1,1))),""))</f>
        <v/>
      </c>
      <c r="E443" s="9" t="str" cm="1">
        <f t="array" ref="E443">IF(OR(H443="",M443),"",IFERROR(_xlfn.LET(_xlpm.t,SUBSTITUTE(UPPER(H443),"م","M"),_xlpm.u,SUBSTITUTE(_xlpm.t,"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43" s="12"/>
      <c r="G443" s="13" t="str">
        <f>IF(B443="","",IF(M443,"⚠ Duplicate (not counted)",IF(AND(I443="",D443="",E443=""),"— ignored",IF(C443="","⚠ Time",IF(D443="","⚠ Plant",IF(E443="","⚠ Quantity",IF(AND(ISNUMBER(L443),COUNTIF(L$1:L442,L443)&gt;0),"⚠ Same serial "&amp;L443,IF(AND(ISNUMBER(L443),L443&gt;MIN($L$2:$L$1001),COUNTIF($L$2:$L$1001,L443-1)=0,COUNTIF($L$2:$L$1001,L443-2)&lt;2),"⚠ Missing serial "&amp;(L443-1),IF(AND(MAX(K$1:K442)&gt;0,N(K443)-MAX(K$1:K442)&gt;180),"⚠ Gap &gt; 3h",IF(C443-I443&gt;=0.99,"next day",IF(C443-I443&gt;0.4,"12h → 24h","")))))))))))</f>
        <v/>
      </c>
      <c r="H443" s="4" t="str">
        <f t="shared" si="30"/>
        <v/>
      </c>
      <c r="I443" s="5" t="str">
        <f t="shared" si="31"/>
        <v/>
      </c>
      <c r="J443" s="6">
        <f t="shared" si="32"/>
        <v>0</v>
      </c>
      <c r="K443" s="4" t="str">
        <f t="shared" si="33"/>
        <v/>
      </c>
      <c r="L443" s="4" t="str">
        <f t="shared" si="34"/>
        <v/>
      </c>
      <c r="M443" s="4" t="b" cm="1">
        <f t="array" ref="M443">IF(H443="",FALSE,SUMPRODUCT(--(H$1:H442=H443))&gt;0)</f>
        <v>0</v>
      </c>
    </row>
    <row r="444" spans="1:13" x14ac:dyDescent="0.25">
      <c r="A444" s="9" t="str">
        <f>IF(OR(B444="",M444,G444="— ignored"),"",MAX(A$1:A443)+1)</f>
        <v/>
      </c>
      <c r="B444" s="10"/>
      <c r="C444" s="11" t="str">
        <f>IF(I444="","",ROUND((I444+0.5*MAX(0,CEILING(ROUND((MAX(C$1:C443)-1/48-I444)/0.5,6),1)))*1440,0)/1440)</f>
        <v/>
      </c>
      <c r="D444" s="9" t="str" cm="1">
        <f t="array" ref="D444">IF(H444="","",IFERROR(INDEX(Log!$C$19:$G$19,VALUE(MID(H444,FIND("#",H444)+1,1))),""))</f>
        <v/>
      </c>
      <c r="E444" s="9" t="str" cm="1">
        <f t="array" ref="E444">IF(OR(H444="",M444),"",IFERROR(_xlfn.LET(_xlpm.t,SUBSTITUTE(UPPER(H444),"م","M"),_xlpm.u,SUBSTITUTE(_xlpm.t,"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44" s="12"/>
      <c r="G444" s="13" t="str">
        <f>IF(B444="","",IF(M444,"⚠ Duplicate (not counted)",IF(AND(I444="",D444="",E444=""),"— ignored",IF(C444="","⚠ Time",IF(D444="","⚠ Plant",IF(E444="","⚠ Quantity",IF(AND(ISNUMBER(L444),COUNTIF(L$1:L443,L444)&gt;0),"⚠ Same serial "&amp;L444,IF(AND(ISNUMBER(L444),L444&gt;MIN($L$2:$L$1001),COUNTIF($L$2:$L$1001,L444-1)=0,COUNTIF($L$2:$L$1001,L444-2)&lt;2),"⚠ Missing serial "&amp;(L444-1),IF(AND(MAX(K$1:K443)&gt;0,N(K444)-MAX(K$1:K443)&gt;180),"⚠ Gap &gt; 3h",IF(C444-I444&gt;=0.99,"next day",IF(C444-I444&gt;0.4,"12h → 24h","")))))))))))</f>
        <v/>
      </c>
      <c r="H444" s="4" t="str">
        <f t="shared" si="30"/>
        <v/>
      </c>
      <c r="I444" s="5" t="str">
        <f t="shared" si="31"/>
        <v/>
      </c>
      <c r="J444" s="6">
        <f t="shared" si="32"/>
        <v>0</v>
      </c>
      <c r="K444" s="4" t="str">
        <f t="shared" si="33"/>
        <v/>
      </c>
      <c r="L444" s="4" t="str">
        <f t="shared" si="34"/>
        <v/>
      </c>
      <c r="M444" s="4" t="b" cm="1">
        <f t="array" ref="M444">IF(H444="",FALSE,SUMPRODUCT(--(H$1:H443=H444))&gt;0)</f>
        <v>0</v>
      </c>
    </row>
    <row r="445" spans="1:13" x14ac:dyDescent="0.25">
      <c r="A445" s="9" t="str">
        <f>IF(OR(B445="",M445,G445="— ignored"),"",MAX(A$1:A444)+1)</f>
        <v/>
      </c>
      <c r="B445" s="10"/>
      <c r="C445" s="11" t="str">
        <f>IF(I445="","",ROUND((I445+0.5*MAX(0,CEILING(ROUND((MAX(C$1:C444)-1/48-I445)/0.5,6),1)))*1440,0)/1440)</f>
        <v/>
      </c>
      <c r="D445" s="9" t="str" cm="1">
        <f t="array" ref="D445">IF(H445="","",IFERROR(INDEX(Log!$C$19:$G$19,VALUE(MID(H445,FIND("#",H445)+1,1))),""))</f>
        <v/>
      </c>
      <c r="E445" s="9" t="str" cm="1">
        <f t="array" ref="E445">IF(OR(H445="",M445),"",IFERROR(_xlfn.LET(_xlpm.t,SUBSTITUTE(UPPER(H445),"م","M"),_xlpm.u,SUBSTITUTE(_xlpm.t,"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45" s="12"/>
      <c r="G445" s="13" t="str">
        <f>IF(B445="","",IF(M445,"⚠ Duplicate (not counted)",IF(AND(I445="",D445="",E445=""),"— ignored",IF(C445="","⚠ Time",IF(D445="","⚠ Plant",IF(E445="","⚠ Quantity",IF(AND(ISNUMBER(L445),COUNTIF(L$1:L444,L445)&gt;0),"⚠ Same serial "&amp;L445,IF(AND(ISNUMBER(L445),L445&gt;MIN($L$2:$L$1001),COUNTIF($L$2:$L$1001,L445-1)=0,COUNTIF($L$2:$L$1001,L445-2)&lt;2),"⚠ Missing serial "&amp;(L445-1),IF(AND(MAX(K$1:K444)&gt;0,N(K445)-MAX(K$1:K444)&gt;180),"⚠ Gap &gt; 3h",IF(C445-I445&gt;=0.99,"next day",IF(C445-I445&gt;0.4,"12h → 24h","")))))))))))</f>
        <v/>
      </c>
      <c r="H445" s="4" t="str">
        <f t="shared" si="30"/>
        <v/>
      </c>
      <c r="I445" s="5" t="str">
        <f t="shared" si="31"/>
        <v/>
      </c>
      <c r="J445" s="6">
        <f t="shared" si="32"/>
        <v>0</v>
      </c>
      <c r="K445" s="4" t="str">
        <f t="shared" si="33"/>
        <v/>
      </c>
      <c r="L445" s="4" t="str">
        <f t="shared" si="34"/>
        <v/>
      </c>
      <c r="M445" s="4" t="b" cm="1">
        <f t="array" ref="M445">IF(H445="",FALSE,SUMPRODUCT(--(H$1:H444=H445))&gt;0)</f>
        <v>0</v>
      </c>
    </row>
    <row r="446" spans="1:13" x14ac:dyDescent="0.25">
      <c r="A446" s="9" t="str">
        <f>IF(OR(B446="",M446,G446="— ignored"),"",MAX(A$1:A445)+1)</f>
        <v/>
      </c>
      <c r="B446" s="10"/>
      <c r="C446" s="11" t="str">
        <f>IF(I446="","",ROUND((I446+0.5*MAX(0,CEILING(ROUND((MAX(C$1:C445)-1/48-I446)/0.5,6),1)))*1440,0)/1440)</f>
        <v/>
      </c>
      <c r="D446" s="9" t="str" cm="1">
        <f t="array" ref="D446">IF(H446="","",IFERROR(INDEX(Log!$C$19:$G$19,VALUE(MID(H446,FIND("#",H446)+1,1))),""))</f>
        <v/>
      </c>
      <c r="E446" s="9" t="str" cm="1">
        <f t="array" ref="E446">IF(OR(H446="",M446),"",IFERROR(_xlfn.LET(_xlpm.t,SUBSTITUTE(UPPER(H446),"م","M"),_xlpm.u,SUBSTITUTE(_xlpm.t,"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46" s="12"/>
      <c r="G446" s="13" t="str">
        <f>IF(B446="","",IF(M446,"⚠ Duplicate (not counted)",IF(AND(I446="",D446="",E446=""),"— ignored",IF(C446="","⚠ Time",IF(D446="","⚠ Plant",IF(E446="","⚠ Quantity",IF(AND(ISNUMBER(L446),COUNTIF(L$1:L445,L446)&gt;0),"⚠ Same serial "&amp;L446,IF(AND(ISNUMBER(L446),L446&gt;MIN($L$2:$L$1001),COUNTIF($L$2:$L$1001,L446-1)=0,COUNTIF($L$2:$L$1001,L446-2)&lt;2),"⚠ Missing serial "&amp;(L446-1),IF(AND(MAX(K$1:K445)&gt;0,N(K446)-MAX(K$1:K445)&gt;180),"⚠ Gap &gt; 3h",IF(C446-I446&gt;=0.99,"next day",IF(C446-I446&gt;0.4,"12h → 24h","")))))))))))</f>
        <v/>
      </c>
      <c r="H446" s="4" t="str">
        <f t="shared" si="30"/>
        <v/>
      </c>
      <c r="I446" s="5" t="str">
        <f t="shared" si="31"/>
        <v/>
      </c>
      <c r="J446" s="6">
        <f t="shared" si="32"/>
        <v>0</v>
      </c>
      <c r="K446" s="4" t="str">
        <f t="shared" si="33"/>
        <v/>
      </c>
      <c r="L446" s="4" t="str">
        <f t="shared" si="34"/>
        <v/>
      </c>
      <c r="M446" s="4" t="b" cm="1">
        <f t="array" ref="M446">IF(H446="",FALSE,SUMPRODUCT(--(H$1:H445=H446))&gt;0)</f>
        <v>0</v>
      </c>
    </row>
    <row r="447" spans="1:13" x14ac:dyDescent="0.25">
      <c r="A447" s="9" t="str">
        <f>IF(OR(B447="",M447,G447="— ignored"),"",MAX(A$1:A446)+1)</f>
        <v/>
      </c>
      <c r="B447" s="10"/>
      <c r="C447" s="11" t="str">
        <f>IF(I447="","",ROUND((I447+0.5*MAX(0,CEILING(ROUND((MAX(C$1:C446)-1/48-I447)/0.5,6),1)))*1440,0)/1440)</f>
        <v/>
      </c>
      <c r="D447" s="9" t="str" cm="1">
        <f t="array" ref="D447">IF(H447="","",IFERROR(INDEX(Log!$C$19:$G$19,VALUE(MID(H447,FIND("#",H447)+1,1))),""))</f>
        <v/>
      </c>
      <c r="E447" s="9" t="str" cm="1">
        <f t="array" ref="E447">IF(OR(H447="",M447),"",IFERROR(_xlfn.LET(_xlpm.t,SUBSTITUTE(UPPER(H447),"م","M"),_xlpm.u,SUBSTITUTE(_xlpm.t,"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47" s="12"/>
      <c r="G447" s="13" t="str">
        <f>IF(B447="","",IF(M447,"⚠ Duplicate (not counted)",IF(AND(I447="",D447="",E447=""),"— ignored",IF(C447="","⚠ Time",IF(D447="","⚠ Plant",IF(E447="","⚠ Quantity",IF(AND(ISNUMBER(L447),COUNTIF(L$1:L446,L447)&gt;0),"⚠ Same serial "&amp;L447,IF(AND(ISNUMBER(L447),L447&gt;MIN($L$2:$L$1001),COUNTIF($L$2:$L$1001,L447-1)=0,COUNTIF($L$2:$L$1001,L447-2)&lt;2),"⚠ Missing serial "&amp;(L447-1),IF(AND(MAX(K$1:K446)&gt;0,N(K447)-MAX(K$1:K446)&gt;180),"⚠ Gap &gt; 3h",IF(C447-I447&gt;=0.99,"next day",IF(C447-I447&gt;0.4,"12h → 24h","")))))))))))</f>
        <v/>
      </c>
      <c r="H447" s="4" t="str">
        <f t="shared" si="30"/>
        <v/>
      </c>
      <c r="I447" s="5" t="str">
        <f t="shared" si="31"/>
        <v/>
      </c>
      <c r="J447" s="6">
        <f t="shared" si="32"/>
        <v>0</v>
      </c>
      <c r="K447" s="4" t="str">
        <f t="shared" si="33"/>
        <v/>
      </c>
      <c r="L447" s="4" t="str">
        <f t="shared" si="34"/>
        <v/>
      </c>
      <c r="M447" s="4" t="b" cm="1">
        <f t="array" ref="M447">IF(H447="",FALSE,SUMPRODUCT(--(H$1:H446=H447))&gt;0)</f>
        <v>0</v>
      </c>
    </row>
    <row r="448" spans="1:13" x14ac:dyDescent="0.25">
      <c r="A448" s="9" t="str">
        <f>IF(OR(B448="",M448,G448="— ignored"),"",MAX(A$1:A447)+1)</f>
        <v/>
      </c>
      <c r="B448" s="10"/>
      <c r="C448" s="11" t="str">
        <f>IF(I448="","",ROUND((I448+0.5*MAX(0,CEILING(ROUND((MAX(C$1:C447)-1/48-I448)/0.5,6),1)))*1440,0)/1440)</f>
        <v/>
      </c>
      <c r="D448" s="9" t="str" cm="1">
        <f t="array" ref="D448">IF(H448="","",IFERROR(INDEX(Log!$C$19:$G$19,VALUE(MID(H448,FIND("#",H448)+1,1))),""))</f>
        <v/>
      </c>
      <c r="E448" s="9" t="str" cm="1">
        <f t="array" ref="E448">IF(OR(H448="",M448),"",IFERROR(_xlfn.LET(_xlpm.t,SUBSTITUTE(UPPER(H448),"م","M"),_xlpm.u,SUBSTITUTE(_xlpm.t,"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48" s="12"/>
      <c r="G448" s="13" t="str">
        <f>IF(B448="","",IF(M448,"⚠ Duplicate (not counted)",IF(AND(I448="",D448="",E448=""),"— ignored",IF(C448="","⚠ Time",IF(D448="","⚠ Plant",IF(E448="","⚠ Quantity",IF(AND(ISNUMBER(L448),COUNTIF(L$1:L447,L448)&gt;0),"⚠ Same serial "&amp;L448,IF(AND(ISNUMBER(L448),L448&gt;MIN($L$2:$L$1001),COUNTIF($L$2:$L$1001,L448-1)=0,COUNTIF($L$2:$L$1001,L448-2)&lt;2),"⚠ Missing serial "&amp;(L448-1),IF(AND(MAX(K$1:K447)&gt;0,N(K448)-MAX(K$1:K447)&gt;180),"⚠ Gap &gt; 3h",IF(C448-I448&gt;=0.99,"next day",IF(C448-I448&gt;0.4,"12h → 24h","")))))))))))</f>
        <v/>
      </c>
      <c r="H448" s="4" t="str">
        <f t="shared" si="30"/>
        <v/>
      </c>
      <c r="I448" s="5" t="str">
        <f t="shared" si="31"/>
        <v/>
      </c>
      <c r="J448" s="6">
        <f t="shared" si="32"/>
        <v>0</v>
      </c>
      <c r="K448" s="4" t="str">
        <f t="shared" si="33"/>
        <v/>
      </c>
      <c r="L448" s="4" t="str">
        <f t="shared" si="34"/>
        <v/>
      </c>
      <c r="M448" s="4" t="b" cm="1">
        <f t="array" ref="M448">IF(H448="",FALSE,SUMPRODUCT(--(H$1:H447=H448))&gt;0)</f>
        <v>0</v>
      </c>
    </row>
    <row r="449" spans="1:13" x14ac:dyDescent="0.25">
      <c r="A449" s="9" t="str">
        <f>IF(OR(B449="",M449,G449="— ignored"),"",MAX(A$1:A448)+1)</f>
        <v/>
      </c>
      <c r="B449" s="10"/>
      <c r="C449" s="11" t="str">
        <f>IF(I449="","",ROUND((I449+0.5*MAX(0,CEILING(ROUND((MAX(C$1:C448)-1/48-I449)/0.5,6),1)))*1440,0)/1440)</f>
        <v/>
      </c>
      <c r="D449" s="9" t="str" cm="1">
        <f t="array" ref="D449">IF(H449="","",IFERROR(INDEX(Log!$C$19:$G$19,VALUE(MID(H449,FIND("#",H449)+1,1))),""))</f>
        <v/>
      </c>
      <c r="E449" s="9" t="str" cm="1">
        <f t="array" ref="E449">IF(OR(H449="",M449),"",IFERROR(_xlfn.LET(_xlpm.t,SUBSTITUTE(UPPER(H449),"م","M"),_xlpm.u,SUBSTITUTE(_xlpm.t,"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49" s="12"/>
      <c r="G449" s="13" t="str">
        <f>IF(B449="","",IF(M449,"⚠ Duplicate (not counted)",IF(AND(I449="",D449="",E449=""),"— ignored",IF(C449="","⚠ Time",IF(D449="","⚠ Plant",IF(E449="","⚠ Quantity",IF(AND(ISNUMBER(L449),COUNTIF(L$1:L448,L449)&gt;0),"⚠ Same serial "&amp;L449,IF(AND(ISNUMBER(L449),L449&gt;MIN($L$2:$L$1001),COUNTIF($L$2:$L$1001,L449-1)=0,COUNTIF($L$2:$L$1001,L449-2)&lt;2),"⚠ Missing serial "&amp;(L449-1),IF(AND(MAX(K$1:K448)&gt;0,N(K449)-MAX(K$1:K448)&gt;180),"⚠ Gap &gt; 3h",IF(C449-I449&gt;=0.99,"next day",IF(C449-I449&gt;0.4,"12h → 24h","")))))))))))</f>
        <v/>
      </c>
      <c r="H449" s="4" t="str">
        <f t="shared" si="30"/>
        <v/>
      </c>
      <c r="I449" s="5" t="str">
        <f t="shared" si="31"/>
        <v/>
      </c>
      <c r="J449" s="6">
        <f t="shared" si="32"/>
        <v>0</v>
      </c>
      <c r="K449" s="4" t="str">
        <f t="shared" si="33"/>
        <v/>
      </c>
      <c r="L449" s="4" t="str">
        <f t="shared" si="34"/>
        <v/>
      </c>
      <c r="M449" s="4" t="b" cm="1">
        <f t="array" ref="M449">IF(H449="",FALSE,SUMPRODUCT(--(H$1:H448=H449))&gt;0)</f>
        <v>0</v>
      </c>
    </row>
    <row r="450" spans="1:13" x14ac:dyDescent="0.25">
      <c r="A450" s="9" t="str">
        <f>IF(OR(B450="",M450,G450="— ignored"),"",MAX(A$1:A449)+1)</f>
        <v/>
      </c>
      <c r="B450" s="10"/>
      <c r="C450" s="11" t="str">
        <f>IF(I450="","",ROUND((I450+0.5*MAX(0,CEILING(ROUND((MAX(C$1:C449)-1/48-I450)/0.5,6),1)))*1440,0)/1440)</f>
        <v/>
      </c>
      <c r="D450" s="9" t="str" cm="1">
        <f t="array" ref="D450">IF(H450="","",IFERROR(INDEX(Log!$C$19:$G$19,VALUE(MID(H450,FIND("#",H450)+1,1))),""))</f>
        <v/>
      </c>
      <c r="E450" s="9" t="str" cm="1">
        <f t="array" ref="E450">IF(OR(H450="",M450),"",IFERROR(_xlfn.LET(_xlpm.t,SUBSTITUTE(UPPER(H450),"م","M"),_xlpm.u,SUBSTITUTE(_xlpm.t,"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50" s="12"/>
      <c r="G450" s="13" t="str">
        <f>IF(B450="","",IF(M450,"⚠ Duplicate (not counted)",IF(AND(I450="",D450="",E450=""),"— ignored",IF(C450="","⚠ Time",IF(D450="","⚠ Plant",IF(E450="","⚠ Quantity",IF(AND(ISNUMBER(L450),COUNTIF(L$1:L449,L450)&gt;0),"⚠ Same serial "&amp;L450,IF(AND(ISNUMBER(L450),L450&gt;MIN($L$2:$L$1001),COUNTIF($L$2:$L$1001,L450-1)=0,COUNTIF($L$2:$L$1001,L450-2)&lt;2),"⚠ Missing serial "&amp;(L450-1),IF(AND(MAX(K$1:K449)&gt;0,N(K450)-MAX(K$1:K449)&gt;180),"⚠ Gap &gt; 3h",IF(C450-I450&gt;=0.99,"next day",IF(C450-I450&gt;0.4,"12h → 24h","")))))))))))</f>
        <v/>
      </c>
      <c r="H450" s="4" t="str">
        <f t="shared" ref="H450:H513" si="35">IF(B450="","",_xlfn.LET(_xlpm.t,TRIM(B450),IF(LEFT(_xlpm.t,1)="[",IFERROR(TRIM(MID(_xlpm.t,FIND(": ",_xlpm.t,FIND("]",_xlpm.t))+2,500)),_xlpm.t),_xlpm.t)))</f>
        <v/>
      </c>
      <c r="I450" s="5" t="str">
        <f t="shared" ref="I450:I513" si="36">IF(H450="","",IFERROR(TIMEVALUE(TRIM(SUBSTITUTE(SUBSTITUTE(MID(H450,SEARCH(":",H450)-2,5),".",""),"*",""))),""))</f>
        <v/>
      </c>
      <c r="J450" s="6">
        <f t="shared" ref="J450:J513" si="37">IF(OR(B450="",F450="",M450),0,IF(ISNUMBER(F450),F450,N(E450)))</f>
        <v>0</v>
      </c>
      <c r="K450" s="4" t="str">
        <f t="shared" ref="K450:K513" si="38">IF(OR(C450="",M450),"",ROUND(C450*1440,0))</f>
        <v/>
      </c>
      <c r="L450" s="4" t="str">
        <f t="shared" ref="L450:L513" si="39">IF(OR(H450="",AND(I450="",D450="")),"",IFERROR(_xlfn.LET(_xlpm.t,TRIM(SUBSTITUTE(SUBSTITUTE(H450,"*",""),"_","")),VALUE(SUBSTITUTE(LEFT(_xlpm.t,FIND(" ",_xlpm.t&amp;" ")-1),".",""))),""))</f>
        <v/>
      </c>
      <c r="M450" s="4" t="b" cm="1">
        <f t="array" ref="M450">IF(H450="",FALSE,SUMPRODUCT(--(H$1:H449=H450))&gt;0)</f>
        <v>0</v>
      </c>
    </row>
    <row r="451" spans="1:13" x14ac:dyDescent="0.25">
      <c r="A451" s="9" t="str">
        <f>IF(OR(B451="",M451,G451="— ignored"),"",MAX(A$1:A450)+1)</f>
        <v/>
      </c>
      <c r="B451" s="10"/>
      <c r="C451" s="11" t="str">
        <f>IF(I451="","",ROUND((I451+0.5*MAX(0,CEILING(ROUND((MAX(C$1:C450)-1/48-I451)/0.5,6),1)))*1440,0)/1440)</f>
        <v/>
      </c>
      <c r="D451" s="9" t="str" cm="1">
        <f t="array" ref="D451">IF(H451="","",IFERROR(INDEX(Log!$C$19:$G$19,VALUE(MID(H451,FIND("#",H451)+1,1))),""))</f>
        <v/>
      </c>
      <c r="E451" s="9" t="str" cm="1">
        <f t="array" ref="E451">IF(OR(H451="",M451),"",IFERROR(_xlfn.LET(_xlpm.t,SUBSTITUTE(UPPER(H451),"م","M"),_xlpm.u,SUBSTITUTE(_xlpm.t,"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51" s="12"/>
      <c r="G451" s="13" t="str">
        <f>IF(B451="","",IF(M451,"⚠ Duplicate (not counted)",IF(AND(I451="",D451="",E451=""),"— ignored",IF(C451="","⚠ Time",IF(D451="","⚠ Plant",IF(E451="","⚠ Quantity",IF(AND(ISNUMBER(L451),COUNTIF(L$1:L450,L451)&gt;0),"⚠ Same serial "&amp;L451,IF(AND(ISNUMBER(L451),L451&gt;MIN($L$2:$L$1001),COUNTIF($L$2:$L$1001,L451-1)=0,COUNTIF($L$2:$L$1001,L451-2)&lt;2),"⚠ Missing serial "&amp;(L451-1),IF(AND(MAX(K$1:K450)&gt;0,N(K451)-MAX(K$1:K450)&gt;180),"⚠ Gap &gt; 3h",IF(C451-I451&gt;=0.99,"next day",IF(C451-I451&gt;0.4,"12h → 24h","")))))))))))</f>
        <v/>
      </c>
      <c r="H451" s="4" t="str">
        <f t="shared" si="35"/>
        <v/>
      </c>
      <c r="I451" s="5" t="str">
        <f t="shared" si="36"/>
        <v/>
      </c>
      <c r="J451" s="6">
        <f t="shared" si="37"/>
        <v>0</v>
      </c>
      <c r="K451" s="4" t="str">
        <f t="shared" si="38"/>
        <v/>
      </c>
      <c r="L451" s="4" t="str">
        <f t="shared" si="39"/>
        <v/>
      </c>
      <c r="M451" s="4" t="b" cm="1">
        <f t="array" ref="M451">IF(H451="",FALSE,SUMPRODUCT(--(H$1:H450=H451))&gt;0)</f>
        <v>0</v>
      </c>
    </row>
    <row r="452" spans="1:13" x14ac:dyDescent="0.25">
      <c r="A452" s="9" t="str">
        <f>IF(OR(B452="",M452,G452="— ignored"),"",MAX(A$1:A451)+1)</f>
        <v/>
      </c>
      <c r="B452" s="10"/>
      <c r="C452" s="11" t="str">
        <f>IF(I452="","",ROUND((I452+0.5*MAX(0,CEILING(ROUND((MAX(C$1:C451)-1/48-I452)/0.5,6),1)))*1440,0)/1440)</f>
        <v/>
      </c>
      <c r="D452" s="9" t="str" cm="1">
        <f t="array" ref="D452">IF(H452="","",IFERROR(INDEX(Log!$C$19:$G$19,VALUE(MID(H452,FIND("#",H452)+1,1))),""))</f>
        <v/>
      </c>
      <c r="E452" s="9" t="str" cm="1">
        <f t="array" ref="E452">IF(OR(H452="",M452),"",IFERROR(_xlfn.LET(_xlpm.t,SUBSTITUTE(UPPER(H452),"م","M"),_xlpm.u,SUBSTITUTE(_xlpm.t,"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52" s="12"/>
      <c r="G452" s="13" t="str">
        <f>IF(B452="","",IF(M452,"⚠ Duplicate (not counted)",IF(AND(I452="",D452="",E452=""),"— ignored",IF(C452="","⚠ Time",IF(D452="","⚠ Plant",IF(E452="","⚠ Quantity",IF(AND(ISNUMBER(L452),COUNTIF(L$1:L451,L452)&gt;0),"⚠ Same serial "&amp;L452,IF(AND(ISNUMBER(L452),L452&gt;MIN($L$2:$L$1001),COUNTIF($L$2:$L$1001,L452-1)=0,COUNTIF($L$2:$L$1001,L452-2)&lt;2),"⚠ Missing serial "&amp;(L452-1),IF(AND(MAX(K$1:K451)&gt;0,N(K452)-MAX(K$1:K451)&gt;180),"⚠ Gap &gt; 3h",IF(C452-I452&gt;=0.99,"next day",IF(C452-I452&gt;0.4,"12h → 24h","")))))))))))</f>
        <v/>
      </c>
      <c r="H452" s="4" t="str">
        <f t="shared" si="35"/>
        <v/>
      </c>
      <c r="I452" s="5" t="str">
        <f t="shared" si="36"/>
        <v/>
      </c>
      <c r="J452" s="6">
        <f t="shared" si="37"/>
        <v>0</v>
      </c>
      <c r="K452" s="4" t="str">
        <f t="shared" si="38"/>
        <v/>
      </c>
      <c r="L452" s="4" t="str">
        <f t="shared" si="39"/>
        <v/>
      </c>
      <c r="M452" s="4" t="b" cm="1">
        <f t="array" ref="M452">IF(H452="",FALSE,SUMPRODUCT(--(H$1:H451=H452))&gt;0)</f>
        <v>0</v>
      </c>
    </row>
    <row r="453" spans="1:13" x14ac:dyDescent="0.25">
      <c r="A453" s="9" t="str">
        <f>IF(OR(B453="",M453,G453="— ignored"),"",MAX(A$1:A452)+1)</f>
        <v/>
      </c>
      <c r="B453" s="10"/>
      <c r="C453" s="11" t="str">
        <f>IF(I453="","",ROUND((I453+0.5*MAX(0,CEILING(ROUND((MAX(C$1:C452)-1/48-I453)/0.5,6),1)))*1440,0)/1440)</f>
        <v/>
      </c>
      <c r="D453" s="9" t="str" cm="1">
        <f t="array" ref="D453">IF(H453="","",IFERROR(INDEX(Log!$C$19:$G$19,VALUE(MID(H453,FIND("#",H453)+1,1))),""))</f>
        <v/>
      </c>
      <c r="E453" s="9" t="str" cm="1">
        <f t="array" ref="E453">IF(OR(H453="",M453),"",IFERROR(_xlfn.LET(_xlpm.t,SUBSTITUTE(UPPER(H453),"م","M"),_xlpm.u,SUBSTITUTE(_xlpm.t,"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53" s="12"/>
      <c r="G453" s="13" t="str">
        <f>IF(B453="","",IF(M453,"⚠ Duplicate (not counted)",IF(AND(I453="",D453="",E453=""),"— ignored",IF(C453="","⚠ Time",IF(D453="","⚠ Plant",IF(E453="","⚠ Quantity",IF(AND(ISNUMBER(L453),COUNTIF(L$1:L452,L453)&gt;0),"⚠ Same serial "&amp;L453,IF(AND(ISNUMBER(L453),L453&gt;MIN($L$2:$L$1001),COUNTIF($L$2:$L$1001,L453-1)=0,COUNTIF($L$2:$L$1001,L453-2)&lt;2),"⚠ Missing serial "&amp;(L453-1),IF(AND(MAX(K$1:K452)&gt;0,N(K453)-MAX(K$1:K452)&gt;180),"⚠ Gap &gt; 3h",IF(C453-I453&gt;=0.99,"next day",IF(C453-I453&gt;0.4,"12h → 24h","")))))))))))</f>
        <v/>
      </c>
      <c r="H453" s="4" t="str">
        <f t="shared" si="35"/>
        <v/>
      </c>
      <c r="I453" s="5" t="str">
        <f t="shared" si="36"/>
        <v/>
      </c>
      <c r="J453" s="6">
        <f t="shared" si="37"/>
        <v>0</v>
      </c>
      <c r="K453" s="4" t="str">
        <f t="shared" si="38"/>
        <v/>
      </c>
      <c r="L453" s="4" t="str">
        <f t="shared" si="39"/>
        <v/>
      </c>
      <c r="M453" s="4" t="b" cm="1">
        <f t="array" ref="M453">IF(H453="",FALSE,SUMPRODUCT(--(H$1:H452=H453))&gt;0)</f>
        <v>0</v>
      </c>
    </row>
    <row r="454" spans="1:13" x14ac:dyDescent="0.25">
      <c r="A454" s="9" t="str">
        <f>IF(OR(B454="",M454,G454="— ignored"),"",MAX(A$1:A453)+1)</f>
        <v/>
      </c>
      <c r="B454" s="10"/>
      <c r="C454" s="11" t="str">
        <f>IF(I454="","",ROUND((I454+0.5*MAX(0,CEILING(ROUND((MAX(C$1:C453)-1/48-I454)/0.5,6),1)))*1440,0)/1440)</f>
        <v/>
      </c>
      <c r="D454" s="9" t="str" cm="1">
        <f t="array" ref="D454">IF(H454="","",IFERROR(INDEX(Log!$C$19:$G$19,VALUE(MID(H454,FIND("#",H454)+1,1))),""))</f>
        <v/>
      </c>
      <c r="E454" s="9" t="str" cm="1">
        <f t="array" ref="E454">IF(OR(H454="",M454),"",IFERROR(_xlfn.LET(_xlpm.t,SUBSTITUTE(UPPER(H454),"م","M"),_xlpm.u,SUBSTITUTE(_xlpm.t,"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54" s="12"/>
      <c r="G454" s="13" t="str">
        <f>IF(B454="","",IF(M454,"⚠ Duplicate (not counted)",IF(AND(I454="",D454="",E454=""),"— ignored",IF(C454="","⚠ Time",IF(D454="","⚠ Plant",IF(E454="","⚠ Quantity",IF(AND(ISNUMBER(L454),COUNTIF(L$1:L453,L454)&gt;0),"⚠ Same serial "&amp;L454,IF(AND(ISNUMBER(L454),L454&gt;MIN($L$2:$L$1001),COUNTIF($L$2:$L$1001,L454-1)=0,COUNTIF($L$2:$L$1001,L454-2)&lt;2),"⚠ Missing serial "&amp;(L454-1),IF(AND(MAX(K$1:K453)&gt;0,N(K454)-MAX(K$1:K453)&gt;180),"⚠ Gap &gt; 3h",IF(C454-I454&gt;=0.99,"next day",IF(C454-I454&gt;0.4,"12h → 24h","")))))))))))</f>
        <v/>
      </c>
      <c r="H454" s="4" t="str">
        <f t="shared" si="35"/>
        <v/>
      </c>
      <c r="I454" s="5" t="str">
        <f t="shared" si="36"/>
        <v/>
      </c>
      <c r="J454" s="6">
        <f t="shared" si="37"/>
        <v>0</v>
      </c>
      <c r="K454" s="4" t="str">
        <f t="shared" si="38"/>
        <v/>
      </c>
      <c r="L454" s="4" t="str">
        <f t="shared" si="39"/>
        <v/>
      </c>
      <c r="M454" s="4" t="b" cm="1">
        <f t="array" ref="M454">IF(H454="",FALSE,SUMPRODUCT(--(H$1:H453=H454))&gt;0)</f>
        <v>0</v>
      </c>
    </row>
    <row r="455" spans="1:13" x14ac:dyDescent="0.25">
      <c r="A455" s="9" t="str">
        <f>IF(OR(B455="",M455,G455="— ignored"),"",MAX(A$1:A454)+1)</f>
        <v/>
      </c>
      <c r="B455" s="10"/>
      <c r="C455" s="11" t="str">
        <f>IF(I455="","",ROUND((I455+0.5*MAX(0,CEILING(ROUND((MAX(C$1:C454)-1/48-I455)/0.5,6),1)))*1440,0)/1440)</f>
        <v/>
      </c>
      <c r="D455" s="9" t="str" cm="1">
        <f t="array" ref="D455">IF(H455="","",IFERROR(INDEX(Log!$C$19:$G$19,VALUE(MID(H455,FIND("#",H455)+1,1))),""))</f>
        <v/>
      </c>
      <c r="E455" s="9" t="str" cm="1">
        <f t="array" ref="E455">IF(OR(H455="",M455),"",IFERROR(_xlfn.LET(_xlpm.t,SUBSTITUTE(UPPER(H455),"م","M"),_xlpm.u,SUBSTITUTE(_xlpm.t,"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55" s="12"/>
      <c r="G455" s="13" t="str">
        <f>IF(B455="","",IF(M455,"⚠ Duplicate (not counted)",IF(AND(I455="",D455="",E455=""),"— ignored",IF(C455="","⚠ Time",IF(D455="","⚠ Plant",IF(E455="","⚠ Quantity",IF(AND(ISNUMBER(L455),COUNTIF(L$1:L454,L455)&gt;0),"⚠ Same serial "&amp;L455,IF(AND(ISNUMBER(L455),L455&gt;MIN($L$2:$L$1001),COUNTIF($L$2:$L$1001,L455-1)=0,COUNTIF($L$2:$L$1001,L455-2)&lt;2),"⚠ Missing serial "&amp;(L455-1),IF(AND(MAX(K$1:K454)&gt;0,N(K455)-MAX(K$1:K454)&gt;180),"⚠ Gap &gt; 3h",IF(C455-I455&gt;=0.99,"next day",IF(C455-I455&gt;0.4,"12h → 24h","")))))))))))</f>
        <v/>
      </c>
      <c r="H455" s="4" t="str">
        <f t="shared" si="35"/>
        <v/>
      </c>
      <c r="I455" s="5" t="str">
        <f t="shared" si="36"/>
        <v/>
      </c>
      <c r="J455" s="6">
        <f t="shared" si="37"/>
        <v>0</v>
      </c>
      <c r="K455" s="4" t="str">
        <f t="shared" si="38"/>
        <v/>
      </c>
      <c r="L455" s="4" t="str">
        <f t="shared" si="39"/>
        <v/>
      </c>
      <c r="M455" s="4" t="b" cm="1">
        <f t="array" ref="M455">IF(H455="",FALSE,SUMPRODUCT(--(H$1:H454=H455))&gt;0)</f>
        <v>0</v>
      </c>
    </row>
    <row r="456" spans="1:13" x14ac:dyDescent="0.25">
      <c r="A456" s="9" t="str">
        <f>IF(OR(B456="",M456,G456="— ignored"),"",MAX(A$1:A455)+1)</f>
        <v/>
      </c>
      <c r="B456" s="10"/>
      <c r="C456" s="11" t="str">
        <f>IF(I456="","",ROUND((I456+0.5*MAX(0,CEILING(ROUND((MAX(C$1:C455)-1/48-I456)/0.5,6),1)))*1440,0)/1440)</f>
        <v/>
      </c>
      <c r="D456" s="9" t="str" cm="1">
        <f t="array" ref="D456">IF(H456="","",IFERROR(INDEX(Log!$C$19:$G$19,VALUE(MID(H456,FIND("#",H456)+1,1))),""))</f>
        <v/>
      </c>
      <c r="E456" s="9" t="str" cm="1">
        <f t="array" ref="E456">IF(OR(H456="",M456),"",IFERROR(_xlfn.LET(_xlpm.t,SUBSTITUTE(UPPER(H456),"م","M"),_xlpm.u,SUBSTITUTE(_xlpm.t,"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56" s="12"/>
      <c r="G456" s="13" t="str">
        <f>IF(B456="","",IF(M456,"⚠ Duplicate (not counted)",IF(AND(I456="",D456="",E456=""),"— ignored",IF(C456="","⚠ Time",IF(D456="","⚠ Plant",IF(E456="","⚠ Quantity",IF(AND(ISNUMBER(L456),COUNTIF(L$1:L455,L456)&gt;0),"⚠ Same serial "&amp;L456,IF(AND(ISNUMBER(L456),L456&gt;MIN($L$2:$L$1001),COUNTIF($L$2:$L$1001,L456-1)=0,COUNTIF($L$2:$L$1001,L456-2)&lt;2),"⚠ Missing serial "&amp;(L456-1),IF(AND(MAX(K$1:K455)&gt;0,N(K456)-MAX(K$1:K455)&gt;180),"⚠ Gap &gt; 3h",IF(C456-I456&gt;=0.99,"next day",IF(C456-I456&gt;0.4,"12h → 24h","")))))))))))</f>
        <v/>
      </c>
      <c r="H456" s="4" t="str">
        <f t="shared" si="35"/>
        <v/>
      </c>
      <c r="I456" s="5" t="str">
        <f t="shared" si="36"/>
        <v/>
      </c>
      <c r="J456" s="6">
        <f t="shared" si="37"/>
        <v>0</v>
      </c>
      <c r="K456" s="4" t="str">
        <f t="shared" si="38"/>
        <v/>
      </c>
      <c r="L456" s="4" t="str">
        <f t="shared" si="39"/>
        <v/>
      </c>
      <c r="M456" s="4" t="b" cm="1">
        <f t="array" ref="M456">IF(H456="",FALSE,SUMPRODUCT(--(H$1:H455=H456))&gt;0)</f>
        <v>0</v>
      </c>
    </row>
    <row r="457" spans="1:13" x14ac:dyDescent="0.25">
      <c r="A457" s="9" t="str">
        <f>IF(OR(B457="",M457,G457="— ignored"),"",MAX(A$1:A456)+1)</f>
        <v/>
      </c>
      <c r="B457" s="10"/>
      <c r="C457" s="11" t="str">
        <f>IF(I457="","",ROUND((I457+0.5*MAX(0,CEILING(ROUND((MAX(C$1:C456)-1/48-I457)/0.5,6),1)))*1440,0)/1440)</f>
        <v/>
      </c>
      <c r="D457" s="9" t="str" cm="1">
        <f t="array" ref="D457">IF(H457="","",IFERROR(INDEX(Log!$C$19:$G$19,VALUE(MID(H457,FIND("#",H457)+1,1))),""))</f>
        <v/>
      </c>
      <c r="E457" s="9" t="str" cm="1">
        <f t="array" ref="E457">IF(OR(H457="",M457),"",IFERROR(_xlfn.LET(_xlpm.t,SUBSTITUTE(UPPER(H457),"م","M"),_xlpm.u,SUBSTITUTE(_xlpm.t,"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57" s="12"/>
      <c r="G457" s="13" t="str">
        <f>IF(B457="","",IF(M457,"⚠ Duplicate (not counted)",IF(AND(I457="",D457="",E457=""),"— ignored",IF(C457="","⚠ Time",IF(D457="","⚠ Plant",IF(E457="","⚠ Quantity",IF(AND(ISNUMBER(L457),COUNTIF(L$1:L456,L457)&gt;0),"⚠ Same serial "&amp;L457,IF(AND(ISNUMBER(L457),L457&gt;MIN($L$2:$L$1001),COUNTIF($L$2:$L$1001,L457-1)=0,COUNTIF($L$2:$L$1001,L457-2)&lt;2),"⚠ Missing serial "&amp;(L457-1),IF(AND(MAX(K$1:K456)&gt;0,N(K457)-MAX(K$1:K456)&gt;180),"⚠ Gap &gt; 3h",IF(C457-I457&gt;=0.99,"next day",IF(C457-I457&gt;0.4,"12h → 24h","")))))))))))</f>
        <v/>
      </c>
      <c r="H457" s="4" t="str">
        <f t="shared" si="35"/>
        <v/>
      </c>
      <c r="I457" s="5" t="str">
        <f t="shared" si="36"/>
        <v/>
      </c>
      <c r="J457" s="6">
        <f t="shared" si="37"/>
        <v>0</v>
      </c>
      <c r="K457" s="4" t="str">
        <f t="shared" si="38"/>
        <v/>
      </c>
      <c r="L457" s="4" t="str">
        <f t="shared" si="39"/>
        <v/>
      </c>
      <c r="M457" s="4" t="b" cm="1">
        <f t="array" ref="M457">IF(H457="",FALSE,SUMPRODUCT(--(H$1:H456=H457))&gt;0)</f>
        <v>0</v>
      </c>
    </row>
    <row r="458" spans="1:13" x14ac:dyDescent="0.25">
      <c r="A458" s="9" t="str">
        <f>IF(OR(B458="",M458,G458="— ignored"),"",MAX(A$1:A457)+1)</f>
        <v/>
      </c>
      <c r="B458" s="10"/>
      <c r="C458" s="11" t="str">
        <f>IF(I458="","",ROUND((I458+0.5*MAX(0,CEILING(ROUND((MAX(C$1:C457)-1/48-I458)/0.5,6),1)))*1440,0)/1440)</f>
        <v/>
      </c>
      <c r="D458" s="9" t="str" cm="1">
        <f t="array" ref="D458">IF(H458="","",IFERROR(INDEX(Log!$C$19:$G$19,VALUE(MID(H458,FIND("#",H458)+1,1))),""))</f>
        <v/>
      </c>
      <c r="E458" s="9" t="str" cm="1">
        <f t="array" ref="E458">IF(OR(H458="",M458),"",IFERROR(_xlfn.LET(_xlpm.t,SUBSTITUTE(UPPER(H458),"م","M"),_xlpm.u,SUBSTITUTE(_xlpm.t,"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58" s="12"/>
      <c r="G458" s="13" t="str">
        <f>IF(B458="","",IF(M458,"⚠ Duplicate (not counted)",IF(AND(I458="",D458="",E458=""),"— ignored",IF(C458="","⚠ Time",IF(D458="","⚠ Plant",IF(E458="","⚠ Quantity",IF(AND(ISNUMBER(L458),COUNTIF(L$1:L457,L458)&gt;0),"⚠ Same serial "&amp;L458,IF(AND(ISNUMBER(L458),L458&gt;MIN($L$2:$L$1001),COUNTIF($L$2:$L$1001,L458-1)=0,COUNTIF($L$2:$L$1001,L458-2)&lt;2),"⚠ Missing serial "&amp;(L458-1),IF(AND(MAX(K$1:K457)&gt;0,N(K458)-MAX(K$1:K457)&gt;180),"⚠ Gap &gt; 3h",IF(C458-I458&gt;=0.99,"next day",IF(C458-I458&gt;0.4,"12h → 24h","")))))))))))</f>
        <v/>
      </c>
      <c r="H458" s="4" t="str">
        <f t="shared" si="35"/>
        <v/>
      </c>
      <c r="I458" s="5" t="str">
        <f t="shared" si="36"/>
        <v/>
      </c>
      <c r="J458" s="6">
        <f t="shared" si="37"/>
        <v>0</v>
      </c>
      <c r="K458" s="4" t="str">
        <f t="shared" si="38"/>
        <v/>
      </c>
      <c r="L458" s="4" t="str">
        <f t="shared" si="39"/>
        <v/>
      </c>
      <c r="M458" s="4" t="b" cm="1">
        <f t="array" ref="M458">IF(H458="",FALSE,SUMPRODUCT(--(H$1:H457=H458))&gt;0)</f>
        <v>0</v>
      </c>
    </row>
    <row r="459" spans="1:13" x14ac:dyDescent="0.25">
      <c r="A459" s="9" t="str">
        <f>IF(OR(B459="",M459,G459="— ignored"),"",MAX(A$1:A458)+1)</f>
        <v/>
      </c>
      <c r="B459" s="10"/>
      <c r="C459" s="11" t="str">
        <f>IF(I459="","",ROUND((I459+0.5*MAX(0,CEILING(ROUND((MAX(C$1:C458)-1/48-I459)/0.5,6),1)))*1440,0)/1440)</f>
        <v/>
      </c>
      <c r="D459" s="9" t="str" cm="1">
        <f t="array" ref="D459">IF(H459="","",IFERROR(INDEX(Log!$C$19:$G$19,VALUE(MID(H459,FIND("#",H459)+1,1))),""))</f>
        <v/>
      </c>
      <c r="E459" s="9" t="str" cm="1">
        <f t="array" ref="E459">IF(OR(H459="",M459),"",IFERROR(_xlfn.LET(_xlpm.t,SUBSTITUTE(UPPER(H459),"م","M"),_xlpm.u,SUBSTITUTE(_xlpm.t,"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59" s="12"/>
      <c r="G459" s="13" t="str">
        <f>IF(B459="","",IF(M459,"⚠ Duplicate (not counted)",IF(AND(I459="",D459="",E459=""),"— ignored",IF(C459="","⚠ Time",IF(D459="","⚠ Plant",IF(E459="","⚠ Quantity",IF(AND(ISNUMBER(L459),COUNTIF(L$1:L458,L459)&gt;0),"⚠ Same serial "&amp;L459,IF(AND(ISNUMBER(L459),L459&gt;MIN($L$2:$L$1001),COUNTIF($L$2:$L$1001,L459-1)=0,COUNTIF($L$2:$L$1001,L459-2)&lt;2),"⚠ Missing serial "&amp;(L459-1),IF(AND(MAX(K$1:K458)&gt;0,N(K459)-MAX(K$1:K458)&gt;180),"⚠ Gap &gt; 3h",IF(C459-I459&gt;=0.99,"next day",IF(C459-I459&gt;0.4,"12h → 24h","")))))))))))</f>
        <v/>
      </c>
      <c r="H459" s="4" t="str">
        <f t="shared" si="35"/>
        <v/>
      </c>
      <c r="I459" s="5" t="str">
        <f t="shared" si="36"/>
        <v/>
      </c>
      <c r="J459" s="6">
        <f t="shared" si="37"/>
        <v>0</v>
      </c>
      <c r="K459" s="4" t="str">
        <f t="shared" si="38"/>
        <v/>
      </c>
      <c r="L459" s="4" t="str">
        <f t="shared" si="39"/>
        <v/>
      </c>
      <c r="M459" s="4" t="b" cm="1">
        <f t="array" ref="M459">IF(H459="",FALSE,SUMPRODUCT(--(H$1:H458=H459))&gt;0)</f>
        <v>0</v>
      </c>
    </row>
    <row r="460" spans="1:13" x14ac:dyDescent="0.25">
      <c r="A460" s="9" t="str">
        <f>IF(OR(B460="",M460,G460="— ignored"),"",MAX(A$1:A459)+1)</f>
        <v/>
      </c>
      <c r="B460" s="10"/>
      <c r="C460" s="11" t="str">
        <f>IF(I460="","",ROUND((I460+0.5*MAX(0,CEILING(ROUND((MAX(C$1:C459)-1/48-I460)/0.5,6),1)))*1440,0)/1440)</f>
        <v/>
      </c>
      <c r="D460" s="9" t="str" cm="1">
        <f t="array" ref="D460">IF(H460="","",IFERROR(INDEX(Log!$C$19:$G$19,VALUE(MID(H460,FIND("#",H460)+1,1))),""))</f>
        <v/>
      </c>
      <c r="E460" s="9" t="str" cm="1">
        <f t="array" ref="E460">IF(OR(H460="",M460),"",IFERROR(_xlfn.LET(_xlpm.t,SUBSTITUTE(UPPER(H460),"م","M"),_xlpm.u,SUBSTITUTE(_xlpm.t,"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60" s="12"/>
      <c r="G460" s="13" t="str">
        <f>IF(B460="","",IF(M460,"⚠ Duplicate (not counted)",IF(AND(I460="",D460="",E460=""),"— ignored",IF(C460="","⚠ Time",IF(D460="","⚠ Plant",IF(E460="","⚠ Quantity",IF(AND(ISNUMBER(L460),COUNTIF(L$1:L459,L460)&gt;0),"⚠ Same serial "&amp;L460,IF(AND(ISNUMBER(L460),L460&gt;MIN($L$2:$L$1001),COUNTIF($L$2:$L$1001,L460-1)=0,COUNTIF($L$2:$L$1001,L460-2)&lt;2),"⚠ Missing serial "&amp;(L460-1),IF(AND(MAX(K$1:K459)&gt;0,N(K460)-MAX(K$1:K459)&gt;180),"⚠ Gap &gt; 3h",IF(C460-I460&gt;=0.99,"next day",IF(C460-I460&gt;0.4,"12h → 24h","")))))))))))</f>
        <v/>
      </c>
      <c r="H460" s="4" t="str">
        <f t="shared" si="35"/>
        <v/>
      </c>
      <c r="I460" s="5" t="str">
        <f t="shared" si="36"/>
        <v/>
      </c>
      <c r="J460" s="6">
        <f t="shared" si="37"/>
        <v>0</v>
      </c>
      <c r="K460" s="4" t="str">
        <f t="shared" si="38"/>
        <v/>
      </c>
      <c r="L460" s="4" t="str">
        <f t="shared" si="39"/>
        <v/>
      </c>
      <c r="M460" s="4" t="b" cm="1">
        <f t="array" ref="M460">IF(H460="",FALSE,SUMPRODUCT(--(H$1:H459=H460))&gt;0)</f>
        <v>0</v>
      </c>
    </row>
    <row r="461" spans="1:13" x14ac:dyDescent="0.25">
      <c r="A461" s="9" t="str">
        <f>IF(OR(B461="",M461,G461="— ignored"),"",MAX(A$1:A460)+1)</f>
        <v/>
      </c>
      <c r="B461" s="10"/>
      <c r="C461" s="11" t="str">
        <f>IF(I461="","",ROUND((I461+0.5*MAX(0,CEILING(ROUND((MAX(C$1:C460)-1/48-I461)/0.5,6),1)))*1440,0)/1440)</f>
        <v/>
      </c>
      <c r="D461" s="9" t="str" cm="1">
        <f t="array" ref="D461">IF(H461="","",IFERROR(INDEX(Log!$C$19:$G$19,VALUE(MID(H461,FIND("#",H461)+1,1))),""))</f>
        <v/>
      </c>
      <c r="E461" s="9" t="str" cm="1">
        <f t="array" ref="E461">IF(OR(H461="",M461),"",IFERROR(_xlfn.LET(_xlpm.t,SUBSTITUTE(UPPER(H461),"م","M"),_xlpm.u,SUBSTITUTE(_xlpm.t,"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61" s="12"/>
      <c r="G461" s="13" t="str">
        <f>IF(B461="","",IF(M461,"⚠ Duplicate (not counted)",IF(AND(I461="",D461="",E461=""),"— ignored",IF(C461="","⚠ Time",IF(D461="","⚠ Plant",IF(E461="","⚠ Quantity",IF(AND(ISNUMBER(L461),COUNTIF(L$1:L460,L461)&gt;0),"⚠ Same serial "&amp;L461,IF(AND(ISNUMBER(L461),L461&gt;MIN($L$2:$L$1001),COUNTIF($L$2:$L$1001,L461-1)=0,COUNTIF($L$2:$L$1001,L461-2)&lt;2),"⚠ Missing serial "&amp;(L461-1),IF(AND(MAX(K$1:K460)&gt;0,N(K461)-MAX(K$1:K460)&gt;180),"⚠ Gap &gt; 3h",IF(C461-I461&gt;=0.99,"next day",IF(C461-I461&gt;0.4,"12h → 24h","")))))))))))</f>
        <v/>
      </c>
      <c r="H461" s="4" t="str">
        <f t="shared" si="35"/>
        <v/>
      </c>
      <c r="I461" s="5" t="str">
        <f t="shared" si="36"/>
        <v/>
      </c>
      <c r="J461" s="6">
        <f t="shared" si="37"/>
        <v>0</v>
      </c>
      <c r="K461" s="4" t="str">
        <f t="shared" si="38"/>
        <v/>
      </c>
      <c r="L461" s="4" t="str">
        <f t="shared" si="39"/>
        <v/>
      </c>
      <c r="M461" s="4" t="b" cm="1">
        <f t="array" ref="M461">IF(H461="",FALSE,SUMPRODUCT(--(H$1:H460=H461))&gt;0)</f>
        <v>0</v>
      </c>
    </row>
    <row r="462" spans="1:13" x14ac:dyDescent="0.25">
      <c r="A462" s="9" t="str">
        <f>IF(OR(B462="",M462,G462="— ignored"),"",MAX(A$1:A461)+1)</f>
        <v/>
      </c>
      <c r="B462" s="10"/>
      <c r="C462" s="11" t="str">
        <f>IF(I462="","",ROUND((I462+0.5*MAX(0,CEILING(ROUND((MAX(C$1:C461)-1/48-I462)/0.5,6),1)))*1440,0)/1440)</f>
        <v/>
      </c>
      <c r="D462" s="9" t="str" cm="1">
        <f t="array" ref="D462">IF(H462="","",IFERROR(INDEX(Log!$C$19:$G$19,VALUE(MID(H462,FIND("#",H462)+1,1))),""))</f>
        <v/>
      </c>
      <c r="E462" s="9" t="str" cm="1">
        <f t="array" ref="E462">IF(OR(H462="",M462),"",IFERROR(_xlfn.LET(_xlpm.t,SUBSTITUTE(UPPER(H462),"م","M"),_xlpm.u,SUBSTITUTE(_xlpm.t,"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62" s="12"/>
      <c r="G462" s="13" t="str">
        <f>IF(B462="","",IF(M462,"⚠ Duplicate (not counted)",IF(AND(I462="",D462="",E462=""),"— ignored",IF(C462="","⚠ Time",IF(D462="","⚠ Plant",IF(E462="","⚠ Quantity",IF(AND(ISNUMBER(L462),COUNTIF(L$1:L461,L462)&gt;0),"⚠ Same serial "&amp;L462,IF(AND(ISNUMBER(L462),L462&gt;MIN($L$2:$L$1001),COUNTIF($L$2:$L$1001,L462-1)=0,COUNTIF($L$2:$L$1001,L462-2)&lt;2),"⚠ Missing serial "&amp;(L462-1),IF(AND(MAX(K$1:K461)&gt;0,N(K462)-MAX(K$1:K461)&gt;180),"⚠ Gap &gt; 3h",IF(C462-I462&gt;=0.99,"next day",IF(C462-I462&gt;0.4,"12h → 24h","")))))))))))</f>
        <v/>
      </c>
      <c r="H462" s="4" t="str">
        <f t="shared" si="35"/>
        <v/>
      </c>
      <c r="I462" s="5" t="str">
        <f t="shared" si="36"/>
        <v/>
      </c>
      <c r="J462" s="6">
        <f t="shared" si="37"/>
        <v>0</v>
      </c>
      <c r="K462" s="4" t="str">
        <f t="shared" si="38"/>
        <v/>
      </c>
      <c r="L462" s="4" t="str">
        <f t="shared" si="39"/>
        <v/>
      </c>
      <c r="M462" s="4" t="b" cm="1">
        <f t="array" ref="M462">IF(H462="",FALSE,SUMPRODUCT(--(H$1:H461=H462))&gt;0)</f>
        <v>0</v>
      </c>
    </row>
    <row r="463" spans="1:13" x14ac:dyDescent="0.25">
      <c r="A463" s="9" t="str">
        <f>IF(OR(B463="",M463,G463="— ignored"),"",MAX(A$1:A462)+1)</f>
        <v/>
      </c>
      <c r="B463" s="10"/>
      <c r="C463" s="11" t="str">
        <f>IF(I463="","",ROUND((I463+0.5*MAX(0,CEILING(ROUND((MAX(C$1:C462)-1/48-I463)/0.5,6),1)))*1440,0)/1440)</f>
        <v/>
      </c>
      <c r="D463" s="9" t="str" cm="1">
        <f t="array" ref="D463">IF(H463="","",IFERROR(INDEX(Log!$C$19:$G$19,VALUE(MID(H463,FIND("#",H463)+1,1))),""))</f>
        <v/>
      </c>
      <c r="E463" s="9" t="str" cm="1">
        <f t="array" ref="E463">IF(OR(H463="",M463),"",IFERROR(_xlfn.LET(_xlpm.t,SUBSTITUTE(UPPER(H463),"م","M"),_xlpm.u,SUBSTITUTE(_xlpm.t,"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63" s="12"/>
      <c r="G463" s="13" t="str">
        <f>IF(B463="","",IF(M463,"⚠ Duplicate (not counted)",IF(AND(I463="",D463="",E463=""),"— ignored",IF(C463="","⚠ Time",IF(D463="","⚠ Plant",IF(E463="","⚠ Quantity",IF(AND(ISNUMBER(L463),COUNTIF(L$1:L462,L463)&gt;0),"⚠ Same serial "&amp;L463,IF(AND(ISNUMBER(L463),L463&gt;MIN($L$2:$L$1001),COUNTIF($L$2:$L$1001,L463-1)=0,COUNTIF($L$2:$L$1001,L463-2)&lt;2),"⚠ Missing serial "&amp;(L463-1),IF(AND(MAX(K$1:K462)&gt;0,N(K463)-MAX(K$1:K462)&gt;180),"⚠ Gap &gt; 3h",IF(C463-I463&gt;=0.99,"next day",IF(C463-I463&gt;0.4,"12h → 24h","")))))))))))</f>
        <v/>
      </c>
      <c r="H463" s="4" t="str">
        <f t="shared" si="35"/>
        <v/>
      </c>
      <c r="I463" s="5" t="str">
        <f t="shared" si="36"/>
        <v/>
      </c>
      <c r="J463" s="6">
        <f t="shared" si="37"/>
        <v>0</v>
      </c>
      <c r="K463" s="4" t="str">
        <f t="shared" si="38"/>
        <v/>
      </c>
      <c r="L463" s="4" t="str">
        <f t="shared" si="39"/>
        <v/>
      </c>
      <c r="M463" s="4" t="b" cm="1">
        <f t="array" ref="M463">IF(H463="",FALSE,SUMPRODUCT(--(H$1:H462=H463))&gt;0)</f>
        <v>0</v>
      </c>
    </row>
    <row r="464" spans="1:13" x14ac:dyDescent="0.25">
      <c r="A464" s="9" t="str">
        <f>IF(OR(B464="",M464,G464="— ignored"),"",MAX(A$1:A463)+1)</f>
        <v/>
      </c>
      <c r="B464" s="10"/>
      <c r="C464" s="11" t="str">
        <f>IF(I464="","",ROUND((I464+0.5*MAX(0,CEILING(ROUND((MAX(C$1:C463)-1/48-I464)/0.5,6),1)))*1440,0)/1440)</f>
        <v/>
      </c>
      <c r="D464" s="9" t="str" cm="1">
        <f t="array" ref="D464">IF(H464="","",IFERROR(INDEX(Log!$C$19:$G$19,VALUE(MID(H464,FIND("#",H464)+1,1))),""))</f>
        <v/>
      </c>
      <c r="E464" s="9" t="str" cm="1">
        <f t="array" ref="E464">IF(OR(H464="",M464),"",IFERROR(_xlfn.LET(_xlpm.t,SUBSTITUTE(UPPER(H464),"م","M"),_xlpm.u,SUBSTITUTE(_xlpm.t,"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64" s="12"/>
      <c r="G464" s="13" t="str">
        <f>IF(B464="","",IF(M464,"⚠ Duplicate (not counted)",IF(AND(I464="",D464="",E464=""),"— ignored",IF(C464="","⚠ Time",IF(D464="","⚠ Plant",IF(E464="","⚠ Quantity",IF(AND(ISNUMBER(L464),COUNTIF(L$1:L463,L464)&gt;0),"⚠ Same serial "&amp;L464,IF(AND(ISNUMBER(L464),L464&gt;MIN($L$2:$L$1001),COUNTIF($L$2:$L$1001,L464-1)=0,COUNTIF($L$2:$L$1001,L464-2)&lt;2),"⚠ Missing serial "&amp;(L464-1),IF(AND(MAX(K$1:K463)&gt;0,N(K464)-MAX(K$1:K463)&gt;180),"⚠ Gap &gt; 3h",IF(C464-I464&gt;=0.99,"next day",IF(C464-I464&gt;0.4,"12h → 24h","")))))))))))</f>
        <v/>
      </c>
      <c r="H464" s="4" t="str">
        <f t="shared" si="35"/>
        <v/>
      </c>
      <c r="I464" s="5" t="str">
        <f t="shared" si="36"/>
        <v/>
      </c>
      <c r="J464" s="6">
        <f t="shared" si="37"/>
        <v>0</v>
      </c>
      <c r="K464" s="4" t="str">
        <f t="shared" si="38"/>
        <v/>
      </c>
      <c r="L464" s="4" t="str">
        <f t="shared" si="39"/>
        <v/>
      </c>
      <c r="M464" s="4" t="b" cm="1">
        <f t="array" ref="M464">IF(H464="",FALSE,SUMPRODUCT(--(H$1:H463=H464))&gt;0)</f>
        <v>0</v>
      </c>
    </row>
    <row r="465" spans="1:13" x14ac:dyDescent="0.25">
      <c r="A465" s="9" t="str">
        <f>IF(OR(B465="",M465,G465="— ignored"),"",MAX(A$1:A464)+1)</f>
        <v/>
      </c>
      <c r="B465" s="10"/>
      <c r="C465" s="11" t="str">
        <f>IF(I465="","",ROUND((I465+0.5*MAX(0,CEILING(ROUND((MAX(C$1:C464)-1/48-I465)/0.5,6),1)))*1440,0)/1440)</f>
        <v/>
      </c>
      <c r="D465" s="9" t="str" cm="1">
        <f t="array" ref="D465">IF(H465="","",IFERROR(INDEX(Log!$C$19:$G$19,VALUE(MID(H465,FIND("#",H465)+1,1))),""))</f>
        <v/>
      </c>
      <c r="E465" s="9" t="str" cm="1">
        <f t="array" ref="E465">IF(OR(H465="",M465),"",IFERROR(_xlfn.LET(_xlpm.t,SUBSTITUTE(UPPER(H465),"م","M"),_xlpm.u,SUBSTITUTE(_xlpm.t,"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65" s="12"/>
      <c r="G465" s="13" t="str">
        <f>IF(B465="","",IF(M465,"⚠ Duplicate (not counted)",IF(AND(I465="",D465="",E465=""),"— ignored",IF(C465="","⚠ Time",IF(D465="","⚠ Plant",IF(E465="","⚠ Quantity",IF(AND(ISNUMBER(L465),COUNTIF(L$1:L464,L465)&gt;0),"⚠ Same serial "&amp;L465,IF(AND(ISNUMBER(L465),L465&gt;MIN($L$2:$L$1001),COUNTIF($L$2:$L$1001,L465-1)=0,COUNTIF($L$2:$L$1001,L465-2)&lt;2),"⚠ Missing serial "&amp;(L465-1),IF(AND(MAX(K$1:K464)&gt;0,N(K465)-MAX(K$1:K464)&gt;180),"⚠ Gap &gt; 3h",IF(C465-I465&gt;=0.99,"next day",IF(C465-I465&gt;0.4,"12h → 24h","")))))))))))</f>
        <v/>
      </c>
      <c r="H465" s="4" t="str">
        <f t="shared" si="35"/>
        <v/>
      </c>
      <c r="I465" s="5" t="str">
        <f t="shared" si="36"/>
        <v/>
      </c>
      <c r="J465" s="6">
        <f t="shared" si="37"/>
        <v>0</v>
      </c>
      <c r="K465" s="4" t="str">
        <f t="shared" si="38"/>
        <v/>
      </c>
      <c r="L465" s="4" t="str">
        <f t="shared" si="39"/>
        <v/>
      </c>
      <c r="M465" s="4" t="b" cm="1">
        <f t="array" ref="M465">IF(H465="",FALSE,SUMPRODUCT(--(H$1:H464=H465))&gt;0)</f>
        <v>0</v>
      </c>
    </row>
    <row r="466" spans="1:13" x14ac:dyDescent="0.25">
      <c r="A466" s="9" t="str">
        <f>IF(OR(B466="",M466,G466="— ignored"),"",MAX(A$1:A465)+1)</f>
        <v/>
      </c>
      <c r="B466" s="10"/>
      <c r="C466" s="11" t="str">
        <f>IF(I466="","",ROUND((I466+0.5*MAX(0,CEILING(ROUND((MAX(C$1:C465)-1/48-I466)/0.5,6),1)))*1440,0)/1440)</f>
        <v/>
      </c>
      <c r="D466" s="9" t="str" cm="1">
        <f t="array" ref="D466">IF(H466="","",IFERROR(INDEX(Log!$C$19:$G$19,VALUE(MID(H466,FIND("#",H466)+1,1))),""))</f>
        <v/>
      </c>
      <c r="E466" s="9" t="str" cm="1">
        <f t="array" ref="E466">IF(OR(H466="",M466),"",IFERROR(_xlfn.LET(_xlpm.t,SUBSTITUTE(UPPER(H466),"م","M"),_xlpm.u,SUBSTITUTE(_xlpm.t,"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66" s="12"/>
      <c r="G466" s="13" t="str">
        <f>IF(B466="","",IF(M466,"⚠ Duplicate (not counted)",IF(AND(I466="",D466="",E466=""),"— ignored",IF(C466="","⚠ Time",IF(D466="","⚠ Plant",IF(E466="","⚠ Quantity",IF(AND(ISNUMBER(L466),COUNTIF(L$1:L465,L466)&gt;0),"⚠ Same serial "&amp;L466,IF(AND(ISNUMBER(L466),L466&gt;MIN($L$2:$L$1001),COUNTIF($L$2:$L$1001,L466-1)=0,COUNTIF($L$2:$L$1001,L466-2)&lt;2),"⚠ Missing serial "&amp;(L466-1),IF(AND(MAX(K$1:K465)&gt;0,N(K466)-MAX(K$1:K465)&gt;180),"⚠ Gap &gt; 3h",IF(C466-I466&gt;=0.99,"next day",IF(C466-I466&gt;0.4,"12h → 24h","")))))))))))</f>
        <v/>
      </c>
      <c r="H466" s="4" t="str">
        <f t="shared" si="35"/>
        <v/>
      </c>
      <c r="I466" s="5" t="str">
        <f t="shared" si="36"/>
        <v/>
      </c>
      <c r="J466" s="6">
        <f t="shared" si="37"/>
        <v>0</v>
      </c>
      <c r="K466" s="4" t="str">
        <f t="shared" si="38"/>
        <v/>
      </c>
      <c r="L466" s="4" t="str">
        <f t="shared" si="39"/>
        <v/>
      </c>
      <c r="M466" s="4" t="b" cm="1">
        <f t="array" ref="M466">IF(H466="",FALSE,SUMPRODUCT(--(H$1:H465=H466))&gt;0)</f>
        <v>0</v>
      </c>
    </row>
    <row r="467" spans="1:13" x14ac:dyDescent="0.25">
      <c r="A467" s="9" t="str">
        <f>IF(OR(B467="",M467,G467="— ignored"),"",MAX(A$1:A466)+1)</f>
        <v/>
      </c>
      <c r="B467" s="10"/>
      <c r="C467" s="11" t="str">
        <f>IF(I467="","",ROUND((I467+0.5*MAX(0,CEILING(ROUND((MAX(C$1:C466)-1/48-I467)/0.5,6),1)))*1440,0)/1440)</f>
        <v/>
      </c>
      <c r="D467" s="9" t="str" cm="1">
        <f t="array" ref="D467">IF(H467="","",IFERROR(INDEX(Log!$C$19:$G$19,VALUE(MID(H467,FIND("#",H467)+1,1))),""))</f>
        <v/>
      </c>
      <c r="E467" s="9" t="str" cm="1">
        <f t="array" ref="E467">IF(OR(H467="",M467),"",IFERROR(_xlfn.LET(_xlpm.t,SUBSTITUTE(UPPER(H467),"م","M"),_xlpm.u,SUBSTITUTE(_xlpm.t,"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67" s="12"/>
      <c r="G467" s="13" t="str">
        <f>IF(B467="","",IF(M467,"⚠ Duplicate (not counted)",IF(AND(I467="",D467="",E467=""),"— ignored",IF(C467="","⚠ Time",IF(D467="","⚠ Plant",IF(E467="","⚠ Quantity",IF(AND(ISNUMBER(L467),COUNTIF(L$1:L466,L467)&gt;0),"⚠ Same serial "&amp;L467,IF(AND(ISNUMBER(L467),L467&gt;MIN($L$2:$L$1001),COUNTIF($L$2:$L$1001,L467-1)=0,COUNTIF($L$2:$L$1001,L467-2)&lt;2),"⚠ Missing serial "&amp;(L467-1),IF(AND(MAX(K$1:K466)&gt;0,N(K467)-MAX(K$1:K466)&gt;180),"⚠ Gap &gt; 3h",IF(C467-I467&gt;=0.99,"next day",IF(C467-I467&gt;0.4,"12h → 24h","")))))))))))</f>
        <v/>
      </c>
      <c r="H467" s="4" t="str">
        <f t="shared" si="35"/>
        <v/>
      </c>
      <c r="I467" s="5" t="str">
        <f t="shared" si="36"/>
        <v/>
      </c>
      <c r="J467" s="6">
        <f t="shared" si="37"/>
        <v>0</v>
      </c>
      <c r="K467" s="4" t="str">
        <f t="shared" si="38"/>
        <v/>
      </c>
      <c r="L467" s="4" t="str">
        <f t="shared" si="39"/>
        <v/>
      </c>
      <c r="M467" s="4" t="b" cm="1">
        <f t="array" ref="M467">IF(H467="",FALSE,SUMPRODUCT(--(H$1:H466=H467))&gt;0)</f>
        <v>0</v>
      </c>
    </row>
    <row r="468" spans="1:13" x14ac:dyDescent="0.25">
      <c r="A468" s="9" t="str">
        <f>IF(OR(B468="",M468,G468="— ignored"),"",MAX(A$1:A467)+1)</f>
        <v/>
      </c>
      <c r="B468" s="10"/>
      <c r="C468" s="11" t="str">
        <f>IF(I468="","",ROUND((I468+0.5*MAX(0,CEILING(ROUND((MAX(C$1:C467)-1/48-I468)/0.5,6),1)))*1440,0)/1440)</f>
        <v/>
      </c>
      <c r="D468" s="9" t="str" cm="1">
        <f t="array" ref="D468">IF(H468="","",IFERROR(INDEX(Log!$C$19:$G$19,VALUE(MID(H468,FIND("#",H468)+1,1))),""))</f>
        <v/>
      </c>
      <c r="E468" s="9" t="str" cm="1">
        <f t="array" ref="E468">IF(OR(H468="",M468),"",IFERROR(_xlfn.LET(_xlpm.t,SUBSTITUTE(UPPER(H468),"م","M"),_xlpm.u,SUBSTITUTE(_xlpm.t,"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68" s="12"/>
      <c r="G468" s="13" t="str">
        <f>IF(B468="","",IF(M468,"⚠ Duplicate (not counted)",IF(AND(I468="",D468="",E468=""),"— ignored",IF(C468="","⚠ Time",IF(D468="","⚠ Plant",IF(E468="","⚠ Quantity",IF(AND(ISNUMBER(L468),COUNTIF(L$1:L467,L468)&gt;0),"⚠ Same serial "&amp;L468,IF(AND(ISNUMBER(L468),L468&gt;MIN($L$2:$L$1001),COUNTIF($L$2:$L$1001,L468-1)=0,COUNTIF($L$2:$L$1001,L468-2)&lt;2),"⚠ Missing serial "&amp;(L468-1),IF(AND(MAX(K$1:K467)&gt;0,N(K468)-MAX(K$1:K467)&gt;180),"⚠ Gap &gt; 3h",IF(C468-I468&gt;=0.99,"next day",IF(C468-I468&gt;0.4,"12h → 24h","")))))))))))</f>
        <v/>
      </c>
      <c r="H468" s="4" t="str">
        <f t="shared" si="35"/>
        <v/>
      </c>
      <c r="I468" s="5" t="str">
        <f t="shared" si="36"/>
        <v/>
      </c>
      <c r="J468" s="6">
        <f t="shared" si="37"/>
        <v>0</v>
      </c>
      <c r="K468" s="4" t="str">
        <f t="shared" si="38"/>
        <v/>
      </c>
      <c r="L468" s="4" t="str">
        <f t="shared" si="39"/>
        <v/>
      </c>
      <c r="M468" s="4" t="b" cm="1">
        <f t="array" ref="M468">IF(H468="",FALSE,SUMPRODUCT(--(H$1:H467=H468))&gt;0)</f>
        <v>0</v>
      </c>
    </row>
    <row r="469" spans="1:13" x14ac:dyDescent="0.25">
      <c r="A469" s="9" t="str">
        <f>IF(OR(B469="",M469,G469="— ignored"),"",MAX(A$1:A468)+1)</f>
        <v/>
      </c>
      <c r="B469" s="10"/>
      <c r="C469" s="11" t="str">
        <f>IF(I469="","",ROUND((I469+0.5*MAX(0,CEILING(ROUND((MAX(C$1:C468)-1/48-I469)/0.5,6),1)))*1440,0)/1440)</f>
        <v/>
      </c>
      <c r="D469" s="9" t="str" cm="1">
        <f t="array" ref="D469">IF(H469="","",IFERROR(INDEX(Log!$C$19:$G$19,VALUE(MID(H469,FIND("#",H469)+1,1))),""))</f>
        <v/>
      </c>
      <c r="E469" s="9" t="str" cm="1">
        <f t="array" ref="E469">IF(OR(H469="",M469),"",IFERROR(_xlfn.LET(_xlpm.t,SUBSTITUTE(UPPER(H469),"م","M"),_xlpm.u,SUBSTITUTE(_xlpm.t,"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69" s="12"/>
      <c r="G469" s="13" t="str">
        <f>IF(B469="","",IF(M469,"⚠ Duplicate (not counted)",IF(AND(I469="",D469="",E469=""),"— ignored",IF(C469="","⚠ Time",IF(D469="","⚠ Plant",IF(E469="","⚠ Quantity",IF(AND(ISNUMBER(L469),COUNTIF(L$1:L468,L469)&gt;0),"⚠ Same serial "&amp;L469,IF(AND(ISNUMBER(L469),L469&gt;MIN($L$2:$L$1001),COUNTIF($L$2:$L$1001,L469-1)=0,COUNTIF($L$2:$L$1001,L469-2)&lt;2),"⚠ Missing serial "&amp;(L469-1),IF(AND(MAX(K$1:K468)&gt;0,N(K469)-MAX(K$1:K468)&gt;180),"⚠ Gap &gt; 3h",IF(C469-I469&gt;=0.99,"next day",IF(C469-I469&gt;0.4,"12h → 24h","")))))))))))</f>
        <v/>
      </c>
      <c r="H469" s="4" t="str">
        <f t="shared" si="35"/>
        <v/>
      </c>
      <c r="I469" s="5" t="str">
        <f t="shared" si="36"/>
        <v/>
      </c>
      <c r="J469" s="6">
        <f t="shared" si="37"/>
        <v>0</v>
      </c>
      <c r="K469" s="4" t="str">
        <f t="shared" si="38"/>
        <v/>
      </c>
      <c r="L469" s="4" t="str">
        <f t="shared" si="39"/>
        <v/>
      </c>
      <c r="M469" s="4" t="b" cm="1">
        <f t="array" ref="M469">IF(H469="",FALSE,SUMPRODUCT(--(H$1:H468=H469))&gt;0)</f>
        <v>0</v>
      </c>
    </row>
    <row r="470" spans="1:13" x14ac:dyDescent="0.25">
      <c r="A470" s="9" t="str">
        <f>IF(OR(B470="",M470,G470="— ignored"),"",MAX(A$1:A469)+1)</f>
        <v/>
      </c>
      <c r="B470" s="10"/>
      <c r="C470" s="11" t="str">
        <f>IF(I470="","",ROUND((I470+0.5*MAX(0,CEILING(ROUND((MAX(C$1:C469)-1/48-I470)/0.5,6),1)))*1440,0)/1440)</f>
        <v/>
      </c>
      <c r="D470" s="9" t="str" cm="1">
        <f t="array" ref="D470">IF(H470="","",IFERROR(INDEX(Log!$C$19:$G$19,VALUE(MID(H470,FIND("#",H470)+1,1))),""))</f>
        <v/>
      </c>
      <c r="E470" s="9" t="str" cm="1">
        <f t="array" ref="E470">IF(OR(H470="",M470),"",IFERROR(_xlfn.LET(_xlpm.t,SUBSTITUTE(UPPER(H470),"م","M"),_xlpm.u,SUBSTITUTE(_xlpm.t,"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70" s="12"/>
      <c r="G470" s="13" t="str">
        <f>IF(B470="","",IF(M470,"⚠ Duplicate (not counted)",IF(AND(I470="",D470="",E470=""),"— ignored",IF(C470="","⚠ Time",IF(D470="","⚠ Plant",IF(E470="","⚠ Quantity",IF(AND(ISNUMBER(L470),COUNTIF(L$1:L469,L470)&gt;0),"⚠ Same serial "&amp;L470,IF(AND(ISNUMBER(L470),L470&gt;MIN($L$2:$L$1001),COUNTIF($L$2:$L$1001,L470-1)=0,COUNTIF($L$2:$L$1001,L470-2)&lt;2),"⚠ Missing serial "&amp;(L470-1),IF(AND(MAX(K$1:K469)&gt;0,N(K470)-MAX(K$1:K469)&gt;180),"⚠ Gap &gt; 3h",IF(C470-I470&gt;=0.99,"next day",IF(C470-I470&gt;0.4,"12h → 24h","")))))))))))</f>
        <v/>
      </c>
      <c r="H470" s="4" t="str">
        <f t="shared" si="35"/>
        <v/>
      </c>
      <c r="I470" s="5" t="str">
        <f t="shared" si="36"/>
        <v/>
      </c>
      <c r="J470" s="6">
        <f t="shared" si="37"/>
        <v>0</v>
      </c>
      <c r="K470" s="4" t="str">
        <f t="shared" si="38"/>
        <v/>
      </c>
      <c r="L470" s="4" t="str">
        <f t="shared" si="39"/>
        <v/>
      </c>
      <c r="M470" s="4" t="b" cm="1">
        <f t="array" ref="M470">IF(H470="",FALSE,SUMPRODUCT(--(H$1:H469=H470))&gt;0)</f>
        <v>0</v>
      </c>
    </row>
    <row r="471" spans="1:13" x14ac:dyDescent="0.25">
      <c r="A471" s="9" t="str">
        <f>IF(OR(B471="",M471,G471="— ignored"),"",MAX(A$1:A470)+1)</f>
        <v/>
      </c>
      <c r="B471" s="10"/>
      <c r="C471" s="11" t="str">
        <f>IF(I471="","",ROUND((I471+0.5*MAX(0,CEILING(ROUND((MAX(C$1:C470)-1/48-I471)/0.5,6),1)))*1440,0)/1440)</f>
        <v/>
      </c>
      <c r="D471" s="9" t="str" cm="1">
        <f t="array" ref="D471">IF(H471="","",IFERROR(INDEX(Log!$C$19:$G$19,VALUE(MID(H471,FIND("#",H471)+1,1))),""))</f>
        <v/>
      </c>
      <c r="E471" s="9" t="str" cm="1">
        <f t="array" ref="E471">IF(OR(H471="",M471),"",IFERROR(_xlfn.LET(_xlpm.t,SUBSTITUTE(UPPER(H471),"م","M"),_xlpm.u,SUBSTITUTE(_xlpm.t,"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71" s="12"/>
      <c r="G471" s="13" t="str">
        <f>IF(B471="","",IF(M471,"⚠ Duplicate (not counted)",IF(AND(I471="",D471="",E471=""),"— ignored",IF(C471="","⚠ Time",IF(D471="","⚠ Plant",IF(E471="","⚠ Quantity",IF(AND(ISNUMBER(L471),COUNTIF(L$1:L470,L471)&gt;0),"⚠ Same serial "&amp;L471,IF(AND(ISNUMBER(L471),L471&gt;MIN($L$2:$L$1001),COUNTIF($L$2:$L$1001,L471-1)=0,COUNTIF($L$2:$L$1001,L471-2)&lt;2),"⚠ Missing serial "&amp;(L471-1),IF(AND(MAX(K$1:K470)&gt;0,N(K471)-MAX(K$1:K470)&gt;180),"⚠ Gap &gt; 3h",IF(C471-I471&gt;=0.99,"next day",IF(C471-I471&gt;0.4,"12h → 24h","")))))))))))</f>
        <v/>
      </c>
      <c r="H471" s="4" t="str">
        <f t="shared" si="35"/>
        <v/>
      </c>
      <c r="I471" s="5" t="str">
        <f t="shared" si="36"/>
        <v/>
      </c>
      <c r="J471" s="6">
        <f t="shared" si="37"/>
        <v>0</v>
      </c>
      <c r="K471" s="4" t="str">
        <f t="shared" si="38"/>
        <v/>
      </c>
      <c r="L471" s="4" t="str">
        <f t="shared" si="39"/>
        <v/>
      </c>
      <c r="M471" s="4" t="b" cm="1">
        <f t="array" ref="M471">IF(H471="",FALSE,SUMPRODUCT(--(H$1:H470=H471))&gt;0)</f>
        <v>0</v>
      </c>
    </row>
    <row r="472" spans="1:13" x14ac:dyDescent="0.25">
      <c r="A472" s="9" t="str">
        <f>IF(OR(B472="",M472,G472="— ignored"),"",MAX(A$1:A471)+1)</f>
        <v/>
      </c>
      <c r="B472" s="10"/>
      <c r="C472" s="11" t="str">
        <f>IF(I472="","",ROUND((I472+0.5*MAX(0,CEILING(ROUND((MAX(C$1:C471)-1/48-I472)/0.5,6),1)))*1440,0)/1440)</f>
        <v/>
      </c>
      <c r="D472" s="9" t="str" cm="1">
        <f t="array" ref="D472">IF(H472="","",IFERROR(INDEX(Log!$C$19:$G$19,VALUE(MID(H472,FIND("#",H472)+1,1))),""))</f>
        <v/>
      </c>
      <c r="E472" s="9" t="str" cm="1">
        <f t="array" ref="E472">IF(OR(H472="",M472),"",IFERROR(_xlfn.LET(_xlpm.t,SUBSTITUTE(UPPER(H472),"م","M"),_xlpm.u,SUBSTITUTE(_xlpm.t,"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72" s="12"/>
      <c r="G472" s="13" t="str">
        <f>IF(B472="","",IF(M472,"⚠ Duplicate (not counted)",IF(AND(I472="",D472="",E472=""),"— ignored",IF(C472="","⚠ Time",IF(D472="","⚠ Plant",IF(E472="","⚠ Quantity",IF(AND(ISNUMBER(L472),COUNTIF(L$1:L471,L472)&gt;0),"⚠ Same serial "&amp;L472,IF(AND(ISNUMBER(L472),L472&gt;MIN($L$2:$L$1001),COUNTIF($L$2:$L$1001,L472-1)=0,COUNTIF($L$2:$L$1001,L472-2)&lt;2),"⚠ Missing serial "&amp;(L472-1),IF(AND(MAX(K$1:K471)&gt;0,N(K472)-MAX(K$1:K471)&gt;180),"⚠ Gap &gt; 3h",IF(C472-I472&gt;=0.99,"next day",IF(C472-I472&gt;0.4,"12h → 24h","")))))))))))</f>
        <v/>
      </c>
      <c r="H472" s="4" t="str">
        <f t="shared" si="35"/>
        <v/>
      </c>
      <c r="I472" s="5" t="str">
        <f t="shared" si="36"/>
        <v/>
      </c>
      <c r="J472" s="6">
        <f t="shared" si="37"/>
        <v>0</v>
      </c>
      <c r="K472" s="4" t="str">
        <f t="shared" si="38"/>
        <v/>
      </c>
      <c r="L472" s="4" t="str">
        <f t="shared" si="39"/>
        <v/>
      </c>
      <c r="M472" s="4" t="b" cm="1">
        <f t="array" ref="M472">IF(H472="",FALSE,SUMPRODUCT(--(H$1:H471=H472))&gt;0)</f>
        <v>0</v>
      </c>
    </row>
    <row r="473" spans="1:13" x14ac:dyDescent="0.25">
      <c r="A473" s="9" t="str">
        <f>IF(OR(B473="",M473,G473="— ignored"),"",MAX(A$1:A472)+1)</f>
        <v/>
      </c>
      <c r="B473" s="10"/>
      <c r="C473" s="11" t="str">
        <f>IF(I473="","",ROUND((I473+0.5*MAX(0,CEILING(ROUND((MAX(C$1:C472)-1/48-I473)/0.5,6),1)))*1440,0)/1440)</f>
        <v/>
      </c>
      <c r="D473" s="9" t="str" cm="1">
        <f t="array" ref="D473">IF(H473="","",IFERROR(INDEX(Log!$C$19:$G$19,VALUE(MID(H473,FIND("#",H473)+1,1))),""))</f>
        <v/>
      </c>
      <c r="E473" s="9" t="str" cm="1">
        <f t="array" ref="E473">IF(OR(H473="",M473),"",IFERROR(_xlfn.LET(_xlpm.t,SUBSTITUTE(UPPER(H473),"م","M"),_xlpm.u,SUBSTITUTE(_xlpm.t,"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73" s="12"/>
      <c r="G473" s="13" t="str">
        <f>IF(B473="","",IF(M473,"⚠ Duplicate (not counted)",IF(AND(I473="",D473="",E473=""),"— ignored",IF(C473="","⚠ Time",IF(D473="","⚠ Plant",IF(E473="","⚠ Quantity",IF(AND(ISNUMBER(L473),COUNTIF(L$1:L472,L473)&gt;0),"⚠ Same serial "&amp;L473,IF(AND(ISNUMBER(L473),L473&gt;MIN($L$2:$L$1001),COUNTIF($L$2:$L$1001,L473-1)=0,COUNTIF($L$2:$L$1001,L473-2)&lt;2),"⚠ Missing serial "&amp;(L473-1),IF(AND(MAX(K$1:K472)&gt;0,N(K473)-MAX(K$1:K472)&gt;180),"⚠ Gap &gt; 3h",IF(C473-I473&gt;=0.99,"next day",IF(C473-I473&gt;0.4,"12h → 24h","")))))))))))</f>
        <v/>
      </c>
      <c r="H473" s="4" t="str">
        <f t="shared" si="35"/>
        <v/>
      </c>
      <c r="I473" s="5" t="str">
        <f t="shared" si="36"/>
        <v/>
      </c>
      <c r="J473" s="6">
        <f t="shared" si="37"/>
        <v>0</v>
      </c>
      <c r="K473" s="4" t="str">
        <f t="shared" si="38"/>
        <v/>
      </c>
      <c r="L473" s="4" t="str">
        <f t="shared" si="39"/>
        <v/>
      </c>
      <c r="M473" s="4" t="b" cm="1">
        <f t="array" ref="M473">IF(H473="",FALSE,SUMPRODUCT(--(H$1:H472=H473))&gt;0)</f>
        <v>0</v>
      </c>
    </row>
    <row r="474" spans="1:13" x14ac:dyDescent="0.25">
      <c r="A474" s="9" t="str">
        <f>IF(OR(B474="",M474,G474="— ignored"),"",MAX(A$1:A473)+1)</f>
        <v/>
      </c>
      <c r="B474" s="10"/>
      <c r="C474" s="11" t="str">
        <f>IF(I474="","",ROUND((I474+0.5*MAX(0,CEILING(ROUND((MAX(C$1:C473)-1/48-I474)/0.5,6),1)))*1440,0)/1440)</f>
        <v/>
      </c>
      <c r="D474" s="9" t="str" cm="1">
        <f t="array" ref="D474">IF(H474="","",IFERROR(INDEX(Log!$C$19:$G$19,VALUE(MID(H474,FIND("#",H474)+1,1))),""))</f>
        <v/>
      </c>
      <c r="E474" s="9" t="str" cm="1">
        <f t="array" ref="E474">IF(OR(H474="",M474),"",IFERROR(_xlfn.LET(_xlpm.t,SUBSTITUTE(UPPER(H474),"م","M"),_xlpm.u,SUBSTITUTE(_xlpm.t,"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74" s="12"/>
      <c r="G474" s="13" t="str">
        <f>IF(B474="","",IF(M474,"⚠ Duplicate (not counted)",IF(AND(I474="",D474="",E474=""),"— ignored",IF(C474="","⚠ Time",IF(D474="","⚠ Plant",IF(E474="","⚠ Quantity",IF(AND(ISNUMBER(L474),COUNTIF(L$1:L473,L474)&gt;0),"⚠ Same serial "&amp;L474,IF(AND(ISNUMBER(L474),L474&gt;MIN($L$2:$L$1001),COUNTIF($L$2:$L$1001,L474-1)=0,COUNTIF($L$2:$L$1001,L474-2)&lt;2),"⚠ Missing serial "&amp;(L474-1),IF(AND(MAX(K$1:K473)&gt;0,N(K474)-MAX(K$1:K473)&gt;180),"⚠ Gap &gt; 3h",IF(C474-I474&gt;=0.99,"next day",IF(C474-I474&gt;0.4,"12h → 24h","")))))))))))</f>
        <v/>
      </c>
      <c r="H474" s="4" t="str">
        <f t="shared" si="35"/>
        <v/>
      </c>
      <c r="I474" s="5" t="str">
        <f t="shared" si="36"/>
        <v/>
      </c>
      <c r="J474" s="6">
        <f t="shared" si="37"/>
        <v>0</v>
      </c>
      <c r="K474" s="4" t="str">
        <f t="shared" si="38"/>
        <v/>
      </c>
      <c r="L474" s="4" t="str">
        <f t="shared" si="39"/>
        <v/>
      </c>
      <c r="M474" s="4" t="b" cm="1">
        <f t="array" ref="M474">IF(H474="",FALSE,SUMPRODUCT(--(H$1:H473=H474))&gt;0)</f>
        <v>0</v>
      </c>
    </row>
    <row r="475" spans="1:13" x14ac:dyDescent="0.25">
      <c r="A475" s="9" t="str">
        <f>IF(OR(B475="",M475,G475="— ignored"),"",MAX(A$1:A474)+1)</f>
        <v/>
      </c>
      <c r="B475" s="10"/>
      <c r="C475" s="11" t="str">
        <f>IF(I475="","",ROUND((I475+0.5*MAX(0,CEILING(ROUND((MAX(C$1:C474)-1/48-I475)/0.5,6),1)))*1440,0)/1440)</f>
        <v/>
      </c>
      <c r="D475" s="9" t="str" cm="1">
        <f t="array" ref="D475">IF(H475="","",IFERROR(INDEX(Log!$C$19:$G$19,VALUE(MID(H475,FIND("#",H475)+1,1))),""))</f>
        <v/>
      </c>
      <c r="E475" s="9" t="str" cm="1">
        <f t="array" ref="E475">IF(OR(H475="",M475),"",IFERROR(_xlfn.LET(_xlpm.t,SUBSTITUTE(UPPER(H475),"م","M"),_xlpm.u,SUBSTITUTE(_xlpm.t,"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75" s="12"/>
      <c r="G475" s="13" t="str">
        <f>IF(B475="","",IF(M475,"⚠ Duplicate (not counted)",IF(AND(I475="",D475="",E475=""),"— ignored",IF(C475="","⚠ Time",IF(D475="","⚠ Plant",IF(E475="","⚠ Quantity",IF(AND(ISNUMBER(L475),COUNTIF(L$1:L474,L475)&gt;0),"⚠ Same serial "&amp;L475,IF(AND(ISNUMBER(L475),L475&gt;MIN($L$2:$L$1001),COUNTIF($L$2:$L$1001,L475-1)=0,COUNTIF($L$2:$L$1001,L475-2)&lt;2),"⚠ Missing serial "&amp;(L475-1),IF(AND(MAX(K$1:K474)&gt;0,N(K475)-MAX(K$1:K474)&gt;180),"⚠ Gap &gt; 3h",IF(C475-I475&gt;=0.99,"next day",IF(C475-I475&gt;0.4,"12h → 24h","")))))))))))</f>
        <v/>
      </c>
      <c r="H475" s="4" t="str">
        <f t="shared" si="35"/>
        <v/>
      </c>
      <c r="I475" s="5" t="str">
        <f t="shared" si="36"/>
        <v/>
      </c>
      <c r="J475" s="6">
        <f t="shared" si="37"/>
        <v>0</v>
      </c>
      <c r="K475" s="4" t="str">
        <f t="shared" si="38"/>
        <v/>
      </c>
      <c r="L475" s="4" t="str">
        <f t="shared" si="39"/>
        <v/>
      </c>
      <c r="M475" s="4" t="b" cm="1">
        <f t="array" ref="M475">IF(H475="",FALSE,SUMPRODUCT(--(H$1:H474=H475))&gt;0)</f>
        <v>0</v>
      </c>
    </row>
    <row r="476" spans="1:13" x14ac:dyDescent="0.25">
      <c r="A476" s="9" t="str">
        <f>IF(OR(B476="",M476,G476="— ignored"),"",MAX(A$1:A475)+1)</f>
        <v/>
      </c>
      <c r="B476" s="10"/>
      <c r="C476" s="11" t="str">
        <f>IF(I476="","",ROUND((I476+0.5*MAX(0,CEILING(ROUND((MAX(C$1:C475)-1/48-I476)/0.5,6),1)))*1440,0)/1440)</f>
        <v/>
      </c>
      <c r="D476" s="9" t="str" cm="1">
        <f t="array" ref="D476">IF(H476="","",IFERROR(INDEX(Log!$C$19:$G$19,VALUE(MID(H476,FIND("#",H476)+1,1))),""))</f>
        <v/>
      </c>
      <c r="E476" s="9" t="str" cm="1">
        <f t="array" ref="E476">IF(OR(H476="",M476),"",IFERROR(_xlfn.LET(_xlpm.t,SUBSTITUTE(UPPER(H476),"م","M"),_xlpm.u,SUBSTITUTE(_xlpm.t,"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76" s="12"/>
      <c r="G476" s="13" t="str">
        <f>IF(B476="","",IF(M476,"⚠ Duplicate (not counted)",IF(AND(I476="",D476="",E476=""),"— ignored",IF(C476="","⚠ Time",IF(D476="","⚠ Plant",IF(E476="","⚠ Quantity",IF(AND(ISNUMBER(L476),COUNTIF(L$1:L475,L476)&gt;0),"⚠ Same serial "&amp;L476,IF(AND(ISNUMBER(L476),L476&gt;MIN($L$2:$L$1001),COUNTIF($L$2:$L$1001,L476-1)=0,COUNTIF($L$2:$L$1001,L476-2)&lt;2),"⚠ Missing serial "&amp;(L476-1),IF(AND(MAX(K$1:K475)&gt;0,N(K476)-MAX(K$1:K475)&gt;180),"⚠ Gap &gt; 3h",IF(C476-I476&gt;=0.99,"next day",IF(C476-I476&gt;0.4,"12h → 24h","")))))))))))</f>
        <v/>
      </c>
      <c r="H476" s="4" t="str">
        <f t="shared" si="35"/>
        <v/>
      </c>
      <c r="I476" s="5" t="str">
        <f t="shared" si="36"/>
        <v/>
      </c>
      <c r="J476" s="6">
        <f t="shared" si="37"/>
        <v>0</v>
      </c>
      <c r="K476" s="4" t="str">
        <f t="shared" si="38"/>
        <v/>
      </c>
      <c r="L476" s="4" t="str">
        <f t="shared" si="39"/>
        <v/>
      </c>
      <c r="M476" s="4" t="b" cm="1">
        <f t="array" ref="M476">IF(H476="",FALSE,SUMPRODUCT(--(H$1:H475=H476))&gt;0)</f>
        <v>0</v>
      </c>
    </row>
    <row r="477" spans="1:13" x14ac:dyDescent="0.25">
      <c r="A477" s="9" t="str">
        <f>IF(OR(B477="",M477,G477="— ignored"),"",MAX(A$1:A476)+1)</f>
        <v/>
      </c>
      <c r="B477" s="10"/>
      <c r="C477" s="11" t="str">
        <f>IF(I477="","",ROUND((I477+0.5*MAX(0,CEILING(ROUND((MAX(C$1:C476)-1/48-I477)/0.5,6),1)))*1440,0)/1440)</f>
        <v/>
      </c>
      <c r="D477" s="9" t="str" cm="1">
        <f t="array" ref="D477">IF(H477="","",IFERROR(INDEX(Log!$C$19:$G$19,VALUE(MID(H477,FIND("#",H477)+1,1))),""))</f>
        <v/>
      </c>
      <c r="E477" s="9" t="str" cm="1">
        <f t="array" ref="E477">IF(OR(H477="",M477),"",IFERROR(_xlfn.LET(_xlpm.t,SUBSTITUTE(UPPER(H477),"م","M"),_xlpm.u,SUBSTITUTE(_xlpm.t,"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77" s="12"/>
      <c r="G477" s="13" t="str">
        <f>IF(B477="","",IF(M477,"⚠ Duplicate (not counted)",IF(AND(I477="",D477="",E477=""),"— ignored",IF(C477="","⚠ Time",IF(D477="","⚠ Plant",IF(E477="","⚠ Quantity",IF(AND(ISNUMBER(L477),COUNTIF(L$1:L476,L477)&gt;0),"⚠ Same serial "&amp;L477,IF(AND(ISNUMBER(L477),L477&gt;MIN($L$2:$L$1001),COUNTIF($L$2:$L$1001,L477-1)=0,COUNTIF($L$2:$L$1001,L477-2)&lt;2),"⚠ Missing serial "&amp;(L477-1),IF(AND(MAX(K$1:K476)&gt;0,N(K477)-MAX(K$1:K476)&gt;180),"⚠ Gap &gt; 3h",IF(C477-I477&gt;=0.99,"next day",IF(C477-I477&gt;0.4,"12h → 24h","")))))))))))</f>
        <v/>
      </c>
      <c r="H477" s="4" t="str">
        <f t="shared" si="35"/>
        <v/>
      </c>
      <c r="I477" s="5" t="str">
        <f t="shared" si="36"/>
        <v/>
      </c>
      <c r="J477" s="6">
        <f t="shared" si="37"/>
        <v>0</v>
      </c>
      <c r="K477" s="4" t="str">
        <f t="shared" si="38"/>
        <v/>
      </c>
      <c r="L477" s="4" t="str">
        <f t="shared" si="39"/>
        <v/>
      </c>
      <c r="M477" s="4" t="b" cm="1">
        <f t="array" ref="M477">IF(H477="",FALSE,SUMPRODUCT(--(H$1:H476=H477))&gt;0)</f>
        <v>0</v>
      </c>
    </row>
    <row r="478" spans="1:13" x14ac:dyDescent="0.25">
      <c r="A478" s="9" t="str">
        <f>IF(OR(B478="",M478,G478="— ignored"),"",MAX(A$1:A477)+1)</f>
        <v/>
      </c>
      <c r="B478" s="10"/>
      <c r="C478" s="11" t="str">
        <f>IF(I478="","",ROUND((I478+0.5*MAX(0,CEILING(ROUND((MAX(C$1:C477)-1/48-I478)/0.5,6),1)))*1440,0)/1440)</f>
        <v/>
      </c>
      <c r="D478" s="9" t="str" cm="1">
        <f t="array" ref="D478">IF(H478="","",IFERROR(INDEX(Log!$C$19:$G$19,VALUE(MID(H478,FIND("#",H478)+1,1))),""))</f>
        <v/>
      </c>
      <c r="E478" s="9" t="str" cm="1">
        <f t="array" ref="E478">IF(OR(H478="",M478),"",IFERROR(_xlfn.LET(_xlpm.t,SUBSTITUTE(UPPER(H478),"م","M"),_xlpm.u,SUBSTITUTE(_xlpm.t,"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78" s="12"/>
      <c r="G478" s="13" t="str">
        <f>IF(B478="","",IF(M478,"⚠ Duplicate (not counted)",IF(AND(I478="",D478="",E478=""),"— ignored",IF(C478="","⚠ Time",IF(D478="","⚠ Plant",IF(E478="","⚠ Quantity",IF(AND(ISNUMBER(L478),COUNTIF(L$1:L477,L478)&gt;0),"⚠ Same serial "&amp;L478,IF(AND(ISNUMBER(L478),L478&gt;MIN($L$2:$L$1001),COUNTIF($L$2:$L$1001,L478-1)=0,COUNTIF($L$2:$L$1001,L478-2)&lt;2),"⚠ Missing serial "&amp;(L478-1),IF(AND(MAX(K$1:K477)&gt;0,N(K478)-MAX(K$1:K477)&gt;180),"⚠ Gap &gt; 3h",IF(C478-I478&gt;=0.99,"next day",IF(C478-I478&gt;0.4,"12h → 24h","")))))))))))</f>
        <v/>
      </c>
      <c r="H478" s="4" t="str">
        <f t="shared" si="35"/>
        <v/>
      </c>
      <c r="I478" s="5" t="str">
        <f t="shared" si="36"/>
        <v/>
      </c>
      <c r="J478" s="6">
        <f t="shared" si="37"/>
        <v>0</v>
      </c>
      <c r="K478" s="4" t="str">
        <f t="shared" si="38"/>
        <v/>
      </c>
      <c r="L478" s="4" t="str">
        <f t="shared" si="39"/>
        <v/>
      </c>
      <c r="M478" s="4" t="b" cm="1">
        <f t="array" ref="M478">IF(H478="",FALSE,SUMPRODUCT(--(H$1:H477=H478))&gt;0)</f>
        <v>0</v>
      </c>
    </row>
    <row r="479" spans="1:13" x14ac:dyDescent="0.25">
      <c r="A479" s="9" t="str">
        <f>IF(OR(B479="",M479,G479="— ignored"),"",MAX(A$1:A478)+1)</f>
        <v/>
      </c>
      <c r="B479" s="10"/>
      <c r="C479" s="11" t="str">
        <f>IF(I479="","",ROUND((I479+0.5*MAX(0,CEILING(ROUND((MAX(C$1:C478)-1/48-I479)/0.5,6),1)))*1440,0)/1440)</f>
        <v/>
      </c>
      <c r="D479" s="9" t="str" cm="1">
        <f t="array" ref="D479">IF(H479="","",IFERROR(INDEX(Log!$C$19:$G$19,VALUE(MID(H479,FIND("#",H479)+1,1))),""))</f>
        <v/>
      </c>
      <c r="E479" s="9" t="str" cm="1">
        <f t="array" ref="E479">IF(OR(H479="",M479),"",IFERROR(_xlfn.LET(_xlpm.t,SUBSTITUTE(UPPER(H479),"م","M"),_xlpm.u,SUBSTITUTE(_xlpm.t,"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79" s="12"/>
      <c r="G479" s="13" t="str">
        <f>IF(B479="","",IF(M479,"⚠ Duplicate (not counted)",IF(AND(I479="",D479="",E479=""),"— ignored",IF(C479="","⚠ Time",IF(D479="","⚠ Plant",IF(E479="","⚠ Quantity",IF(AND(ISNUMBER(L479),COUNTIF(L$1:L478,L479)&gt;0),"⚠ Same serial "&amp;L479,IF(AND(ISNUMBER(L479),L479&gt;MIN($L$2:$L$1001),COUNTIF($L$2:$L$1001,L479-1)=0,COUNTIF($L$2:$L$1001,L479-2)&lt;2),"⚠ Missing serial "&amp;(L479-1),IF(AND(MAX(K$1:K478)&gt;0,N(K479)-MAX(K$1:K478)&gt;180),"⚠ Gap &gt; 3h",IF(C479-I479&gt;=0.99,"next day",IF(C479-I479&gt;0.4,"12h → 24h","")))))))))))</f>
        <v/>
      </c>
      <c r="H479" s="4" t="str">
        <f t="shared" si="35"/>
        <v/>
      </c>
      <c r="I479" s="5" t="str">
        <f t="shared" si="36"/>
        <v/>
      </c>
      <c r="J479" s="6">
        <f t="shared" si="37"/>
        <v>0</v>
      </c>
      <c r="K479" s="4" t="str">
        <f t="shared" si="38"/>
        <v/>
      </c>
      <c r="L479" s="4" t="str">
        <f t="shared" si="39"/>
        <v/>
      </c>
      <c r="M479" s="4" t="b" cm="1">
        <f t="array" ref="M479">IF(H479="",FALSE,SUMPRODUCT(--(H$1:H478=H479))&gt;0)</f>
        <v>0</v>
      </c>
    </row>
    <row r="480" spans="1:13" x14ac:dyDescent="0.25">
      <c r="A480" s="9" t="str">
        <f>IF(OR(B480="",M480,G480="— ignored"),"",MAX(A$1:A479)+1)</f>
        <v/>
      </c>
      <c r="B480" s="10"/>
      <c r="C480" s="11" t="str">
        <f>IF(I480="","",ROUND((I480+0.5*MAX(0,CEILING(ROUND((MAX(C$1:C479)-1/48-I480)/0.5,6),1)))*1440,0)/1440)</f>
        <v/>
      </c>
      <c r="D480" s="9" t="str" cm="1">
        <f t="array" ref="D480">IF(H480="","",IFERROR(INDEX(Log!$C$19:$G$19,VALUE(MID(H480,FIND("#",H480)+1,1))),""))</f>
        <v/>
      </c>
      <c r="E480" s="9" t="str" cm="1">
        <f t="array" ref="E480">IF(OR(H480="",M480),"",IFERROR(_xlfn.LET(_xlpm.t,SUBSTITUTE(UPPER(H480),"م","M"),_xlpm.u,SUBSTITUTE(_xlpm.t,"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80" s="12"/>
      <c r="G480" s="13" t="str">
        <f>IF(B480="","",IF(M480,"⚠ Duplicate (not counted)",IF(AND(I480="",D480="",E480=""),"— ignored",IF(C480="","⚠ Time",IF(D480="","⚠ Plant",IF(E480="","⚠ Quantity",IF(AND(ISNUMBER(L480),COUNTIF(L$1:L479,L480)&gt;0),"⚠ Same serial "&amp;L480,IF(AND(ISNUMBER(L480),L480&gt;MIN($L$2:$L$1001),COUNTIF($L$2:$L$1001,L480-1)=0,COUNTIF($L$2:$L$1001,L480-2)&lt;2),"⚠ Missing serial "&amp;(L480-1),IF(AND(MAX(K$1:K479)&gt;0,N(K480)-MAX(K$1:K479)&gt;180),"⚠ Gap &gt; 3h",IF(C480-I480&gt;=0.99,"next day",IF(C480-I480&gt;0.4,"12h → 24h","")))))))))))</f>
        <v/>
      </c>
      <c r="H480" s="4" t="str">
        <f t="shared" si="35"/>
        <v/>
      </c>
      <c r="I480" s="5" t="str">
        <f t="shared" si="36"/>
        <v/>
      </c>
      <c r="J480" s="6">
        <f t="shared" si="37"/>
        <v>0</v>
      </c>
      <c r="K480" s="4" t="str">
        <f t="shared" si="38"/>
        <v/>
      </c>
      <c r="L480" s="4" t="str">
        <f t="shared" si="39"/>
        <v/>
      </c>
      <c r="M480" s="4" t="b" cm="1">
        <f t="array" ref="M480">IF(H480="",FALSE,SUMPRODUCT(--(H$1:H479=H480))&gt;0)</f>
        <v>0</v>
      </c>
    </row>
    <row r="481" spans="1:13" x14ac:dyDescent="0.25">
      <c r="A481" s="9" t="str">
        <f>IF(OR(B481="",M481,G481="— ignored"),"",MAX(A$1:A480)+1)</f>
        <v/>
      </c>
      <c r="B481" s="10"/>
      <c r="C481" s="11" t="str">
        <f>IF(I481="","",ROUND((I481+0.5*MAX(0,CEILING(ROUND((MAX(C$1:C480)-1/48-I481)/0.5,6),1)))*1440,0)/1440)</f>
        <v/>
      </c>
      <c r="D481" s="9" t="str" cm="1">
        <f t="array" ref="D481">IF(H481="","",IFERROR(INDEX(Log!$C$19:$G$19,VALUE(MID(H481,FIND("#",H481)+1,1))),""))</f>
        <v/>
      </c>
      <c r="E481" s="9" t="str" cm="1">
        <f t="array" ref="E481">IF(OR(H481="",M481),"",IFERROR(_xlfn.LET(_xlpm.t,SUBSTITUTE(UPPER(H481),"م","M"),_xlpm.u,SUBSTITUTE(_xlpm.t,"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81" s="12"/>
      <c r="G481" s="13" t="str">
        <f>IF(B481="","",IF(M481,"⚠ Duplicate (not counted)",IF(AND(I481="",D481="",E481=""),"— ignored",IF(C481="","⚠ Time",IF(D481="","⚠ Plant",IF(E481="","⚠ Quantity",IF(AND(ISNUMBER(L481),COUNTIF(L$1:L480,L481)&gt;0),"⚠ Same serial "&amp;L481,IF(AND(ISNUMBER(L481),L481&gt;MIN($L$2:$L$1001),COUNTIF($L$2:$L$1001,L481-1)=0,COUNTIF($L$2:$L$1001,L481-2)&lt;2),"⚠ Missing serial "&amp;(L481-1),IF(AND(MAX(K$1:K480)&gt;0,N(K481)-MAX(K$1:K480)&gt;180),"⚠ Gap &gt; 3h",IF(C481-I481&gt;=0.99,"next day",IF(C481-I481&gt;0.4,"12h → 24h","")))))))))))</f>
        <v/>
      </c>
      <c r="H481" s="4" t="str">
        <f t="shared" si="35"/>
        <v/>
      </c>
      <c r="I481" s="5" t="str">
        <f t="shared" si="36"/>
        <v/>
      </c>
      <c r="J481" s="6">
        <f t="shared" si="37"/>
        <v>0</v>
      </c>
      <c r="K481" s="4" t="str">
        <f t="shared" si="38"/>
        <v/>
      </c>
      <c r="L481" s="4" t="str">
        <f t="shared" si="39"/>
        <v/>
      </c>
      <c r="M481" s="4" t="b" cm="1">
        <f t="array" ref="M481">IF(H481="",FALSE,SUMPRODUCT(--(H$1:H480=H481))&gt;0)</f>
        <v>0</v>
      </c>
    </row>
    <row r="482" spans="1:13" x14ac:dyDescent="0.25">
      <c r="A482" s="9" t="str">
        <f>IF(OR(B482="",M482,G482="— ignored"),"",MAX(A$1:A481)+1)</f>
        <v/>
      </c>
      <c r="B482" s="10"/>
      <c r="C482" s="11" t="str">
        <f>IF(I482="","",ROUND((I482+0.5*MAX(0,CEILING(ROUND((MAX(C$1:C481)-1/48-I482)/0.5,6),1)))*1440,0)/1440)</f>
        <v/>
      </c>
      <c r="D482" s="9" t="str" cm="1">
        <f t="array" ref="D482">IF(H482="","",IFERROR(INDEX(Log!$C$19:$G$19,VALUE(MID(H482,FIND("#",H482)+1,1))),""))</f>
        <v/>
      </c>
      <c r="E482" s="9" t="str" cm="1">
        <f t="array" ref="E482">IF(OR(H482="",M482),"",IFERROR(_xlfn.LET(_xlpm.t,SUBSTITUTE(UPPER(H482),"م","M"),_xlpm.u,SUBSTITUTE(_xlpm.t,"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82" s="12"/>
      <c r="G482" s="13" t="str">
        <f>IF(B482="","",IF(M482,"⚠ Duplicate (not counted)",IF(AND(I482="",D482="",E482=""),"— ignored",IF(C482="","⚠ Time",IF(D482="","⚠ Plant",IF(E482="","⚠ Quantity",IF(AND(ISNUMBER(L482),COUNTIF(L$1:L481,L482)&gt;0),"⚠ Same serial "&amp;L482,IF(AND(ISNUMBER(L482),L482&gt;MIN($L$2:$L$1001),COUNTIF($L$2:$L$1001,L482-1)=0,COUNTIF($L$2:$L$1001,L482-2)&lt;2),"⚠ Missing serial "&amp;(L482-1),IF(AND(MAX(K$1:K481)&gt;0,N(K482)-MAX(K$1:K481)&gt;180),"⚠ Gap &gt; 3h",IF(C482-I482&gt;=0.99,"next day",IF(C482-I482&gt;0.4,"12h → 24h","")))))))))))</f>
        <v/>
      </c>
      <c r="H482" s="4" t="str">
        <f t="shared" si="35"/>
        <v/>
      </c>
      <c r="I482" s="5" t="str">
        <f t="shared" si="36"/>
        <v/>
      </c>
      <c r="J482" s="6">
        <f t="shared" si="37"/>
        <v>0</v>
      </c>
      <c r="K482" s="4" t="str">
        <f t="shared" si="38"/>
        <v/>
      </c>
      <c r="L482" s="4" t="str">
        <f t="shared" si="39"/>
        <v/>
      </c>
      <c r="M482" s="4" t="b" cm="1">
        <f t="array" ref="M482">IF(H482="",FALSE,SUMPRODUCT(--(H$1:H481=H482))&gt;0)</f>
        <v>0</v>
      </c>
    </row>
    <row r="483" spans="1:13" x14ac:dyDescent="0.25">
      <c r="A483" s="9" t="str">
        <f>IF(OR(B483="",M483,G483="— ignored"),"",MAX(A$1:A482)+1)</f>
        <v/>
      </c>
      <c r="B483" s="10"/>
      <c r="C483" s="11" t="str">
        <f>IF(I483="","",ROUND((I483+0.5*MAX(0,CEILING(ROUND((MAX(C$1:C482)-1/48-I483)/0.5,6),1)))*1440,0)/1440)</f>
        <v/>
      </c>
      <c r="D483" s="9" t="str" cm="1">
        <f t="array" ref="D483">IF(H483="","",IFERROR(INDEX(Log!$C$19:$G$19,VALUE(MID(H483,FIND("#",H483)+1,1))),""))</f>
        <v/>
      </c>
      <c r="E483" s="9" t="str" cm="1">
        <f t="array" ref="E483">IF(OR(H483="",M483),"",IFERROR(_xlfn.LET(_xlpm.t,SUBSTITUTE(UPPER(H483),"م","M"),_xlpm.u,SUBSTITUTE(_xlpm.t,"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83" s="12"/>
      <c r="G483" s="13" t="str">
        <f>IF(B483="","",IF(M483,"⚠ Duplicate (not counted)",IF(AND(I483="",D483="",E483=""),"— ignored",IF(C483="","⚠ Time",IF(D483="","⚠ Plant",IF(E483="","⚠ Quantity",IF(AND(ISNUMBER(L483),COUNTIF(L$1:L482,L483)&gt;0),"⚠ Same serial "&amp;L483,IF(AND(ISNUMBER(L483),L483&gt;MIN($L$2:$L$1001),COUNTIF($L$2:$L$1001,L483-1)=0,COUNTIF($L$2:$L$1001,L483-2)&lt;2),"⚠ Missing serial "&amp;(L483-1),IF(AND(MAX(K$1:K482)&gt;0,N(K483)-MAX(K$1:K482)&gt;180),"⚠ Gap &gt; 3h",IF(C483-I483&gt;=0.99,"next day",IF(C483-I483&gt;0.4,"12h → 24h","")))))))))))</f>
        <v/>
      </c>
      <c r="H483" s="4" t="str">
        <f t="shared" si="35"/>
        <v/>
      </c>
      <c r="I483" s="5" t="str">
        <f t="shared" si="36"/>
        <v/>
      </c>
      <c r="J483" s="6">
        <f t="shared" si="37"/>
        <v>0</v>
      </c>
      <c r="K483" s="4" t="str">
        <f t="shared" si="38"/>
        <v/>
      </c>
      <c r="L483" s="4" t="str">
        <f t="shared" si="39"/>
        <v/>
      </c>
      <c r="M483" s="4" t="b" cm="1">
        <f t="array" ref="M483">IF(H483="",FALSE,SUMPRODUCT(--(H$1:H482=H483))&gt;0)</f>
        <v>0</v>
      </c>
    </row>
    <row r="484" spans="1:13" x14ac:dyDescent="0.25">
      <c r="A484" s="9" t="str">
        <f>IF(OR(B484="",M484,G484="— ignored"),"",MAX(A$1:A483)+1)</f>
        <v/>
      </c>
      <c r="B484" s="10"/>
      <c r="C484" s="11" t="str">
        <f>IF(I484="","",ROUND((I484+0.5*MAX(0,CEILING(ROUND((MAX(C$1:C483)-1/48-I484)/0.5,6),1)))*1440,0)/1440)</f>
        <v/>
      </c>
      <c r="D484" s="9" t="str" cm="1">
        <f t="array" ref="D484">IF(H484="","",IFERROR(INDEX(Log!$C$19:$G$19,VALUE(MID(H484,FIND("#",H484)+1,1))),""))</f>
        <v/>
      </c>
      <c r="E484" s="9" t="str" cm="1">
        <f t="array" ref="E484">IF(OR(H484="",M484),"",IFERROR(_xlfn.LET(_xlpm.t,SUBSTITUTE(UPPER(H484),"م","M"),_xlpm.u,SUBSTITUTE(_xlpm.t,"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84" s="12"/>
      <c r="G484" s="13" t="str">
        <f>IF(B484="","",IF(M484,"⚠ Duplicate (not counted)",IF(AND(I484="",D484="",E484=""),"— ignored",IF(C484="","⚠ Time",IF(D484="","⚠ Plant",IF(E484="","⚠ Quantity",IF(AND(ISNUMBER(L484),COUNTIF(L$1:L483,L484)&gt;0),"⚠ Same serial "&amp;L484,IF(AND(ISNUMBER(L484),L484&gt;MIN($L$2:$L$1001),COUNTIF($L$2:$L$1001,L484-1)=0,COUNTIF($L$2:$L$1001,L484-2)&lt;2),"⚠ Missing serial "&amp;(L484-1),IF(AND(MAX(K$1:K483)&gt;0,N(K484)-MAX(K$1:K483)&gt;180),"⚠ Gap &gt; 3h",IF(C484-I484&gt;=0.99,"next day",IF(C484-I484&gt;0.4,"12h → 24h","")))))))))))</f>
        <v/>
      </c>
      <c r="H484" s="4" t="str">
        <f t="shared" si="35"/>
        <v/>
      </c>
      <c r="I484" s="5" t="str">
        <f t="shared" si="36"/>
        <v/>
      </c>
      <c r="J484" s="6">
        <f t="shared" si="37"/>
        <v>0</v>
      </c>
      <c r="K484" s="4" t="str">
        <f t="shared" si="38"/>
        <v/>
      </c>
      <c r="L484" s="4" t="str">
        <f t="shared" si="39"/>
        <v/>
      </c>
      <c r="M484" s="4" t="b" cm="1">
        <f t="array" ref="M484">IF(H484="",FALSE,SUMPRODUCT(--(H$1:H483=H484))&gt;0)</f>
        <v>0</v>
      </c>
    </row>
    <row r="485" spans="1:13" x14ac:dyDescent="0.25">
      <c r="A485" s="9" t="str">
        <f>IF(OR(B485="",M485,G485="— ignored"),"",MAX(A$1:A484)+1)</f>
        <v/>
      </c>
      <c r="B485" s="10"/>
      <c r="C485" s="11" t="str">
        <f>IF(I485="","",ROUND((I485+0.5*MAX(0,CEILING(ROUND((MAX(C$1:C484)-1/48-I485)/0.5,6),1)))*1440,0)/1440)</f>
        <v/>
      </c>
      <c r="D485" s="9" t="str" cm="1">
        <f t="array" ref="D485">IF(H485="","",IFERROR(INDEX(Log!$C$19:$G$19,VALUE(MID(H485,FIND("#",H485)+1,1))),""))</f>
        <v/>
      </c>
      <c r="E485" s="9" t="str" cm="1">
        <f t="array" ref="E485">IF(OR(H485="",M485),"",IFERROR(_xlfn.LET(_xlpm.t,SUBSTITUTE(UPPER(H485),"م","M"),_xlpm.u,SUBSTITUTE(_xlpm.t,"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85" s="12"/>
      <c r="G485" s="13" t="str">
        <f>IF(B485="","",IF(M485,"⚠ Duplicate (not counted)",IF(AND(I485="",D485="",E485=""),"— ignored",IF(C485="","⚠ Time",IF(D485="","⚠ Plant",IF(E485="","⚠ Quantity",IF(AND(ISNUMBER(L485),COUNTIF(L$1:L484,L485)&gt;0),"⚠ Same serial "&amp;L485,IF(AND(ISNUMBER(L485),L485&gt;MIN($L$2:$L$1001),COUNTIF($L$2:$L$1001,L485-1)=0,COUNTIF($L$2:$L$1001,L485-2)&lt;2),"⚠ Missing serial "&amp;(L485-1),IF(AND(MAX(K$1:K484)&gt;0,N(K485)-MAX(K$1:K484)&gt;180),"⚠ Gap &gt; 3h",IF(C485-I485&gt;=0.99,"next day",IF(C485-I485&gt;0.4,"12h → 24h","")))))))))))</f>
        <v/>
      </c>
      <c r="H485" s="4" t="str">
        <f t="shared" si="35"/>
        <v/>
      </c>
      <c r="I485" s="5" t="str">
        <f t="shared" si="36"/>
        <v/>
      </c>
      <c r="J485" s="6">
        <f t="shared" si="37"/>
        <v>0</v>
      </c>
      <c r="K485" s="4" t="str">
        <f t="shared" si="38"/>
        <v/>
      </c>
      <c r="L485" s="4" t="str">
        <f t="shared" si="39"/>
        <v/>
      </c>
      <c r="M485" s="4" t="b" cm="1">
        <f t="array" ref="M485">IF(H485="",FALSE,SUMPRODUCT(--(H$1:H484=H485))&gt;0)</f>
        <v>0</v>
      </c>
    </row>
    <row r="486" spans="1:13" x14ac:dyDescent="0.25">
      <c r="A486" s="9" t="str">
        <f>IF(OR(B486="",M486,G486="— ignored"),"",MAX(A$1:A485)+1)</f>
        <v/>
      </c>
      <c r="B486" s="10"/>
      <c r="C486" s="11" t="str">
        <f>IF(I486="","",ROUND((I486+0.5*MAX(0,CEILING(ROUND((MAX(C$1:C485)-1/48-I486)/0.5,6),1)))*1440,0)/1440)</f>
        <v/>
      </c>
      <c r="D486" s="9" t="str" cm="1">
        <f t="array" ref="D486">IF(H486="","",IFERROR(INDEX(Log!$C$19:$G$19,VALUE(MID(H486,FIND("#",H486)+1,1))),""))</f>
        <v/>
      </c>
      <c r="E486" s="9" t="str" cm="1">
        <f t="array" ref="E486">IF(OR(H486="",M486),"",IFERROR(_xlfn.LET(_xlpm.t,SUBSTITUTE(UPPER(H486),"م","M"),_xlpm.u,SUBSTITUTE(_xlpm.t,"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86" s="12"/>
      <c r="G486" s="13" t="str">
        <f>IF(B486="","",IF(M486,"⚠ Duplicate (not counted)",IF(AND(I486="",D486="",E486=""),"— ignored",IF(C486="","⚠ Time",IF(D486="","⚠ Plant",IF(E486="","⚠ Quantity",IF(AND(ISNUMBER(L486),COUNTIF(L$1:L485,L486)&gt;0),"⚠ Same serial "&amp;L486,IF(AND(ISNUMBER(L486),L486&gt;MIN($L$2:$L$1001),COUNTIF($L$2:$L$1001,L486-1)=0,COUNTIF($L$2:$L$1001,L486-2)&lt;2),"⚠ Missing serial "&amp;(L486-1),IF(AND(MAX(K$1:K485)&gt;0,N(K486)-MAX(K$1:K485)&gt;180),"⚠ Gap &gt; 3h",IF(C486-I486&gt;=0.99,"next day",IF(C486-I486&gt;0.4,"12h → 24h","")))))))))))</f>
        <v/>
      </c>
      <c r="H486" s="4" t="str">
        <f t="shared" si="35"/>
        <v/>
      </c>
      <c r="I486" s="5" t="str">
        <f t="shared" si="36"/>
        <v/>
      </c>
      <c r="J486" s="6">
        <f t="shared" si="37"/>
        <v>0</v>
      </c>
      <c r="K486" s="4" t="str">
        <f t="shared" si="38"/>
        <v/>
      </c>
      <c r="L486" s="4" t="str">
        <f t="shared" si="39"/>
        <v/>
      </c>
      <c r="M486" s="4" t="b" cm="1">
        <f t="array" ref="M486">IF(H486="",FALSE,SUMPRODUCT(--(H$1:H485=H486))&gt;0)</f>
        <v>0</v>
      </c>
    </row>
    <row r="487" spans="1:13" x14ac:dyDescent="0.25">
      <c r="A487" s="9" t="str">
        <f>IF(OR(B487="",M487,G487="— ignored"),"",MAX(A$1:A486)+1)</f>
        <v/>
      </c>
      <c r="B487" s="10"/>
      <c r="C487" s="11" t="str">
        <f>IF(I487="","",ROUND((I487+0.5*MAX(0,CEILING(ROUND((MAX(C$1:C486)-1/48-I487)/0.5,6),1)))*1440,0)/1440)</f>
        <v/>
      </c>
      <c r="D487" s="9" t="str" cm="1">
        <f t="array" ref="D487">IF(H487="","",IFERROR(INDEX(Log!$C$19:$G$19,VALUE(MID(H487,FIND("#",H487)+1,1))),""))</f>
        <v/>
      </c>
      <c r="E487" s="9" t="str" cm="1">
        <f t="array" ref="E487">IF(OR(H487="",M487),"",IFERROR(_xlfn.LET(_xlpm.t,SUBSTITUTE(UPPER(H487),"م","M"),_xlpm.u,SUBSTITUTE(_xlpm.t,"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87" s="12"/>
      <c r="G487" s="13" t="str">
        <f>IF(B487="","",IF(M487,"⚠ Duplicate (not counted)",IF(AND(I487="",D487="",E487=""),"— ignored",IF(C487="","⚠ Time",IF(D487="","⚠ Plant",IF(E487="","⚠ Quantity",IF(AND(ISNUMBER(L487),COUNTIF(L$1:L486,L487)&gt;0),"⚠ Same serial "&amp;L487,IF(AND(ISNUMBER(L487),L487&gt;MIN($L$2:$L$1001),COUNTIF($L$2:$L$1001,L487-1)=0,COUNTIF($L$2:$L$1001,L487-2)&lt;2),"⚠ Missing serial "&amp;(L487-1),IF(AND(MAX(K$1:K486)&gt;0,N(K487)-MAX(K$1:K486)&gt;180),"⚠ Gap &gt; 3h",IF(C487-I487&gt;=0.99,"next day",IF(C487-I487&gt;0.4,"12h → 24h","")))))))))))</f>
        <v/>
      </c>
      <c r="H487" s="4" t="str">
        <f t="shared" si="35"/>
        <v/>
      </c>
      <c r="I487" s="5" t="str">
        <f t="shared" si="36"/>
        <v/>
      </c>
      <c r="J487" s="6">
        <f t="shared" si="37"/>
        <v>0</v>
      </c>
      <c r="K487" s="4" t="str">
        <f t="shared" si="38"/>
        <v/>
      </c>
      <c r="L487" s="4" t="str">
        <f t="shared" si="39"/>
        <v/>
      </c>
      <c r="M487" s="4" t="b" cm="1">
        <f t="array" ref="M487">IF(H487="",FALSE,SUMPRODUCT(--(H$1:H486=H487))&gt;0)</f>
        <v>0</v>
      </c>
    </row>
    <row r="488" spans="1:13" x14ac:dyDescent="0.25">
      <c r="A488" s="9" t="str">
        <f>IF(OR(B488="",M488,G488="— ignored"),"",MAX(A$1:A487)+1)</f>
        <v/>
      </c>
      <c r="B488" s="10"/>
      <c r="C488" s="11" t="str">
        <f>IF(I488="","",ROUND((I488+0.5*MAX(0,CEILING(ROUND((MAX(C$1:C487)-1/48-I488)/0.5,6),1)))*1440,0)/1440)</f>
        <v/>
      </c>
      <c r="D488" s="9" t="str" cm="1">
        <f t="array" ref="D488">IF(H488="","",IFERROR(INDEX(Log!$C$19:$G$19,VALUE(MID(H488,FIND("#",H488)+1,1))),""))</f>
        <v/>
      </c>
      <c r="E488" s="9" t="str" cm="1">
        <f t="array" ref="E488">IF(OR(H488="",M488),"",IFERROR(_xlfn.LET(_xlpm.t,SUBSTITUTE(UPPER(H488),"م","M"),_xlpm.u,SUBSTITUTE(_xlpm.t,"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88" s="12"/>
      <c r="G488" s="13" t="str">
        <f>IF(B488="","",IF(M488,"⚠ Duplicate (not counted)",IF(AND(I488="",D488="",E488=""),"— ignored",IF(C488="","⚠ Time",IF(D488="","⚠ Plant",IF(E488="","⚠ Quantity",IF(AND(ISNUMBER(L488),COUNTIF(L$1:L487,L488)&gt;0),"⚠ Same serial "&amp;L488,IF(AND(ISNUMBER(L488),L488&gt;MIN($L$2:$L$1001),COUNTIF($L$2:$L$1001,L488-1)=0,COUNTIF($L$2:$L$1001,L488-2)&lt;2),"⚠ Missing serial "&amp;(L488-1),IF(AND(MAX(K$1:K487)&gt;0,N(K488)-MAX(K$1:K487)&gt;180),"⚠ Gap &gt; 3h",IF(C488-I488&gt;=0.99,"next day",IF(C488-I488&gt;0.4,"12h → 24h","")))))))))))</f>
        <v/>
      </c>
      <c r="H488" s="4" t="str">
        <f t="shared" si="35"/>
        <v/>
      </c>
      <c r="I488" s="5" t="str">
        <f t="shared" si="36"/>
        <v/>
      </c>
      <c r="J488" s="6">
        <f t="shared" si="37"/>
        <v>0</v>
      </c>
      <c r="K488" s="4" t="str">
        <f t="shared" si="38"/>
        <v/>
      </c>
      <c r="L488" s="4" t="str">
        <f t="shared" si="39"/>
        <v/>
      </c>
      <c r="M488" s="4" t="b" cm="1">
        <f t="array" ref="M488">IF(H488="",FALSE,SUMPRODUCT(--(H$1:H487=H488))&gt;0)</f>
        <v>0</v>
      </c>
    </row>
    <row r="489" spans="1:13" x14ac:dyDescent="0.25">
      <c r="A489" s="9" t="str">
        <f>IF(OR(B489="",M489,G489="— ignored"),"",MAX(A$1:A488)+1)</f>
        <v/>
      </c>
      <c r="B489" s="10"/>
      <c r="C489" s="11" t="str">
        <f>IF(I489="","",ROUND((I489+0.5*MAX(0,CEILING(ROUND((MAX(C$1:C488)-1/48-I489)/0.5,6),1)))*1440,0)/1440)</f>
        <v/>
      </c>
      <c r="D489" s="9" t="str" cm="1">
        <f t="array" ref="D489">IF(H489="","",IFERROR(INDEX(Log!$C$19:$G$19,VALUE(MID(H489,FIND("#",H489)+1,1))),""))</f>
        <v/>
      </c>
      <c r="E489" s="9" t="str" cm="1">
        <f t="array" ref="E489">IF(OR(H489="",M489),"",IFERROR(_xlfn.LET(_xlpm.t,SUBSTITUTE(UPPER(H489),"م","M"),_xlpm.u,SUBSTITUTE(_xlpm.t,"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89" s="12"/>
      <c r="G489" s="13" t="str">
        <f>IF(B489="","",IF(M489,"⚠ Duplicate (not counted)",IF(AND(I489="",D489="",E489=""),"— ignored",IF(C489="","⚠ Time",IF(D489="","⚠ Plant",IF(E489="","⚠ Quantity",IF(AND(ISNUMBER(L489),COUNTIF(L$1:L488,L489)&gt;0),"⚠ Same serial "&amp;L489,IF(AND(ISNUMBER(L489),L489&gt;MIN($L$2:$L$1001),COUNTIF($L$2:$L$1001,L489-1)=0,COUNTIF($L$2:$L$1001,L489-2)&lt;2),"⚠ Missing serial "&amp;(L489-1),IF(AND(MAX(K$1:K488)&gt;0,N(K489)-MAX(K$1:K488)&gt;180),"⚠ Gap &gt; 3h",IF(C489-I489&gt;=0.99,"next day",IF(C489-I489&gt;0.4,"12h → 24h","")))))))))))</f>
        <v/>
      </c>
      <c r="H489" s="4" t="str">
        <f t="shared" si="35"/>
        <v/>
      </c>
      <c r="I489" s="5" t="str">
        <f t="shared" si="36"/>
        <v/>
      </c>
      <c r="J489" s="6">
        <f t="shared" si="37"/>
        <v>0</v>
      </c>
      <c r="K489" s="4" t="str">
        <f t="shared" si="38"/>
        <v/>
      </c>
      <c r="L489" s="4" t="str">
        <f t="shared" si="39"/>
        <v/>
      </c>
      <c r="M489" s="4" t="b" cm="1">
        <f t="array" ref="M489">IF(H489="",FALSE,SUMPRODUCT(--(H$1:H488=H489))&gt;0)</f>
        <v>0</v>
      </c>
    </row>
    <row r="490" spans="1:13" x14ac:dyDescent="0.25">
      <c r="A490" s="9" t="str">
        <f>IF(OR(B490="",M490,G490="— ignored"),"",MAX(A$1:A489)+1)</f>
        <v/>
      </c>
      <c r="B490" s="10"/>
      <c r="C490" s="11" t="str">
        <f>IF(I490="","",ROUND((I490+0.5*MAX(0,CEILING(ROUND((MAX(C$1:C489)-1/48-I490)/0.5,6),1)))*1440,0)/1440)</f>
        <v/>
      </c>
      <c r="D490" s="9" t="str" cm="1">
        <f t="array" ref="D490">IF(H490="","",IFERROR(INDEX(Log!$C$19:$G$19,VALUE(MID(H490,FIND("#",H490)+1,1))),""))</f>
        <v/>
      </c>
      <c r="E490" s="9" t="str" cm="1">
        <f t="array" ref="E490">IF(OR(H490="",M490),"",IFERROR(_xlfn.LET(_xlpm.t,SUBSTITUTE(UPPER(H490),"م","M"),_xlpm.u,SUBSTITUTE(_xlpm.t,"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90" s="12"/>
      <c r="G490" s="13" t="str">
        <f>IF(B490="","",IF(M490,"⚠ Duplicate (not counted)",IF(AND(I490="",D490="",E490=""),"— ignored",IF(C490="","⚠ Time",IF(D490="","⚠ Plant",IF(E490="","⚠ Quantity",IF(AND(ISNUMBER(L490),COUNTIF(L$1:L489,L490)&gt;0),"⚠ Same serial "&amp;L490,IF(AND(ISNUMBER(L490),L490&gt;MIN($L$2:$L$1001),COUNTIF($L$2:$L$1001,L490-1)=0,COUNTIF($L$2:$L$1001,L490-2)&lt;2),"⚠ Missing serial "&amp;(L490-1),IF(AND(MAX(K$1:K489)&gt;0,N(K490)-MAX(K$1:K489)&gt;180),"⚠ Gap &gt; 3h",IF(C490-I490&gt;=0.99,"next day",IF(C490-I490&gt;0.4,"12h → 24h","")))))))))))</f>
        <v/>
      </c>
      <c r="H490" s="4" t="str">
        <f t="shared" si="35"/>
        <v/>
      </c>
      <c r="I490" s="5" t="str">
        <f t="shared" si="36"/>
        <v/>
      </c>
      <c r="J490" s="6">
        <f t="shared" si="37"/>
        <v>0</v>
      </c>
      <c r="K490" s="4" t="str">
        <f t="shared" si="38"/>
        <v/>
      </c>
      <c r="L490" s="4" t="str">
        <f t="shared" si="39"/>
        <v/>
      </c>
      <c r="M490" s="4" t="b" cm="1">
        <f t="array" ref="M490">IF(H490="",FALSE,SUMPRODUCT(--(H$1:H489=H490))&gt;0)</f>
        <v>0</v>
      </c>
    </row>
    <row r="491" spans="1:13" x14ac:dyDescent="0.25">
      <c r="A491" s="9" t="str">
        <f>IF(OR(B491="",M491,G491="— ignored"),"",MAX(A$1:A490)+1)</f>
        <v/>
      </c>
      <c r="B491" s="10"/>
      <c r="C491" s="11" t="str">
        <f>IF(I491="","",ROUND((I491+0.5*MAX(0,CEILING(ROUND((MAX(C$1:C490)-1/48-I491)/0.5,6),1)))*1440,0)/1440)</f>
        <v/>
      </c>
      <c r="D491" s="9" t="str" cm="1">
        <f t="array" ref="D491">IF(H491="","",IFERROR(INDEX(Log!$C$19:$G$19,VALUE(MID(H491,FIND("#",H491)+1,1))),""))</f>
        <v/>
      </c>
      <c r="E491" s="9" t="str" cm="1">
        <f t="array" ref="E491">IF(OR(H491="",M491),"",IFERROR(_xlfn.LET(_xlpm.t,SUBSTITUTE(UPPER(H491),"م","M"),_xlpm.u,SUBSTITUTE(_xlpm.t,"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91" s="12"/>
      <c r="G491" s="13" t="str">
        <f>IF(B491="","",IF(M491,"⚠ Duplicate (not counted)",IF(AND(I491="",D491="",E491=""),"— ignored",IF(C491="","⚠ Time",IF(D491="","⚠ Plant",IF(E491="","⚠ Quantity",IF(AND(ISNUMBER(L491),COUNTIF(L$1:L490,L491)&gt;0),"⚠ Same serial "&amp;L491,IF(AND(ISNUMBER(L491),L491&gt;MIN($L$2:$L$1001),COUNTIF($L$2:$L$1001,L491-1)=0,COUNTIF($L$2:$L$1001,L491-2)&lt;2),"⚠ Missing serial "&amp;(L491-1),IF(AND(MAX(K$1:K490)&gt;0,N(K491)-MAX(K$1:K490)&gt;180),"⚠ Gap &gt; 3h",IF(C491-I491&gt;=0.99,"next day",IF(C491-I491&gt;0.4,"12h → 24h","")))))))))))</f>
        <v/>
      </c>
      <c r="H491" s="4" t="str">
        <f t="shared" si="35"/>
        <v/>
      </c>
      <c r="I491" s="5" t="str">
        <f t="shared" si="36"/>
        <v/>
      </c>
      <c r="J491" s="6">
        <f t="shared" si="37"/>
        <v>0</v>
      </c>
      <c r="K491" s="4" t="str">
        <f t="shared" si="38"/>
        <v/>
      </c>
      <c r="L491" s="4" t="str">
        <f t="shared" si="39"/>
        <v/>
      </c>
      <c r="M491" s="4" t="b" cm="1">
        <f t="array" ref="M491">IF(H491="",FALSE,SUMPRODUCT(--(H$1:H490=H491))&gt;0)</f>
        <v>0</v>
      </c>
    </row>
    <row r="492" spans="1:13" x14ac:dyDescent="0.25">
      <c r="A492" s="9" t="str">
        <f>IF(OR(B492="",M492,G492="— ignored"),"",MAX(A$1:A491)+1)</f>
        <v/>
      </c>
      <c r="B492" s="10"/>
      <c r="C492" s="11" t="str">
        <f>IF(I492="","",ROUND((I492+0.5*MAX(0,CEILING(ROUND((MAX(C$1:C491)-1/48-I492)/0.5,6),1)))*1440,0)/1440)</f>
        <v/>
      </c>
      <c r="D492" s="9" t="str" cm="1">
        <f t="array" ref="D492">IF(H492="","",IFERROR(INDEX(Log!$C$19:$G$19,VALUE(MID(H492,FIND("#",H492)+1,1))),""))</f>
        <v/>
      </c>
      <c r="E492" s="9" t="str" cm="1">
        <f t="array" ref="E492">IF(OR(H492="",M492),"",IFERROR(_xlfn.LET(_xlpm.t,SUBSTITUTE(UPPER(H492),"م","M"),_xlpm.u,SUBSTITUTE(_xlpm.t,"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92" s="12"/>
      <c r="G492" s="13" t="str">
        <f>IF(B492="","",IF(M492,"⚠ Duplicate (not counted)",IF(AND(I492="",D492="",E492=""),"— ignored",IF(C492="","⚠ Time",IF(D492="","⚠ Plant",IF(E492="","⚠ Quantity",IF(AND(ISNUMBER(L492),COUNTIF(L$1:L491,L492)&gt;0),"⚠ Same serial "&amp;L492,IF(AND(ISNUMBER(L492),L492&gt;MIN($L$2:$L$1001),COUNTIF($L$2:$L$1001,L492-1)=0,COUNTIF($L$2:$L$1001,L492-2)&lt;2),"⚠ Missing serial "&amp;(L492-1),IF(AND(MAX(K$1:K491)&gt;0,N(K492)-MAX(K$1:K491)&gt;180),"⚠ Gap &gt; 3h",IF(C492-I492&gt;=0.99,"next day",IF(C492-I492&gt;0.4,"12h → 24h","")))))))))))</f>
        <v/>
      </c>
      <c r="H492" s="4" t="str">
        <f t="shared" si="35"/>
        <v/>
      </c>
      <c r="I492" s="5" t="str">
        <f t="shared" si="36"/>
        <v/>
      </c>
      <c r="J492" s="6">
        <f t="shared" si="37"/>
        <v>0</v>
      </c>
      <c r="K492" s="4" t="str">
        <f t="shared" si="38"/>
        <v/>
      </c>
      <c r="L492" s="4" t="str">
        <f t="shared" si="39"/>
        <v/>
      </c>
      <c r="M492" s="4" t="b" cm="1">
        <f t="array" ref="M492">IF(H492="",FALSE,SUMPRODUCT(--(H$1:H491=H492))&gt;0)</f>
        <v>0</v>
      </c>
    </row>
    <row r="493" spans="1:13" x14ac:dyDescent="0.25">
      <c r="A493" s="9" t="str">
        <f>IF(OR(B493="",M493,G493="— ignored"),"",MAX(A$1:A492)+1)</f>
        <v/>
      </c>
      <c r="B493" s="10"/>
      <c r="C493" s="11" t="str">
        <f>IF(I493="","",ROUND((I493+0.5*MAX(0,CEILING(ROUND((MAX(C$1:C492)-1/48-I493)/0.5,6),1)))*1440,0)/1440)</f>
        <v/>
      </c>
      <c r="D493" s="9" t="str" cm="1">
        <f t="array" ref="D493">IF(H493="","",IFERROR(INDEX(Log!$C$19:$G$19,VALUE(MID(H493,FIND("#",H493)+1,1))),""))</f>
        <v/>
      </c>
      <c r="E493" s="9" t="str" cm="1">
        <f t="array" ref="E493">IF(OR(H493="",M493),"",IFERROR(_xlfn.LET(_xlpm.t,SUBSTITUTE(UPPER(H493),"م","M"),_xlpm.u,SUBSTITUTE(_xlpm.t,"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93" s="12"/>
      <c r="G493" s="13" t="str">
        <f>IF(B493="","",IF(M493,"⚠ Duplicate (not counted)",IF(AND(I493="",D493="",E493=""),"— ignored",IF(C493="","⚠ Time",IF(D493="","⚠ Plant",IF(E493="","⚠ Quantity",IF(AND(ISNUMBER(L493),COUNTIF(L$1:L492,L493)&gt;0),"⚠ Same serial "&amp;L493,IF(AND(ISNUMBER(L493),L493&gt;MIN($L$2:$L$1001),COUNTIF($L$2:$L$1001,L493-1)=0,COUNTIF($L$2:$L$1001,L493-2)&lt;2),"⚠ Missing serial "&amp;(L493-1),IF(AND(MAX(K$1:K492)&gt;0,N(K493)-MAX(K$1:K492)&gt;180),"⚠ Gap &gt; 3h",IF(C493-I493&gt;=0.99,"next day",IF(C493-I493&gt;0.4,"12h → 24h","")))))))))))</f>
        <v/>
      </c>
      <c r="H493" s="4" t="str">
        <f t="shared" si="35"/>
        <v/>
      </c>
      <c r="I493" s="5" t="str">
        <f t="shared" si="36"/>
        <v/>
      </c>
      <c r="J493" s="6">
        <f t="shared" si="37"/>
        <v>0</v>
      </c>
      <c r="K493" s="4" t="str">
        <f t="shared" si="38"/>
        <v/>
      </c>
      <c r="L493" s="4" t="str">
        <f t="shared" si="39"/>
        <v/>
      </c>
      <c r="M493" s="4" t="b" cm="1">
        <f t="array" ref="M493">IF(H493="",FALSE,SUMPRODUCT(--(H$1:H492=H493))&gt;0)</f>
        <v>0</v>
      </c>
    </row>
    <row r="494" spans="1:13" x14ac:dyDescent="0.25">
      <c r="A494" s="9" t="str">
        <f>IF(OR(B494="",M494,G494="— ignored"),"",MAX(A$1:A493)+1)</f>
        <v/>
      </c>
      <c r="B494" s="10"/>
      <c r="C494" s="11" t="str">
        <f>IF(I494="","",ROUND((I494+0.5*MAX(0,CEILING(ROUND((MAX(C$1:C493)-1/48-I494)/0.5,6),1)))*1440,0)/1440)</f>
        <v/>
      </c>
      <c r="D494" s="9" t="str" cm="1">
        <f t="array" ref="D494">IF(H494="","",IFERROR(INDEX(Log!$C$19:$G$19,VALUE(MID(H494,FIND("#",H494)+1,1))),""))</f>
        <v/>
      </c>
      <c r="E494" s="9" t="str" cm="1">
        <f t="array" ref="E494">IF(OR(H494="",M494),"",IFERROR(_xlfn.LET(_xlpm.t,SUBSTITUTE(UPPER(H494),"م","M"),_xlpm.u,SUBSTITUTE(_xlpm.t,"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94" s="12"/>
      <c r="G494" s="13" t="str">
        <f>IF(B494="","",IF(M494,"⚠ Duplicate (not counted)",IF(AND(I494="",D494="",E494=""),"— ignored",IF(C494="","⚠ Time",IF(D494="","⚠ Plant",IF(E494="","⚠ Quantity",IF(AND(ISNUMBER(L494),COUNTIF(L$1:L493,L494)&gt;0),"⚠ Same serial "&amp;L494,IF(AND(ISNUMBER(L494),L494&gt;MIN($L$2:$L$1001),COUNTIF($L$2:$L$1001,L494-1)=0,COUNTIF($L$2:$L$1001,L494-2)&lt;2),"⚠ Missing serial "&amp;(L494-1),IF(AND(MAX(K$1:K493)&gt;0,N(K494)-MAX(K$1:K493)&gt;180),"⚠ Gap &gt; 3h",IF(C494-I494&gt;=0.99,"next day",IF(C494-I494&gt;0.4,"12h → 24h","")))))))))))</f>
        <v/>
      </c>
      <c r="H494" s="4" t="str">
        <f t="shared" si="35"/>
        <v/>
      </c>
      <c r="I494" s="5" t="str">
        <f t="shared" si="36"/>
        <v/>
      </c>
      <c r="J494" s="6">
        <f t="shared" si="37"/>
        <v>0</v>
      </c>
      <c r="K494" s="4" t="str">
        <f t="shared" si="38"/>
        <v/>
      </c>
      <c r="L494" s="4" t="str">
        <f t="shared" si="39"/>
        <v/>
      </c>
      <c r="M494" s="4" t="b" cm="1">
        <f t="array" ref="M494">IF(H494="",FALSE,SUMPRODUCT(--(H$1:H493=H494))&gt;0)</f>
        <v>0</v>
      </c>
    </row>
    <row r="495" spans="1:13" x14ac:dyDescent="0.25">
      <c r="A495" s="9" t="str">
        <f>IF(OR(B495="",M495,G495="— ignored"),"",MAX(A$1:A494)+1)</f>
        <v/>
      </c>
      <c r="B495" s="10"/>
      <c r="C495" s="11" t="str">
        <f>IF(I495="","",ROUND((I495+0.5*MAX(0,CEILING(ROUND((MAX(C$1:C494)-1/48-I495)/0.5,6),1)))*1440,0)/1440)</f>
        <v/>
      </c>
      <c r="D495" s="9" t="str" cm="1">
        <f t="array" ref="D495">IF(H495="","",IFERROR(INDEX(Log!$C$19:$G$19,VALUE(MID(H495,FIND("#",H495)+1,1))),""))</f>
        <v/>
      </c>
      <c r="E495" s="9" t="str" cm="1">
        <f t="array" ref="E495">IF(OR(H495="",M495),"",IFERROR(_xlfn.LET(_xlpm.t,SUBSTITUTE(UPPER(H495),"م","M"),_xlpm.u,SUBSTITUTE(_xlpm.t,"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95" s="12"/>
      <c r="G495" s="13" t="str">
        <f>IF(B495="","",IF(M495,"⚠ Duplicate (not counted)",IF(AND(I495="",D495="",E495=""),"— ignored",IF(C495="","⚠ Time",IF(D495="","⚠ Plant",IF(E495="","⚠ Quantity",IF(AND(ISNUMBER(L495),COUNTIF(L$1:L494,L495)&gt;0),"⚠ Same serial "&amp;L495,IF(AND(ISNUMBER(L495),L495&gt;MIN($L$2:$L$1001),COUNTIF($L$2:$L$1001,L495-1)=0,COUNTIF($L$2:$L$1001,L495-2)&lt;2),"⚠ Missing serial "&amp;(L495-1),IF(AND(MAX(K$1:K494)&gt;0,N(K495)-MAX(K$1:K494)&gt;180),"⚠ Gap &gt; 3h",IF(C495-I495&gt;=0.99,"next day",IF(C495-I495&gt;0.4,"12h → 24h","")))))))))))</f>
        <v/>
      </c>
      <c r="H495" s="4" t="str">
        <f t="shared" si="35"/>
        <v/>
      </c>
      <c r="I495" s="5" t="str">
        <f t="shared" si="36"/>
        <v/>
      </c>
      <c r="J495" s="6">
        <f t="shared" si="37"/>
        <v>0</v>
      </c>
      <c r="K495" s="4" t="str">
        <f t="shared" si="38"/>
        <v/>
      </c>
      <c r="L495" s="4" t="str">
        <f t="shared" si="39"/>
        <v/>
      </c>
      <c r="M495" s="4" t="b" cm="1">
        <f t="array" ref="M495">IF(H495="",FALSE,SUMPRODUCT(--(H$1:H494=H495))&gt;0)</f>
        <v>0</v>
      </c>
    </row>
    <row r="496" spans="1:13" x14ac:dyDescent="0.25">
      <c r="A496" s="9" t="str">
        <f>IF(OR(B496="",M496,G496="— ignored"),"",MAX(A$1:A495)+1)</f>
        <v/>
      </c>
      <c r="B496" s="10"/>
      <c r="C496" s="11" t="str">
        <f>IF(I496="","",ROUND((I496+0.5*MAX(0,CEILING(ROUND((MAX(C$1:C495)-1/48-I496)/0.5,6),1)))*1440,0)/1440)</f>
        <v/>
      </c>
      <c r="D496" s="9" t="str" cm="1">
        <f t="array" ref="D496">IF(H496="","",IFERROR(INDEX(Log!$C$19:$G$19,VALUE(MID(H496,FIND("#",H496)+1,1))),""))</f>
        <v/>
      </c>
      <c r="E496" s="9" t="str" cm="1">
        <f t="array" ref="E496">IF(OR(H496="",M496),"",IFERROR(_xlfn.LET(_xlpm.t,SUBSTITUTE(UPPER(H496),"م","M"),_xlpm.u,SUBSTITUTE(_xlpm.t,"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96" s="12"/>
      <c r="G496" s="13" t="str">
        <f>IF(B496="","",IF(M496,"⚠ Duplicate (not counted)",IF(AND(I496="",D496="",E496=""),"— ignored",IF(C496="","⚠ Time",IF(D496="","⚠ Plant",IF(E496="","⚠ Quantity",IF(AND(ISNUMBER(L496),COUNTIF(L$1:L495,L496)&gt;0),"⚠ Same serial "&amp;L496,IF(AND(ISNUMBER(L496),L496&gt;MIN($L$2:$L$1001),COUNTIF($L$2:$L$1001,L496-1)=0,COUNTIF($L$2:$L$1001,L496-2)&lt;2),"⚠ Missing serial "&amp;(L496-1),IF(AND(MAX(K$1:K495)&gt;0,N(K496)-MAX(K$1:K495)&gt;180),"⚠ Gap &gt; 3h",IF(C496-I496&gt;=0.99,"next day",IF(C496-I496&gt;0.4,"12h → 24h","")))))))))))</f>
        <v/>
      </c>
      <c r="H496" s="4" t="str">
        <f t="shared" si="35"/>
        <v/>
      </c>
      <c r="I496" s="5" t="str">
        <f t="shared" si="36"/>
        <v/>
      </c>
      <c r="J496" s="6">
        <f t="shared" si="37"/>
        <v>0</v>
      </c>
      <c r="K496" s="4" t="str">
        <f t="shared" si="38"/>
        <v/>
      </c>
      <c r="L496" s="4" t="str">
        <f t="shared" si="39"/>
        <v/>
      </c>
      <c r="M496" s="4" t="b" cm="1">
        <f t="array" ref="M496">IF(H496="",FALSE,SUMPRODUCT(--(H$1:H495=H496))&gt;0)</f>
        <v>0</v>
      </c>
    </row>
    <row r="497" spans="1:13" x14ac:dyDescent="0.25">
      <c r="A497" s="9" t="str">
        <f>IF(OR(B497="",M497,G497="— ignored"),"",MAX(A$1:A496)+1)</f>
        <v/>
      </c>
      <c r="B497" s="10"/>
      <c r="C497" s="11" t="str">
        <f>IF(I497="","",ROUND((I497+0.5*MAX(0,CEILING(ROUND((MAX(C$1:C496)-1/48-I497)/0.5,6),1)))*1440,0)/1440)</f>
        <v/>
      </c>
      <c r="D497" s="9" t="str" cm="1">
        <f t="array" ref="D497">IF(H497="","",IFERROR(INDEX(Log!$C$19:$G$19,VALUE(MID(H497,FIND("#",H497)+1,1))),""))</f>
        <v/>
      </c>
      <c r="E497" s="9" t="str" cm="1">
        <f t="array" ref="E497">IF(OR(H497="",M497),"",IFERROR(_xlfn.LET(_xlpm.t,SUBSTITUTE(UPPER(H497),"م","M"),_xlpm.u,SUBSTITUTE(_xlpm.t,"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97" s="12"/>
      <c r="G497" s="13" t="str">
        <f>IF(B497="","",IF(M497,"⚠ Duplicate (not counted)",IF(AND(I497="",D497="",E497=""),"— ignored",IF(C497="","⚠ Time",IF(D497="","⚠ Plant",IF(E497="","⚠ Quantity",IF(AND(ISNUMBER(L497),COUNTIF(L$1:L496,L497)&gt;0),"⚠ Same serial "&amp;L497,IF(AND(ISNUMBER(L497),L497&gt;MIN($L$2:$L$1001),COUNTIF($L$2:$L$1001,L497-1)=0,COUNTIF($L$2:$L$1001,L497-2)&lt;2),"⚠ Missing serial "&amp;(L497-1),IF(AND(MAX(K$1:K496)&gt;0,N(K497)-MAX(K$1:K496)&gt;180),"⚠ Gap &gt; 3h",IF(C497-I497&gt;=0.99,"next day",IF(C497-I497&gt;0.4,"12h → 24h","")))))))))))</f>
        <v/>
      </c>
      <c r="H497" s="4" t="str">
        <f t="shared" si="35"/>
        <v/>
      </c>
      <c r="I497" s="5" t="str">
        <f t="shared" si="36"/>
        <v/>
      </c>
      <c r="J497" s="6">
        <f t="shared" si="37"/>
        <v>0</v>
      </c>
      <c r="K497" s="4" t="str">
        <f t="shared" si="38"/>
        <v/>
      </c>
      <c r="L497" s="4" t="str">
        <f t="shared" si="39"/>
        <v/>
      </c>
      <c r="M497" s="4" t="b" cm="1">
        <f t="array" ref="M497">IF(H497="",FALSE,SUMPRODUCT(--(H$1:H496=H497))&gt;0)</f>
        <v>0</v>
      </c>
    </row>
    <row r="498" spans="1:13" x14ac:dyDescent="0.25">
      <c r="A498" s="9" t="str">
        <f>IF(OR(B498="",M498,G498="— ignored"),"",MAX(A$1:A497)+1)</f>
        <v/>
      </c>
      <c r="B498" s="10"/>
      <c r="C498" s="11" t="str">
        <f>IF(I498="","",ROUND((I498+0.5*MAX(0,CEILING(ROUND((MAX(C$1:C497)-1/48-I498)/0.5,6),1)))*1440,0)/1440)</f>
        <v/>
      </c>
      <c r="D498" s="9" t="str" cm="1">
        <f t="array" ref="D498">IF(H498="","",IFERROR(INDEX(Log!$C$19:$G$19,VALUE(MID(H498,FIND("#",H498)+1,1))),""))</f>
        <v/>
      </c>
      <c r="E498" s="9" t="str" cm="1">
        <f t="array" ref="E498">IF(OR(H498="",M498),"",IFERROR(_xlfn.LET(_xlpm.t,SUBSTITUTE(UPPER(H498),"م","M"),_xlpm.u,SUBSTITUTE(_xlpm.t,"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98" s="12"/>
      <c r="G498" s="13" t="str">
        <f>IF(B498="","",IF(M498,"⚠ Duplicate (not counted)",IF(AND(I498="",D498="",E498=""),"— ignored",IF(C498="","⚠ Time",IF(D498="","⚠ Plant",IF(E498="","⚠ Quantity",IF(AND(ISNUMBER(L498),COUNTIF(L$1:L497,L498)&gt;0),"⚠ Same serial "&amp;L498,IF(AND(ISNUMBER(L498),L498&gt;MIN($L$2:$L$1001),COUNTIF($L$2:$L$1001,L498-1)=0,COUNTIF($L$2:$L$1001,L498-2)&lt;2),"⚠ Missing serial "&amp;(L498-1),IF(AND(MAX(K$1:K497)&gt;0,N(K498)-MAX(K$1:K497)&gt;180),"⚠ Gap &gt; 3h",IF(C498-I498&gt;=0.99,"next day",IF(C498-I498&gt;0.4,"12h → 24h","")))))))))))</f>
        <v/>
      </c>
      <c r="H498" s="4" t="str">
        <f t="shared" si="35"/>
        <v/>
      </c>
      <c r="I498" s="5" t="str">
        <f t="shared" si="36"/>
        <v/>
      </c>
      <c r="J498" s="6">
        <f t="shared" si="37"/>
        <v>0</v>
      </c>
      <c r="K498" s="4" t="str">
        <f t="shared" si="38"/>
        <v/>
      </c>
      <c r="L498" s="4" t="str">
        <f t="shared" si="39"/>
        <v/>
      </c>
      <c r="M498" s="4" t="b" cm="1">
        <f t="array" ref="M498">IF(H498="",FALSE,SUMPRODUCT(--(H$1:H497=H498))&gt;0)</f>
        <v>0</v>
      </c>
    </row>
    <row r="499" spans="1:13" x14ac:dyDescent="0.25">
      <c r="A499" s="9" t="str">
        <f>IF(OR(B499="",M499,G499="— ignored"),"",MAX(A$1:A498)+1)</f>
        <v/>
      </c>
      <c r="B499" s="10"/>
      <c r="C499" s="11" t="str">
        <f>IF(I499="","",ROUND((I499+0.5*MAX(0,CEILING(ROUND((MAX(C$1:C498)-1/48-I499)/0.5,6),1)))*1440,0)/1440)</f>
        <v/>
      </c>
      <c r="D499" s="9" t="str" cm="1">
        <f t="array" ref="D499">IF(H499="","",IFERROR(INDEX(Log!$C$19:$G$19,VALUE(MID(H499,FIND("#",H499)+1,1))),""))</f>
        <v/>
      </c>
      <c r="E499" s="9" t="str" cm="1">
        <f t="array" ref="E499">IF(OR(H499="",M499),"",IFERROR(_xlfn.LET(_xlpm.t,SUBSTITUTE(UPPER(H499),"م","M"),_xlpm.u,SUBSTITUTE(_xlpm.t,"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499" s="12"/>
      <c r="G499" s="13" t="str">
        <f>IF(B499="","",IF(M499,"⚠ Duplicate (not counted)",IF(AND(I499="",D499="",E499=""),"— ignored",IF(C499="","⚠ Time",IF(D499="","⚠ Plant",IF(E499="","⚠ Quantity",IF(AND(ISNUMBER(L499),COUNTIF(L$1:L498,L499)&gt;0),"⚠ Same serial "&amp;L499,IF(AND(ISNUMBER(L499),L499&gt;MIN($L$2:$L$1001),COUNTIF($L$2:$L$1001,L499-1)=0,COUNTIF($L$2:$L$1001,L499-2)&lt;2),"⚠ Missing serial "&amp;(L499-1),IF(AND(MAX(K$1:K498)&gt;0,N(K499)-MAX(K$1:K498)&gt;180),"⚠ Gap &gt; 3h",IF(C499-I499&gt;=0.99,"next day",IF(C499-I499&gt;0.4,"12h → 24h","")))))))))))</f>
        <v/>
      </c>
      <c r="H499" s="4" t="str">
        <f t="shared" si="35"/>
        <v/>
      </c>
      <c r="I499" s="5" t="str">
        <f t="shared" si="36"/>
        <v/>
      </c>
      <c r="J499" s="6">
        <f t="shared" si="37"/>
        <v>0</v>
      </c>
      <c r="K499" s="4" t="str">
        <f t="shared" si="38"/>
        <v/>
      </c>
      <c r="L499" s="4" t="str">
        <f t="shared" si="39"/>
        <v/>
      </c>
      <c r="M499" s="4" t="b" cm="1">
        <f t="array" ref="M499">IF(H499="",FALSE,SUMPRODUCT(--(H$1:H498=H499))&gt;0)</f>
        <v>0</v>
      </c>
    </row>
    <row r="500" spans="1:13" x14ac:dyDescent="0.25">
      <c r="A500" s="9" t="str">
        <f>IF(OR(B500="",M500,G500="— ignored"),"",MAX(A$1:A499)+1)</f>
        <v/>
      </c>
      <c r="B500" s="10"/>
      <c r="C500" s="11" t="str">
        <f>IF(I500="","",ROUND((I500+0.5*MAX(0,CEILING(ROUND((MAX(C$1:C499)-1/48-I500)/0.5,6),1)))*1440,0)/1440)</f>
        <v/>
      </c>
      <c r="D500" s="9" t="str" cm="1">
        <f t="array" ref="D500">IF(H500="","",IFERROR(INDEX(Log!$C$19:$G$19,VALUE(MID(H500,FIND("#",H500)+1,1))),""))</f>
        <v/>
      </c>
      <c r="E500" s="9" t="str" cm="1">
        <f t="array" ref="E500">IF(OR(H500="",M500),"",IFERROR(_xlfn.LET(_xlpm.t,SUBSTITUTE(UPPER(H500),"م","M"),_xlpm.u,SUBSTITUTE(_xlpm.t,"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00" s="12"/>
      <c r="G500" s="13" t="str">
        <f>IF(B500="","",IF(M500,"⚠ Duplicate (not counted)",IF(AND(I500="",D500="",E500=""),"— ignored",IF(C500="","⚠ Time",IF(D500="","⚠ Plant",IF(E500="","⚠ Quantity",IF(AND(ISNUMBER(L500),COUNTIF(L$1:L499,L500)&gt;0),"⚠ Same serial "&amp;L500,IF(AND(ISNUMBER(L500),L500&gt;MIN($L$2:$L$1001),COUNTIF($L$2:$L$1001,L500-1)=0,COUNTIF($L$2:$L$1001,L500-2)&lt;2),"⚠ Missing serial "&amp;(L500-1),IF(AND(MAX(K$1:K499)&gt;0,N(K500)-MAX(K$1:K499)&gt;180),"⚠ Gap &gt; 3h",IF(C500-I500&gt;=0.99,"next day",IF(C500-I500&gt;0.4,"12h → 24h","")))))))))))</f>
        <v/>
      </c>
      <c r="H500" s="4" t="str">
        <f t="shared" si="35"/>
        <v/>
      </c>
      <c r="I500" s="5" t="str">
        <f t="shared" si="36"/>
        <v/>
      </c>
      <c r="J500" s="6">
        <f t="shared" si="37"/>
        <v>0</v>
      </c>
      <c r="K500" s="4" t="str">
        <f t="shared" si="38"/>
        <v/>
      </c>
      <c r="L500" s="4" t="str">
        <f t="shared" si="39"/>
        <v/>
      </c>
      <c r="M500" s="4" t="b" cm="1">
        <f t="array" ref="M500">IF(H500="",FALSE,SUMPRODUCT(--(H$1:H499=H500))&gt;0)</f>
        <v>0</v>
      </c>
    </row>
    <row r="501" spans="1:13" x14ac:dyDescent="0.25">
      <c r="A501" s="9" t="str">
        <f>IF(OR(B501="",M501,G501="— ignored"),"",MAX(A$1:A500)+1)</f>
        <v/>
      </c>
      <c r="B501" s="10"/>
      <c r="C501" s="11" t="str">
        <f>IF(I501="","",ROUND((I501+0.5*MAX(0,CEILING(ROUND((MAX(C$1:C500)-1/48-I501)/0.5,6),1)))*1440,0)/1440)</f>
        <v/>
      </c>
      <c r="D501" s="9" t="str" cm="1">
        <f t="array" ref="D501">IF(H501="","",IFERROR(INDEX(Log!$C$19:$G$19,VALUE(MID(H501,FIND("#",H501)+1,1))),""))</f>
        <v/>
      </c>
      <c r="E501" s="9" t="str" cm="1">
        <f t="array" ref="E501">IF(OR(H501="",M501),"",IFERROR(_xlfn.LET(_xlpm.t,SUBSTITUTE(UPPER(H501),"م","M"),_xlpm.u,SUBSTITUTE(_xlpm.t,"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01" s="12"/>
      <c r="G501" s="13" t="str">
        <f>IF(B501="","",IF(M501,"⚠ Duplicate (not counted)",IF(AND(I501="",D501="",E501=""),"— ignored",IF(C501="","⚠ Time",IF(D501="","⚠ Plant",IF(E501="","⚠ Quantity",IF(AND(ISNUMBER(L501),COUNTIF(L$1:L500,L501)&gt;0),"⚠ Same serial "&amp;L501,IF(AND(ISNUMBER(L501),L501&gt;MIN($L$2:$L$1001),COUNTIF($L$2:$L$1001,L501-1)=0,COUNTIF($L$2:$L$1001,L501-2)&lt;2),"⚠ Missing serial "&amp;(L501-1),IF(AND(MAX(K$1:K500)&gt;0,N(K501)-MAX(K$1:K500)&gt;180),"⚠ Gap &gt; 3h",IF(C501-I501&gt;=0.99,"next day",IF(C501-I501&gt;0.4,"12h → 24h","")))))))))))</f>
        <v/>
      </c>
      <c r="H501" s="4" t="str">
        <f t="shared" si="35"/>
        <v/>
      </c>
      <c r="I501" s="5" t="str">
        <f t="shared" si="36"/>
        <v/>
      </c>
      <c r="J501" s="6">
        <f t="shared" si="37"/>
        <v>0</v>
      </c>
      <c r="K501" s="4" t="str">
        <f t="shared" si="38"/>
        <v/>
      </c>
      <c r="L501" s="4" t="str">
        <f t="shared" si="39"/>
        <v/>
      </c>
      <c r="M501" s="4" t="b" cm="1">
        <f t="array" ref="M501">IF(H501="",FALSE,SUMPRODUCT(--(H$1:H500=H501))&gt;0)</f>
        <v>0</v>
      </c>
    </row>
    <row r="502" spans="1:13" x14ac:dyDescent="0.25">
      <c r="A502" s="9" t="str">
        <f>IF(OR(B502="",M502,G502="— ignored"),"",MAX(A$1:A501)+1)</f>
        <v/>
      </c>
      <c r="B502" s="10"/>
      <c r="C502" s="11" t="str">
        <f>IF(I502="","",ROUND((I502+0.5*MAX(0,CEILING(ROUND((MAX(C$1:C501)-1/48-I502)/0.5,6),1)))*1440,0)/1440)</f>
        <v/>
      </c>
      <c r="D502" s="9" t="str" cm="1">
        <f t="array" ref="D502">IF(H502="","",IFERROR(INDEX(Log!$C$19:$G$19,VALUE(MID(H502,FIND("#",H502)+1,1))),""))</f>
        <v/>
      </c>
      <c r="E502" s="9" t="str" cm="1">
        <f t="array" ref="E502">IF(OR(H502="",M502),"",IFERROR(_xlfn.LET(_xlpm.t,SUBSTITUTE(UPPER(H502),"م","M"),_xlpm.u,SUBSTITUTE(_xlpm.t,"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02" s="12"/>
      <c r="G502" s="13" t="str">
        <f>IF(B502="","",IF(M502,"⚠ Duplicate (not counted)",IF(AND(I502="",D502="",E502=""),"— ignored",IF(C502="","⚠ Time",IF(D502="","⚠ Plant",IF(E502="","⚠ Quantity",IF(AND(ISNUMBER(L502),COUNTIF(L$1:L501,L502)&gt;0),"⚠ Same serial "&amp;L502,IF(AND(ISNUMBER(L502),L502&gt;MIN($L$2:$L$1001),COUNTIF($L$2:$L$1001,L502-1)=0,COUNTIF($L$2:$L$1001,L502-2)&lt;2),"⚠ Missing serial "&amp;(L502-1),IF(AND(MAX(K$1:K501)&gt;0,N(K502)-MAX(K$1:K501)&gt;180),"⚠ Gap &gt; 3h",IF(C502-I502&gt;=0.99,"next day",IF(C502-I502&gt;0.4,"12h → 24h","")))))))))))</f>
        <v/>
      </c>
      <c r="H502" s="4" t="str">
        <f t="shared" si="35"/>
        <v/>
      </c>
      <c r="I502" s="5" t="str">
        <f t="shared" si="36"/>
        <v/>
      </c>
      <c r="J502" s="6">
        <f t="shared" si="37"/>
        <v>0</v>
      </c>
      <c r="K502" s="4" t="str">
        <f t="shared" si="38"/>
        <v/>
      </c>
      <c r="L502" s="4" t="str">
        <f t="shared" si="39"/>
        <v/>
      </c>
      <c r="M502" s="4" t="b" cm="1">
        <f t="array" ref="M502">IF(H502="",FALSE,SUMPRODUCT(--(H$1:H501=H502))&gt;0)</f>
        <v>0</v>
      </c>
    </row>
    <row r="503" spans="1:13" x14ac:dyDescent="0.25">
      <c r="A503" s="9" t="str">
        <f>IF(OR(B503="",M503,G503="— ignored"),"",MAX(A$1:A502)+1)</f>
        <v/>
      </c>
      <c r="B503" s="10"/>
      <c r="C503" s="11" t="str">
        <f>IF(I503="","",ROUND((I503+0.5*MAX(0,CEILING(ROUND((MAX(C$1:C502)-1/48-I503)/0.5,6),1)))*1440,0)/1440)</f>
        <v/>
      </c>
      <c r="D503" s="9" t="str" cm="1">
        <f t="array" ref="D503">IF(H503="","",IFERROR(INDEX(Log!$C$19:$G$19,VALUE(MID(H503,FIND("#",H503)+1,1))),""))</f>
        <v/>
      </c>
      <c r="E503" s="9" t="str" cm="1">
        <f t="array" ref="E503">IF(OR(H503="",M503),"",IFERROR(_xlfn.LET(_xlpm.t,SUBSTITUTE(UPPER(H503),"م","M"),_xlpm.u,SUBSTITUTE(_xlpm.t,"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03" s="12"/>
      <c r="G503" s="13" t="str">
        <f>IF(B503="","",IF(M503,"⚠ Duplicate (not counted)",IF(AND(I503="",D503="",E503=""),"— ignored",IF(C503="","⚠ Time",IF(D503="","⚠ Plant",IF(E503="","⚠ Quantity",IF(AND(ISNUMBER(L503),COUNTIF(L$1:L502,L503)&gt;0),"⚠ Same serial "&amp;L503,IF(AND(ISNUMBER(L503),L503&gt;MIN($L$2:$L$1001),COUNTIF($L$2:$L$1001,L503-1)=0,COUNTIF($L$2:$L$1001,L503-2)&lt;2),"⚠ Missing serial "&amp;(L503-1),IF(AND(MAX(K$1:K502)&gt;0,N(K503)-MAX(K$1:K502)&gt;180),"⚠ Gap &gt; 3h",IF(C503-I503&gt;=0.99,"next day",IF(C503-I503&gt;0.4,"12h → 24h","")))))))))))</f>
        <v/>
      </c>
      <c r="H503" s="4" t="str">
        <f t="shared" si="35"/>
        <v/>
      </c>
      <c r="I503" s="5" t="str">
        <f t="shared" si="36"/>
        <v/>
      </c>
      <c r="J503" s="6">
        <f t="shared" si="37"/>
        <v>0</v>
      </c>
      <c r="K503" s="4" t="str">
        <f t="shared" si="38"/>
        <v/>
      </c>
      <c r="L503" s="4" t="str">
        <f t="shared" si="39"/>
        <v/>
      </c>
      <c r="M503" s="4" t="b" cm="1">
        <f t="array" ref="M503">IF(H503="",FALSE,SUMPRODUCT(--(H$1:H502=H503))&gt;0)</f>
        <v>0</v>
      </c>
    </row>
    <row r="504" spans="1:13" x14ac:dyDescent="0.25">
      <c r="A504" s="9" t="str">
        <f>IF(OR(B504="",M504,G504="— ignored"),"",MAX(A$1:A503)+1)</f>
        <v/>
      </c>
      <c r="B504" s="10"/>
      <c r="C504" s="11" t="str">
        <f>IF(I504="","",ROUND((I504+0.5*MAX(0,CEILING(ROUND((MAX(C$1:C503)-1/48-I504)/0.5,6),1)))*1440,0)/1440)</f>
        <v/>
      </c>
      <c r="D504" s="9" t="str" cm="1">
        <f t="array" ref="D504">IF(H504="","",IFERROR(INDEX(Log!$C$19:$G$19,VALUE(MID(H504,FIND("#",H504)+1,1))),""))</f>
        <v/>
      </c>
      <c r="E504" s="9" t="str" cm="1">
        <f t="array" ref="E504">IF(OR(H504="",M504),"",IFERROR(_xlfn.LET(_xlpm.t,SUBSTITUTE(UPPER(H504),"م","M"),_xlpm.u,SUBSTITUTE(_xlpm.t,"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04" s="12"/>
      <c r="G504" s="13" t="str">
        <f>IF(B504="","",IF(M504,"⚠ Duplicate (not counted)",IF(AND(I504="",D504="",E504=""),"— ignored",IF(C504="","⚠ Time",IF(D504="","⚠ Plant",IF(E504="","⚠ Quantity",IF(AND(ISNUMBER(L504),COUNTIF(L$1:L503,L504)&gt;0),"⚠ Same serial "&amp;L504,IF(AND(ISNUMBER(L504),L504&gt;MIN($L$2:$L$1001),COUNTIF($L$2:$L$1001,L504-1)=0,COUNTIF($L$2:$L$1001,L504-2)&lt;2),"⚠ Missing serial "&amp;(L504-1),IF(AND(MAX(K$1:K503)&gt;0,N(K504)-MAX(K$1:K503)&gt;180),"⚠ Gap &gt; 3h",IF(C504-I504&gt;=0.99,"next day",IF(C504-I504&gt;0.4,"12h → 24h","")))))))))))</f>
        <v/>
      </c>
      <c r="H504" s="4" t="str">
        <f t="shared" si="35"/>
        <v/>
      </c>
      <c r="I504" s="5" t="str">
        <f t="shared" si="36"/>
        <v/>
      </c>
      <c r="J504" s="6">
        <f t="shared" si="37"/>
        <v>0</v>
      </c>
      <c r="K504" s="4" t="str">
        <f t="shared" si="38"/>
        <v/>
      </c>
      <c r="L504" s="4" t="str">
        <f t="shared" si="39"/>
        <v/>
      </c>
      <c r="M504" s="4" t="b" cm="1">
        <f t="array" ref="M504">IF(H504="",FALSE,SUMPRODUCT(--(H$1:H503=H504))&gt;0)</f>
        <v>0</v>
      </c>
    </row>
    <row r="505" spans="1:13" x14ac:dyDescent="0.25">
      <c r="A505" s="9" t="str">
        <f>IF(OR(B505="",M505,G505="— ignored"),"",MAX(A$1:A504)+1)</f>
        <v/>
      </c>
      <c r="B505" s="10"/>
      <c r="C505" s="11" t="str">
        <f>IF(I505="","",ROUND((I505+0.5*MAX(0,CEILING(ROUND((MAX(C$1:C504)-1/48-I505)/0.5,6),1)))*1440,0)/1440)</f>
        <v/>
      </c>
      <c r="D505" s="9" t="str" cm="1">
        <f t="array" ref="D505">IF(H505="","",IFERROR(INDEX(Log!$C$19:$G$19,VALUE(MID(H505,FIND("#",H505)+1,1))),""))</f>
        <v/>
      </c>
      <c r="E505" s="9" t="str" cm="1">
        <f t="array" ref="E505">IF(OR(H505="",M505),"",IFERROR(_xlfn.LET(_xlpm.t,SUBSTITUTE(UPPER(H505),"م","M"),_xlpm.u,SUBSTITUTE(_xlpm.t,"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05" s="12"/>
      <c r="G505" s="13" t="str">
        <f>IF(B505="","",IF(M505,"⚠ Duplicate (not counted)",IF(AND(I505="",D505="",E505=""),"— ignored",IF(C505="","⚠ Time",IF(D505="","⚠ Plant",IF(E505="","⚠ Quantity",IF(AND(ISNUMBER(L505),COUNTIF(L$1:L504,L505)&gt;0),"⚠ Same serial "&amp;L505,IF(AND(ISNUMBER(L505),L505&gt;MIN($L$2:$L$1001),COUNTIF($L$2:$L$1001,L505-1)=0,COUNTIF($L$2:$L$1001,L505-2)&lt;2),"⚠ Missing serial "&amp;(L505-1),IF(AND(MAX(K$1:K504)&gt;0,N(K505)-MAX(K$1:K504)&gt;180),"⚠ Gap &gt; 3h",IF(C505-I505&gt;=0.99,"next day",IF(C505-I505&gt;0.4,"12h → 24h","")))))))))))</f>
        <v/>
      </c>
      <c r="H505" s="4" t="str">
        <f t="shared" si="35"/>
        <v/>
      </c>
      <c r="I505" s="5" t="str">
        <f t="shared" si="36"/>
        <v/>
      </c>
      <c r="J505" s="6">
        <f t="shared" si="37"/>
        <v>0</v>
      </c>
      <c r="K505" s="4" t="str">
        <f t="shared" si="38"/>
        <v/>
      </c>
      <c r="L505" s="4" t="str">
        <f t="shared" si="39"/>
        <v/>
      </c>
      <c r="M505" s="4" t="b" cm="1">
        <f t="array" ref="M505">IF(H505="",FALSE,SUMPRODUCT(--(H$1:H504=H505))&gt;0)</f>
        <v>0</v>
      </c>
    </row>
    <row r="506" spans="1:13" x14ac:dyDescent="0.25">
      <c r="A506" s="9" t="str">
        <f>IF(OR(B506="",M506,G506="— ignored"),"",MAX(A$1:A505)+1)</f>
        <v/>
      </c>
      <c r="B506" s="10"/>
      <c r="C506" s="11" t="str">
        <f>IF(I506="","",ROUND((I506+0.5*MAX(0,CEILING(ROUND((MAX(C$1:C505)-1/48-I506)/0.5,6),1)))*1440,0)/1440)</f>
        <v/>
      </c>
      <c r="D506" s="9" t="str" cm="1">
        <f t="array" ref="D506">IF(H506="","",IFERROR(INDEX(Log!$C$19:$G$19,VALUE(MID(H506,FIND("#",H506)+1,1))),""))</f>
        <v/>
      </c>
      <c r="E506" s="9" t="str" cm="1">
        <f t="array" ref="E506">IF(OR(H506="",M506),"",IFERROR(_xlfn.LET(_xlpm.t,SUBSTITUTE(UPPER(H506),"م","M"),_xlpm.u,SUBSTITUTE(_xlpm.t,"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06" s="12"/>
      <c r="G506" s="13" t="str">
        <f>IF(B506="","",IF(M506,"⚠ Duplicate (not counted)",IF(AND(I506="",D506="",E506=""),"— ignored",IF(C506="","⚠ Time",IF(D506="","⚠ Plant",IF(E506="","⚠ Quantity",IF(AND(ISNUMBER(L506),COUNTIF(L$1:L505,L506)&gt;0),"⚠ Same serial "&amp;L506,IF(AND(ISNUMBER(L506),L506&gt;MIN($L$2:$L$1001),COUNTIF($L$2:$L$1001,L506-1)=0,COUNTIF($L$2:$L$1001,L506-2)&lt;2),"⚠ Missing serial "&amp;(L506-1),IF(AND(MAX(K$1:K505)&gt;0,N(K506)-MAX(K$1:K505)&gt;180),"⚠ Gap &gt; 3h",IF(C506-I506&gt;=0.99,"next day",IF(C506-I506&gt;0.4,"12h → 24h","")))))))))))</f>
        <v/>
      </c>
      <c r="H506" s="4" t="str">
        <f t="shared" si="35"/>
        <v/>
      </c>
      <c r="I506" s="5" t="str">
        <f t="shared" si="36"/>
        <v/>
      </c>
      <c r="J506" s="6">
        <f t="shared" si="37"/>
        <v>0</v>
      </c>
      <c r="K506" s="4" t="str">
        <f t="shared" si="38"/>
        <v/>
      </c>
      <c r="L506" s="4" t="str">
        <f t="shared" si="39"/>
        <v/>
      </c>
      <c r="M506" s="4" t="b" cm="1">
        <f t="array" ref="M506">IF(H506="",FALSE,SUMPRODUCT(--(H$1:H505=H506))&gt;0)</f>
        <v>0</v>
      </c>
    </row>
    <row r="507" spans="1:13" x14ac:dyDescent="0.25">
      <c r="A507" s="9" t="str">
        <f>IF(OR(B507="",M507,G507="— ignored"),"",MAX(A$1:A506)+1)</f>
        <v/>
      </c>
      <c r="B507" s="10"/>
      <c r="C507" s="11" t="str">
        <f>IF(I507="","",ROUND((I507+0.5*MAX(0,CEILING(ROUND((MAX(C$1:C506)-1/48-I507)/0.5,6),1)))*1440,0)/1440)</f>
        <v/>
      </c>
      <c r="D507" s="9" t="str" cm="1">
        <f t="array" ref="D507">IF(H507="","",IFERROR(INDEX(Log!$C$19:$G$19,VALUE(MID(H507,FIND("#",H507)+1,1))),""))</f>
        <v/>
      </c>
      <c r="E507" s="9" t="str" cm="1">
        <f t="array" ref="E507">IF(OR(H507="",M507),"",IFERROR(_xlfn.LET(_xlpm.t,SUBSTITUTE(UPPER(H507),"م","M"),_xlpm.u,SUBSTITUTE(_xlpm.t,"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07" s="12"/>
      <c r="G507" s="13" t="str">
        <f>IF(B507="","",IF(M507,"⚠ Duplicate (not counted)",IF(AND(I507="",D507="",E507=""),"— ignored",IF(C507="","⚠ Time",IF(D507="","⚠ Plant",IF(E507="","⚠ Quantity",IF(AND(ISNUMBER(L507),COUNTIF(L$1:L506,L507)&gt;0),"⚠ Same serial "&amp;L507,IF(AND(ISNUMBER(L507),L507&gt;MIN($L$2:$L$1001),COUNTIF($L$2:$L$1001,L507-1)=0,COUNTIF($L$2:$L$1001,L507-2)&lt;2),"⚠ Missing serial "&amp;(L507-1),IF(AND(MAX(K$1:K506)&gt;0,N(K507)-MAX(K$1:K506)&gt;180),"⚠ Gap &gt; 3h",IF(C507-I507&gt;=0.99,"next day",IF(C507-I507&gt;0.4,"12h → 24h","")))))))))))</f>
        <v/>
      </c>
      <c r="H507" s="4" t="str">
        <f t="shared" si="35"/>
        <v/>
      </c>
      <c r="I507" s="5" t="str">
        <f t="shared" si="36"/>
        <v/>
      </c>
      <c r="J507" s="6">
        <f t="shared" si="37"/>
        <v>0</v>
      </c>
      <c r="K507" s="4" t="str">
        <f t="shared" si="38"/>
        <v/>
      </c>
      <c r="L507" s="4" t="str">
        <f t="shared" si="39"/>
        <v/>
      </c>
      <c r="M507" s="4" t="b" cm="1">
        <f t="array" ref="M507">IF(H507="",FALSE,SUMPRODUCT(--(H$1:H506=H507))&gt;0)</f>
        <v>0</v>
      </c>
    </row>
    <row r="508" spans="1:13" x14ac:dyDescent="0.25">
      <c r="A508" s="9" t="str">
        <f>IF(OR(B508="",M508,G508="— ignored"),"",MAX(A$1:A507)+1)</f>
        <v/>
      </c>
      <c r="B508" s="10"/>
      <c r="C508" s="11" t="str">
        <f>IF(I508="","",ROUND((I508+0.5*MAX(0,CEILING(ROUND((MAX(C$1:C507)-1/48-I508)/0.5,6),1)))*1440,0)/1440)</f>
        <v/>
      </c>
      <c r="D508" s="9" t="str" cm="1">
        <f t="array" ref="D508">IF(H508="","",IFERROR(INDEX(Log!$C$19:$G$19,VALUE(MID(H508,FIND("#",H508)+1,1))),""))</f>
        <v/>
      </c>
      <c r="E508" s="9" t="str" cm="1">
        <f t="array" ref="E508">IF(OR(H508="",M508),"",IFERROR(_xlfn.LET(_xlpm.t,SUBSTITUTE(UPPER(H508),"م","M"),_xlpm.u,SUBSTITUTE(_xlpm.t,"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08" s="12"/>
      <c r="G508" s="13" t="str">
        <f>IF(B508="","",IF(M508,"⚠ Duplicate (not counted)",IF(AND(I508="",D508="",E508=""),"— ignored",IF(C508="","⚠ Time",IF(D508="","⚠ Plant",IF(E508="","⚠ Quantity",IF(AND(ISNUMBER(L508),COUNTIF(L$1:L507,L508)&gt;0),"⚠ Same serial "&amp;L508,IF(AND(ISNUMBER(L508),L508&gt;MIN($L$2:$L$1001),COUNTIF($L$2:$L$1001,L508-1)=0,COUNTIF($L$2:$L$1001,L508-2)&lt;2),"⚠ Missing serial "&amp;(L508-1),IF(AND(MAX(K$1:K507)&gt;0,N(K508)-MAX(K$1:K507)&gt;180),"⚠ Gap &gt; 3h",IF(C508-I508&gt;=0.99,"next day",IF(C508-I508&gt;0.4,"12h → 24h","")))))))))))</f>
        <v/>
      </c>
      <c r="H508" s="4" t="str">
        <f t="shared" si="35"/>
        <v/>
      </c>
      <c r="I508" s="5" t="str">
        <f t="shared" si="36"/>
        <v/>
      </c>
      <c r="J508" s="6">
        <f t="shared" si="37"/>
        <v>0</v>
      </c>
      <c r="K508" s="4" t="str">
        <f t="shared" si="38"/>
        <v/>
      </c>
      <c r="L508" s="4" t="str">
        <f t="shared" si="39"/>
        <v/>
      </c>
      <c r="M508" s="4" t="b" cm="1">
        <f t="array" ref="M508">IF(H508="",FALSE,SUMPRODUCT(--(H$1:H507=H508))&gt;0)</f>
        <v>0</v>
      </c>
    </row>
    <row r="509" spans="1:13" x14ac:dyDescent="0.25">
      <c r="A509" s="9" t="str">
        <f>IF(OR(B509="",M509,G509="— ignored"),"",MAX(A$1:A508)+1)</f>
        <v/>
      </c>
      <c r="B509" s="10"/>
      <c r="C509" s="11" t="str">
        <f>IF(I509="","",ROUND((I509+0.5*MAX(0,CEILING(ROUND((MAX(C$1:C508)-1/48-I509)/0.5,6),1)))*1440,0)/1440)</f>
        <v/>
      </c>
      <c r="D509" s="9" t="str" cm="1">
        <f t="array" ref="D509">IF(H509="","",IFERROR(INDEX(Log!$C$19:$G$19,VALUE(MID(H509,FIND("#",H509)+1,1))),""))</f>
        <v/>
      </c>
      <c r="E509" s="9" t="str" cm="1">
        <f t="array" ref="E509">IF(OR(H509="",M509),"",IFERROR(_xlfn.LET(_xlpm.t,SUBSTITUTE(UPPER(H509),"م","M"),_xlpm.u,SUBSTITUTE(_xlpm.t,"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09" s="12"/>
      <c r="G509" s="13" t="str">
        <f>IF(B509="","",IF(M509,"⚠ Duplicate (not counted)",IF(AND(I509="",D509="",E509=""),"— ignored",IF(C509="","⚠ Time",IF(D509="","⚠ Plant",IF(E509="","⚠ Quantity",IF(AND(ISNUMBER(L509),COUNTIF(L$1:L508,L509)&gt;0),"⚠ Same serial "&amp;L509,IF(AND(ISNUMBER(L509),L509&gt;MIN($L$2:$L$1001),COUNTIF($L$2:$L$1001,L509-1)=0,COUNTIF($L$2:$L$1001,L509-2)&lt;2),"⚠ Missing serial "&amp;(L509-1),IF(AND(MAX(K$1:K508)&gt;0,N(K509)-MAX(K$1:K508)&gt;180),"⚠ Gap &gt; 3h",IF(C509-I509&gt;=0.99,"next day",IF(C509-I509&gt;0.4,"12h → 24h","")))))))))))</f>
        <v/>
      </c>
      <c r="H509" s="4" t="str">
        <f t="shared" si="35"/>
        <v/>
      </c>
      <c r="I509" s="5" t="str">
        <f t="shared" si="36"/>
        <v/>
      </c>
      <c r="J509" s="6">
        <f t="shared" si="37"/>
        <v>0</v>
      </c>
      <c r="K509" s="4" t="str">
        <f t="shared" si="38"/>
        <v/>
      </c>
      <c r="L509" s="4" t="str">
        <f t="shared" si="39"/>
        <v/>
      </c>
      <c r="M509" s="4" t="b" cm="1">
        <f t="array" ref="M509">IF(H509="",FALSE,SUMPRODUCT(--(H$1:H508=H509))&gt;0)</f>
        <v>0</v>
      </c>
    </row>
    <row r="510" spans="1:13" x14ac:dyDescent="0.25">
      <c r="A510" s="9" t="str">
        <f>IF(OR(B510="",M510,G510="— ignored"),"",MAX(A$1:A509)+1)</f>
        <v/>
      </c>
      <c r="B510" s="10"/>
      <c r="C510" s="11" t="str">
        <f>IF(I510="","",ROUND((I510+0.5*MAX(0,CEILING(ROUND((MAX(C$1:C509)-1/48-I510)/0.5,6),1)))*1440,0)/1440)</f>
        <v/>
      </c>
      <c r="D510" s="9" t="str" cm="1">
        <f t="array" ref="D510">IF(H510="","",IFERROR(INDEX(Log!$C$19:$G$19,VALUE(MID(H510,FIND("#",H510)+1,1))),""))</f>
        <v/>
      </c>
      <c r="E510" s="9" t="str" cm="1">
        <f t="array" ref="E510">IF(OR(H510="",M510),"",IFERROR(_xlfn.LET(_xlpm.t,SUBSTITUTE(UPPER(H510),"م","M"),_xlpm.u,SUBSTITUTE(_xlpm.t,"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10" s="12"/>
      <c r="G510" s="13" t="str">
        <f>IF(B510="","",IF(M510,"⚠ Duplicate (not counted)",IF(AND(I510="",D510="",E510=""),"— ignored",IF(C510="","⚠ Time",IF(D510="","⚠ Plant",IF(E510="","⚠ Quantity",IF(AND(ISNUMBER(L510),COUNTIF(L$1:L509,L510)&gt;0),"⚠ Same serial "&amp;L510,IF(AND(ISNUMBER(L510),L510&gt;MIN($L$2:$L$1001),COUNTIF($L$2:$L$1001,L510-1)=0,COUNTIF($L$2:$L$1001,L510-2)&lt;2),"⚠ Missing serial "&amp;(L510-1),IF(AND(MAX(K$1:K509)&gt;0,N(K510)-MAX(K$1:K509)&gt;180),"⚠ Gap &gt; 3h",IF(C510-I510&gt;=0.99,"next day",IF(C510-I510&gt;0.4,"12h → 24h","")))))))))))</f>
        <v/>
      </c>
      <c r="H510" s="4" t="str">
        <f t="shared" si="35"/>
        <v/>
      </c>
      <c r="I510" s="5" t="str">
        <f t="shared" si="36"/>
        <v/>
      </c>
      <c r="J510" s="6">
        <f t="shared" si="37"/>
        <v>0</v>
      </c>
      <c r="K510" s="4" t="str">
        <f t="shared" si="38"/>
        <v/>
      </c>
      <c r="L510" s="4" t="str">
        <f t="shared" si="39"/>
        <v/>
      </c>
      <c r="M510" s="4" t="b" cm="1">
        <f t="array" ref="M510">IF(H510="",FALSE,SUMPRODUCT(--(H$1:H509=H510))&gt;0)</f>
        <v>0</v>
      </c>
    </row>
    <row r="511" spans="1:13" x14ac:dyDescent="0.25">
      <c r="A511" s="9" t="str">
        <f>IF(OR(B511="",M511,G511="— ignored"),"",MAX(A$1:A510)+1)</f>
        <v/>
      </c>
      <c r="B511" s="10"/>
      <c r="C511" s="11" t="str">
        <f>IF(I511="","",ROUND((I511+0.5*MAX(0,CEILING(ROUND((MAX(C$1:C510)-1/48-I511)/0.5,6),1)))*1440,0)/1440)</f>
        <v/>
      </c>
      <c r="D511" s="9" t="str" cm="1">
        <f t="array" ref="D511">IF(H511="","",IFERROR(INDEX(Log!$C$19:$G$19,VALUE(MID(H511,FIND("#",H511)+1,1))),""))</f>
        <v/>
      </c>
      <c r="E511" s="9" t="str" cm="1">
        <f t="array" ref="E511">IF(OR(H511="",M511),"",IFERROR(_xlfn.LET(_xlpm.t,SUBSTITUTE(UPPER(H511),"م","M"),_xlpm.u,SUBSTITUTE(_xlpm.t,"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11" s="12"/>
      <c r="G511" s="13" t="str">
        <f>IF(B511="","",IF(M511,"⚠ Duplicate (not counted)",IF(AND(I511="",D511="",E511=""),"— ignored",IF(C511="","⚠ Time",IF(D511="","⚠ Plant",IF(E511="","⚠ Quantity",IF(AND(ISNUMBER(L511),COUNTIF(L$1:L510,L511)&gt;0),"⚠ Same serial "&amp;L511,IF(AND(ISNUMBER(L511),L511&gt;MIN($L$2:$L$1001),COUNTIF($L$2:$L$1001,L511-1)=0,COUNTIF($L$2:$L$1001,L511-2)&lt;2),"⚠ Missing serial "&amp;(L511-1),IF(AND(MAX(K$1:K510)&gt;0,N(K511)-MAX(K$1:K510)&gt;180),"⚠ Gap &gt; 3h",IF(C511-I511&gt;=0.99,"next day",IF(C511-I511&gt;0.4,"12h → 24h","")))))))))))</f>
        <v/>
      </c>
      <c r="H511" s="4" t="str">
        <f t="shared" si="35"/>
        <v/>
      </c>
      <c r="I511" s="5" t="str">
        <f t="shared" si="36"/>
        <v/>
      </c>
      <c r="J511" s="6">
        <f t="shared" si="37"/>
        <v>0</v>
      </c>
      <c r="K511" s="4" t="str">
        <f t="shared" si="38"/>
        <v/>
      </c>
      <c r="L511" s="4" t="str">
        <f t="shared" si="39"/>
        <v/>
      </c>
      <c r="M511" s="4" t="b" cm="1">
        <f t="array" ref="M511">IF(H511="",FALSE,SUMPRODUCT(--(H$1:H510=H511))&gt;0)</f>
        <v>0</v>
      </c>
    </row>
    <row r="512" spans="1:13" x14ac:dyDescent="0.25">
      <c r="A512" s="9" t="str">
        <f>IF(OR(B512="",M512,G512="— ignored"),"",MAX(A$1:A511)+1)</f>
        <v/>
      </c>
      <c r="B512" s="10"/>
      <c r="C512" s="11" t="str">
        <f>IF(I512="","",ROUND((I512+0.5*MAX(0,CEILING(ROUND((MAX(C$1:C511)-1/48-I512)/0.5,6),1)))*1440,0)/1440)</f>
        <v/>
      </c>
      <c r="D512" s="9" t="str" cm="1">
        <f t="array" ref="D512">IF(H512="","",IFERROR(INDEX(Log!$C$19:$G$19,VALUE(MID(H512,FIND("#",H512)+1,1))),""))</f>
        <v/>
      </c>
      <c r="E512" s="9" t="str" cm="1">
        <f t="array" ref="E512">IF(OR(H512="",M512),"",IFERROR(_xlfn.LET(_xlpm.t,SUBSTITUTE(UPPER(H512),"م","M"),_xlpm.u,SUBSTITUTE(_xlpm.t,"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12" s="12"/>
      <c r="G512" s="13" t="str">
        <f>IF(B512="","",IF(M512,"⚠ Duplicate (not counted)",IF(AND(I512="",D512="",E512=""),"— ignored",IF(C512="","⚠ Time",IF(D512="","⚠ Plant",IF(E512="","⚠ Quantity",IF(AND(ISNUMBER(L512),COUNTIF(L$1:L511,L512)&gt;0),"⚠ Same serial "&amp;L512,IF(AND(ISNUMBER(L512),L512&gt;MIN($L$2:$L$1001),COUNTIF($L$2:$L$1001,L512-1)=0,COUNTIF($L$2:$L$1001,L512-2)&lt;2),"⚠ Missing serial "&amp;(L512-1),IF(AND(MAX(K$1:K511)&gt;0,N(K512)-MAX(K$1:K511)&gt;180),"⚠ Gap &gt; 3h",IF(C512-I512&gt;=0.99,"next day",IF(C512-I512&gt;0.4,"12h → 24h","")))))))))))</f>
        <v/>
      </c>
      <c r="H512" s="4" t="str">
        <f t="shared" si="35"/>
        <v/>
      </c>
      <c r="I512" s="5" t="str">
        <f t="shared" si="36"/>
        <v/>
      </c>
      <c r="J512" s="6">
        <f t="shared" si="37"/>
        <v>0</v>
      </c>
      <c r="K512" s="4" t="str">
        <f t="shared" si="38"/>
        <v/>
      </c>
      <c r="L512" s="4" t="str">
        <f t="shared" si="39"/>
        <v/>
      </c>
      <c r="M512" s="4" t="b" cm="1">
        <f t="array" ref="M512">IF(H512="",FALSE,SUMPRODUCT(--(H$1:H511=H512))&gt;0)</f>
        <v>0</v>
      </c>
    </row>
    <row r="513" spans="1:13" x14ac:dyDescent="0.25">
      <c r="A513" s="9" t="str">
        <f>IF(OR(B513="",M513,G513="— ignored"),"",MAX(A$1:A512)+1)</f>
        <v/>
      </c>
      <c r="B513" s="10"/>
      <c r="C513" s="11" t="str">
        <f>IF(I513="","",ROUND((I513+0.5*MAX(0,CEILING(ROUND((MAX(C$1:C512)-1/48-I513)/0.5,6),1)))*1440,0)/1440)</f>
        <v/>
      </c>
      <c r="D513" s="9" t="str" cm="1">
        <f t="array" ref="D513">IF(H513="","",IFERROR(INDEX(Log!$C$19:$G$19,VALUE(MID(H513,FIND("#",H513)+1,1))),""))</f>
        <v/>
      </c>
      <c r="E513" s="9" t="str" cm="1">
        <f t="array" ref="E513">IF(OR(H513="",M513),"",IFERROR(_xlfn.LET(_xlpm.t,SUBSTITUTE(UPPER(H513),"م","M"),_xlpm.u,SUBSTITUTE(_xlpm.t,"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13" s="12"/>
      <c r="G513" s="13" t="str">
        <f>IF(B513="","",IF(M513,"⚠ Duplicate (not counted)",IF(AND(I513="",D513="",E513=""),"— ignored",IF(C513="","⚠ Time",IF(D513="","⚠ Plant",IF(E513="","⚠ Quantity",IF(AND(ISNUMBER(L513),COUNTIF(L$1:L512,L513)&gt;0),"⚠ Same serial "&amp;L513,IF(AND(ISNUMBER(L513),L513&gt;MIN($L$2:$L$1001),COUNTIF($L$2:$L$1001,L513-1)=0,COUNTIF($L$2:$L$1001,L513-2)&lt;2),"⚠ Missing serial "&amp;(L513-1),IF(AND(MAX(K$1:K512)&gt;0,N(K513)-MAX(K$1:K512)&gt;180),"⚠ Gap &gt; 3h",IF(C513-I513&gt;=0.99,"next day",IF(C513-I513&gt;0.4,"12h → 24h","")))))))))))</f>
        <v/>
      </c>
      <c r="H513" s="4" t="str">
        <f t="shared" si="35"/>
        <v/>
      </c>
      <c r="I513" s="5" t="str">
        <f t="shared" si="36"/>
        <v/>
      </c>
      <c r="J513" s="6">
        <f t="shared" si="37"/>
        <v>0</v>
      </c>
      <c r="K513" s="4" t="str">
        <f t="shared" si="38"/>
        <v/>
      </c>
      <c r="L513" s="4" t="str">
        <f t="shared" si="39"/>
        <v/>
      </c>
      <c r="M513" s="4" t="b" cm="1">
        <f t="array" ref="M513">IF(H513="",FALSE,SUMPRODUCT(--(H$1:H512=H513))&gt;0)</f>
        <v>0</v>
      </c>
    </row>
    <row r="514" spans="1:13" x14ac:dyDescent="0.25">
      <c r="A514" s="9" t="str">
        <f>IF(OR(B514="",M514,G514="— ignored"),"",MAX(A$1:A513)+1)</f>
        <v/>
      </c>
      <c r="B514" s="10"/>
      <c r="C514" s="11" t="str">
        <f>IF(I514="","",ROUND((I514+0.5*MAX(0,CEILING(ROUND((MAX(C$1:C513)-1/48-I514)/0.5,6),1)))*1440,0)/1440)</f>
        <v/>
      </c>
      <c r="D514" s="9" t="str" cm="1">
        <f t="array" ref="D514">IF(H514="","",IFERROR(INDEX(Log!$C$19:$G$19,VALUE(MID(H514,FIND("#",H514)+1,1))),""))</f>
        <v/>
      </c>
      <c r="E514" s="9" t="str" cm="1">
        <f t="array" ref="E514">IF(OR(H514="",M514),"",IFERROR(_xlfn.LET(_xlpm.t,SUBSTITUTE(UPPER(H514),"م","M"),_xlpm.u,SUBSTITUTE(_xlpm.t,"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14" s="12"/>
      <c r="G514" s="13" t="str">
        <f>IF(B514="","",IF(M514,"⚠ Duplicate (not counted)",IF(AND(I514="",D514="",E514=""),"— ignored",IF(C514="","⚠ Time",IF(D514="","⚠ Plant",IF(E514="","⚠ Quantity",IF(AND(ISNUMBER(L514),COUNTIF(L$1:L513,L514)&gt;0),"⚠ Same serial "&amp;L514,IF(AND(ISNUMBER(L514),L514&gt;MIN($L$2:$L$1001),COUNTIF($L$2:$L$1001,L514-1)=0,COUNTIF($L$2:$L$1001,L514-2)&lt;2),"⚠ Missing serial "&amp;(L514-1),IF(AND(MAX(K$1:K513)&gt;0,N(K514)-MAX(K$1:K513)&gt;180),"⚠ Gap &gt; 3h",IF(C514-I514&gt;=0.99,"next day",IF(C514-I514&gt;0.4,"12h → 24h","")))))))))))</f>
        <v/>
      </c>
      <c r="H514" s="4" t="str">
        <f t="shared" ref="H514:H577" si="40">IF(B514="","",_xlfn.LET(_xlpm.t,TRIM(B514),IF(LEFT(_xlpm.t,1)="[",IFERROR(TRIM(MID(_xlpm.t,FIND(": ",_xlpm.t,FIND("]",_xlpm.t))+2,500)),_xlpm.t),_xlpm.t)))</f>
        <v/>
      </c>
      <c r="I514" s="5" t="str">
        <f t="shared" ref="I514:I577" si="41">IF(H514="","",IFERROR(TIMEVALUE(TRIM(SUBSTITUTE(SUBSTITUTE(MID(H514,SEARCH(":",H514)-2,5),".",""),"*",""))),""))</f>
        <v/>
      </c>
      <c r="J514" s="6">
        <f t="shared" ref="J514:J577" si="42">IF(OR(B514="",F514="",M514),0,IF(ISNUMBER(F514),F514,N(E514)))</f>
        <v>0</v>
      </c>
      <c r="K514" s="4" t="str">
        <f t="shared" ref="K514:K577" si="43">IF(OR(C514="",M514),"",ROUND(C514*1440,0))</f>
        <v/>
      </c>
      <c r="L514" s="4" t="str">
        <f t="shared" ref="L514:L577" si="44">IF(OR(H514="",AND(I514="",D514="")),"",IFERROR(_xlfn.LET(_xlpm.t,TRIM(SUBSTITUTE(SUBSTITUTE(H514,"*",""),"_","")),VALUE(SUBSTITUTE(LEFT(_xlpm.t,FIND(" ",_xlpm.t&amp;" ")-1),".",""))),""))</f>
        <v/>
      </c>
      <c r="M514" s="4" t="b" cm="1">
        <f t="array" ref="M514">IF(H514="",FALSE,SUMPRODUCT(--(H$1:H513=H514))&gt;0)</f>
        <v>0</v>
      </c>
    </row>
    <row r="515" spans="1:13" x14ac:dyDescent="0.25">
      <c r="A515" s="9" t="str">
        <f>IF(OR(B515="",M515,G515="— ignored"),"",MAX(A$1:A514)+1)</f>
        <v/>
      </c>
      <c r="B515" s="10"/>
      <c r="C515" s="11" t="str">
        <f>IF(I515="","",ROUND((I515+0.5*MAX(0,CEILING(ROUND((MAX(C$1:C514)-1/48-I515)/0.5,6),1)))*1440,0)/1440)</f>
        <v/>
      </c>
      <c r="D515" s="9" t="str" cm="1">
        <f t="array" ref="D515">IF(H515="","",IFERROR(INDEX(Log!$C$19:$G$19,VALUE(MID(H515,FIND("#",H515)+1,1))),""))</f>
        <v/>
      </c>
      <c r="E515" s="9" t="str" cm="1">
        <f t="array" ref="E515">IF(OR(H515="",M515),"",IFERROR(_xlfn.LET(_xlpm.t,SUBSTITUTE(UPPER(H515),"م","M"),_xlpm.u,SUBSTITUTE(_xlpm.t,"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15" s="12"/>
      <c r="G515" s="13" t="str">
        <f>IF(B515="","",IF(M515,"⚠ Duplicate (not counted)",IF(AND(I515="",D515="",E515=""),"— ignored",IF(C515="","⚠ Time",IF(D515="","⚠ Plant",IF(E515="","⚠ Quantity",IF(AND(ISNUMBER(L515),COUNTIF(L$1:L514,L515)&gt;0),"⚠ Same serial "&amp;L515,IF(AND(ISNUMBER(L515),L515&gt;MIN($L$2:$L$1001),COUNTIF($L$2:$L$1001,L515-1)=0,COUNTIF($L$2:$L$1001,L515-2)&lt;2),"⚠ Missing serial "&amp;(L515-1),IF(AND(MAX(K$1:K514)&gt;0,N(K515)-MAX(K$1:K514)&gt;180),"⚠ Gap &gt; 3h",IF(C515-I515&gt;=0.99,"next day",IF(C515-I515&gt;0.4,"12h → 24h","")))))))))))</f>
        <v/>
      </c>
      <c r="H515" s="4" t="str">
        <f t="shared" si="40"/>
        <v/>
      </c>
      <c r="I515" s="5" t="str">
        <f t="shared" si="41"/>
        <v/>
      </c>
      <c r="J515" s="6">
        <f t="shared" si="42"/>
        <v>0</v>
      </c>
      <c r="K515" s="4" t="str">
        <f t="shared" si="43"/>
        <v/>
      </c>
      <c r="L515" s="4" t="str">
        <f t="shared" si="44"/>
        <v/>
      </c>
      <c r="M515" s="4" t="b" cm="1">
        <f t="array" ref="M515">IF(H515="",FALSE,SUMPRODUCT(--(H$1:H514=H515))&gt;0)</f>
        <v>0</v>
      </c>
    </row>
    <row r="516" spans="1:13" x14ac:dyDescent="0.25">
      <c r="A516" s="9" t="str">
        <f>IF(OR(B516="",M516,G516="— ignored"),"",MAX(A$1:A515)+1)</f>
        <v/>
      </c>
      <c r="B516" s="10"/>
      <c r="C516" s="11" t="str">
        <f>IF(I516="","",ROUND((I516+0.5*MAX(0,CEILING(ROUND((MAX(C$1:C515)-1/48-I516)/0.5,6),1)))*1440,0)/1440)</f>
        <v/>
      </c>
      <c r="D516" s="9" t="str" cm="1">
        <f t="array" ref="D516">IF(H516="","",IFERROR(INDEX(Log!$C$19:$G$19,VALUE(MID(H516,FIND("#",H516)+1,1))),""))</f>
        <v/>
      </c>
      <c r="E516" s="9" t="str" cm="1">
        <f t="array" ref="E516">IF(OR(H516="",M516),"",IFERROR(_xlfn.LET(_xlpm.t,SUBSTITUTE(UPPER(H516),"م","M"),_xlpm.u,SUBSTITUTE(_xlpm.t,"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16" s="12"/>
      <c r="G516" s="13" t="str">
        <f>IF(B516="","",IF(M516,"⚠ Duplicate (not counted)",IF(AND(I516="",D516="",E516=""),"— ignored",IF(C516="","⚠ Time",IF(D516="","⚠ Plant",IF(E516="","⚠ Quantity",IF(AND(ISNUMBER(L516),COUNTIF(L$1:L515,L516)&gt;0),"⚠ Same serial "&amp;L516,IF(AND(ISNUMBER(L516),L516&gt;MIN($L$2:$L$1001),COUNTIF($L$2:$L$1001,L516-1)=0,COUNTIF($L$2:$L$1001,L516-2)&lt;2),"⚠ Missing serial "&amp;(L516-1),IF(AND(MAX(K$1:K515)&gt;0,N(K516)-MAX(K$1:K515)&gt;180),"⚠ Gap &gt; 3h",IF(C516-I516&gt;=0.99,"next day",IF(C516-I516&gt;0.4,"12h → 24h","")))))))))))</f>
        <v/>
      </c>
      <c r="H516" s="4" t="str">
        <f t="shared" si="40"/>
        <v/>
      </c>
      <c r="I516" s="5" t="str">
        <f t="shared" si="41"/>
        <v/>
      </c>
      <c r="J516" s="6">
        <f t="shared" si="42"/>
        <v>0</v>
      </c>
      <c r="K516" s="4" t="str">
        <f t="shared" si="43"/>
        <v/>
      </c>
      <c r="L516" s="4" t="str">
        <f t="shared" si="44"/>
        <v/>
      </c>
      <c r="M516" s="4" t="b" cm="1">
        <f t="array" ref="M516">IF(H516="",FALSE,SUMPRODUCT(--(H$1:H515=H516))&gt;0)</f>
        <v>0</v>
      </c>
    </row>
    <row r="517" spans="1:13" x14ac:dyDescent="0.25">
      <c r="A517" s="9" t="str">
        <f>IF(OR(B517="",M517,G517="— ignored"),"",MAX(A$1:A516)+1)</f>
        <v/>
      </c>
      <c r="B517" s="10"/>
      <c r="C517" s="11" t="str">
        <f>IF(I517="","",ROUND((I517+0.5*MAX(0,CEILING(ROUND((MAX(C$1:C516)-1/48-I517)/0.5,6),1)))*1440,0)/1440)</f>
        <v/>
      </c>
      <c r="D517" s="9" t="str" cm="1">
        <f t="array" ref="D517">IF(H517="","",IFERROR(INDEX(Log!$C$19:$G$19,VALUE(MID(H517,FIND("#",H517)+1,1))),""))</f>
        <v/>
      </c>
      <c r="E517" s="9" t="str" cm="1">
        <f t="array" ref="E517">IF(OR(H517="",M517),"",IFERROR(_xlfn.LET(_xlpm.t,SUBSTITUTE(UPPER(H517),"م","M"),_xlpm.u,SUBSTITUTE(_xlpm.t,"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17" s="12"/>
      <c r="G517" s="13" t="str">
        <f>IF(B517="","",IF(M517,"⚠ Duplicate (not counted)",IF(AND(I517="",D517="",E517=""),"— ignored",IF(C517="","⚠ Time",IF(D517="","⚠ Plant",IF(E517="","⚠ Quantity",IF(AND(ISNUMBER(L517),COUNTIF(L$1:L516,L517)&gt;0),"⚠ Same serial "&amp;L517,IF(AND(ISNUMBER(L517),L517&gt;MIN($L$2:$L$1001),COUNTIF($L$2:$L$1001,L517-1)=0,COUNTIF($L$2:$L$1001,L517-2)&lt;2),"⚠ Missing serial "&amp;(L517-1),IF(AND(MAX(K$1:K516)&gt;0,N(K517)-MAX(K$1:K516)&gt;180),"⚠ Gap &gt; 3h",IF(C517-I517&gt;=0.99,"next day",IF(C517-I517&gt;0.4,"12h → 24h","")))))))))))</f>
        <v/>
      </c>
      <c r="H517" s="4" t="str">
        <f t="shared" si="40"/>
        <v/>
      </c>
      <c r="I517" s="5" t="str">
        <f t="shared" si="41"/>
        <v/>
      </c>
      <c r="J517" s="6">
        <f t="shared" si="42"/>
        <v>0</v>
      </c>
      <c r="K517" s="4" t="str">
        <f t="shared" si="43"/>
        <v/>
      </c>
      <c r="L517" s="4" t="str">
        <f t="shared" si="44"/>
        <v/>
      </c>
      <c r="M517" s="4" t="b" cm="1">
        <f t="array" ref="M517">IF(H517="",FALSE,SUMPRODUCT(--(H$1:H516=H517))&gt;0)</f>
        <v>0</v>
      </c>
    </row>
    <row r="518" spans="1:13" x14ac:dyDescent="0.25">
      <c r="A518" s="9" t="str">
        <f>IF(OR(B518="",M518,G518="— ignored"),"",MAX(A$1:A517)+1)</f>
        <v/>
      </c>
      <c r="B518" s="10"/>
      <c r="C518" s="11" t="str">
        <f>IF(I518="","",ROUND((I518+0.5*MAX(0,CEILING(ROUND((MAX(C$1:C517)-1/48-I518)/0.5,6),1)))*1440,0)/1440)</f>
        <v/>
      </c>
      <c r="D518" s="9" t="str" cm="1">
        <f t="array" ref="D518">IF(H518="","",IFERROR(INDEX(Log!$C$19:$G$19,VALUE(MID(H518,FIND("#",H518)+1,1))),""))</f>
        <v/>
      </c>
      <c r="E518" s="9" t="str" cm="1">
        <f t="array" ref="E518">IF(OR(H518="",M518),"",IFERROR(_xlfn.LET(_xlpm.t,SUBSTITUTE(UPPER(H518),"م","M"),_xlpm.u,SUBSTITUTE(_xlpm.t,"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18" s="12"/>
      <c r="G518" s="13" t="str">
        <f>IF(B518="","",IF(M518,"⚠ Duplicate (not counted)",IF(AND(I518="",D518="",E518=""),"— ignored",IF(C518="","⚠ Time",IF(D518="","⚠ Plant",IF(E518="","⚠ Quantity",IF(AND(ISNUMBER(L518),COUNTIF(L$1:L517,L518)&gt;0),"⚠ Same serial "&amp;L518,IF(AND(ISNUMBER(L518),L518&gt;MIN($L$2:$L$1001),COUNTIF($L$2:$L$1001,L518-1)=0,COUNTIF($L$2:$L$1001,L518-2)&lt;2),"⚠ Missing serial "&amp;(L518-1),IF(AND(MAX(K$1:K517)&gt;0,N(K518)-MAX(K$1:K517)&gt;180),"⚠ Gap &gt; 3h",IF(C518-I518&gt;=0.99,"next day",IF(C518-I518&gt;0.4,"12h → 24h","")))))))))))</f>
        <v/>
      </c>
      <c r="H518" s="4" t="str">
        <f t="shared" si="40"/>
        <v/>
      </c>
      <c r="I518" s="5" t="str">
        <f t="shared" si="41"/>
        <v/>
      </c>
      <c r="J518" s="6">
        <f t="shared" si="42"/>
        <v>0</v>
      </c>
      <c r="K518" s="4" t="str">
        <f t="shared" si="43"/>
        <v/>
      </c>
      <c r="L518" s="4" t="str">
        <f t="shared" si="44"/>
        <v/>
      </c>
      <c r="M518" s="4" t="b" cm="1">
        <f t="array" ref="M518">IF(H518="",FALSE,SUMPRODUCT(--(H$1:H517=H518))&gt;0)</f>
        <v>0</v>
      </c>
    </row>
    <row r="519" spans="1:13" x14ac:dyDescent="0.25">
      <c r="A519" s="9" t="str">
        <f>IF(OR(B519="",M519,G519="— ignored"),"",MAX(A$1:A518)+1)</f>
        <v/>
      </c>
      <c r="B519" s="10"/>
      <c r="C519" s="11" t="str">
        <f>IF(I519="","",ROUND((I519+0.5*MAX(0,CEILING(ROUND((MAX(C$1:C518)-1/48-I519)/0.5,6),1)))*1440,0)/1440)</f>
        <v/>
      </c>
      <c r="D519" s="9" t="str" cm="1">
        <f t="array" ref="D519">IF(H519="","",IFERROR(INDEX(Log!$C$19:$G$19,VALUE(MID(H519,FIND("#",H519)+1,1))),""))</f>
        <v/>
      </c>
      <c r="E519" s="9" t="str" cm="1">
        <f t="array" ref="E519">IF(OR(H519="",M519),"",IFERROR(_xlfn.LET(_xlpm.t,SUBSTITUTE(UPPER(H519),"م","M"),_xlpm.u,SUBSTITUTE(_xlpm.t,"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19" s="12"/>
      <c r="G519" s="13" t="str">
        <f>IF(B519="","",IF(M519,"⚠ Duplicate (not counted)",IF(AND(I519="",D519="",E519=""),"— ignored",IF(C519="","⚠ Time",IF(D519="","⚠ Plant",IF(E519="","⚠ Quantity",IF(AND(ISNUMBER(L519),COUNTIF(L$1:L518,L519)&gt;0),"⚠ Same serial "&amp;L519,IF(AND(ISNUMBER(L519),L519&gt;MIN($L$2:$L$1001),COUNTIF($L$2:$L$1001,L519-1)=0,COUNTIF($L$2:$L$1001,L519-2)&lt;2),"⚠ Missing serial "&amp;(L519-1),IF(AND(MAX(K$1:K518)&gt;0,N(K519)-MAX(K$1:K518)&gt;180),"⚠ Gap &gt; 3h",IF(C519-I519&gt;=0.99,"next day",IF(C519-I519&gt;0.4,"12h → 24h","")))))))))))</f>
        <v/>
      </c>
      <c r="H519" s="4" t="str">
        <f t="shared" si="40"/>
        <v/>
      </c>
      <c r="I519" s="5" t="str">
        <f t="shared" si="41"/>
        <v/>
      </c>
      <c r="J519" s="6">
        <f t="shared" si="42"/>
        <v>0</v>
      </c>
      <c r="K519" s="4" t="str">
        <f t="shared" si="43"/>
        <v/>
      </c>
      <c r="L519" s="4" t="str">
        <f t="shared" si="44"/>
        <v/>
      </c>
      <c r="M519" s="4" t="b" cm="1">
        <f t="array" ref="M519">IF(H519="",FALSE,SUMPRODUCT(--(H$1:H518=H519))&gt;0)</f>
        <v>0</v>
      </c>
    </row>
    <row r="520" spans="1:13" x14ac:dyDescent="0.25">
      <c r="A520" s="9" t="str">
        <f>IF(OR(B520="",M520,G520="— ignored"),"",MAX(A$1:A519)+1)</f>
        <v/>
      </c>
      <c r="B520" s="10"/>
      <c r="C520" s="11" t="str">
        <f>IF(I520="","",ROUND((I520+0.5*MAX(0,CEILING(ROUND((MAX(C$1:C519)-1/48-I520)/0.5,6),1)))*1440,0)/1440)</f>
        <v/>
      </c>
      <c r="D520" s="9" t="str" cm="1">
        <f t="array" ref="D520">IF(H520="","",IFERROR(INDEX(Log!$C$19:$G$19,VALUE(MID(H520,FIND("#",H520)+1,1))),""))</f>
        <v/>
      </c>
      <c r="E520" s="9" t="str" cm="1">
        <f t="array" ref="E520">IF(OR(H520="",M520),"",IFERROR(_xlfn.LET(_xlpm.t,SUBSTITUTE(UPPER(H520),"م","M"),_xlpm.u,SUBSTITUTE(_xlpm.t,"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20" s="12"/>
      <c r="G520" s="13" t="str">
        <f>IF(B520="","",IF(M520,"⚠ Duplicate (not counted)",IF(AND(I520="",D520="",E520=""),"— ignored",IF(C520="","⚠ Time",IF(D520="","⚠ Plant",IF(E520="","⚠ Quantity",IF(AND(ISNUMBER(L520),COUNTIF(L$1:L519,L520)&gt;0),"⚠ Same serial "&amp;L520,IF(AND(ISNUMBER(L520),L520&gt;MIN($L$2:$L$1001),COUNTIF($L$2:$L$1001,L520-1)=0,COUNTIF($L$2:$L$1001,L520-2)&lt;2),"⚠ Missing serial "&amp;(L520-1),IF(AND(MAX(K$1:K519)&gt;0,N(K520)-MAX(K$1:K519)&gt;180),"⚠ Gap &gt; 3h",IF(C520-I520&gt;=0.99,"next day",IF(C520-I520&gt;0.4,"12h → 24h","")))))))))))</f>
        <v/>
      </c>
      <c r="H520" s="4" t="str">
        <f t="shared" si="40"/>
        <v/>
      </c>
      <c r="I520" s="5" t="str">
        <f t="shared" si="41"/>
        <v/>
      </c>
      <c r="J520" s="6">
        <f t="shared" si="42"/>
        <v>0</v>
      </c>
      <c r="K520" s="4" t="str">
        <f t="shared" si="43"/>
        <v/>
      </c>
      <c r="L520" s="4" t="str">
        <f t="shared" si="44"/>
        <v/>
      </c>
      <c r="M520" s="4" t="b" cm="1">
        <f t="array" ref="M520">IF(H520="",FALSE,SUMPRODUCT(--(H$1:H519=H520))&gt;0)</f>
        <v>0</v>
      </c>
    </row>
    <row r="521" spans="1:13" x14ac:dyDescent="0.25">
      <c r="A521" s="9" t="str">
        <f>IF(OR(B521="",M521,G521="— ignored"),"",MAX(A$1:A520)+1)</f>
        <v/>
      </c>
      <c r="B521" s="10"/>
      <c r="C521" s="11" t="str">
        <f>IF(I521="","",ROUND((I521+0.5*MAX(0,CEILING(ROUND((MAX(C$1:C520)-1/48-I521)/0.5,6),1)))*1440,0)/1440)</f>
        <v/>
      </c>
      <c r="D521" s="9" t="str" cm="1">
        <f t="array" ref="D521">IF(H521="","",IFERROR(INDEX(Log!$C$19:$G$19,VALUE(MID(H521,FIND("#",H521)+1,1))),""))</f>
        <v/>
      </c>
      <c r="E521" s="9" t="str" cm="1">
        <f t="array" ref="E521">IF(OR(H521="",M521),"",IFERROR(_xlfn.LET(_xlpm.t,SUBSTITUTE(UPPER(H521),"م","M"),_xlpm.u,SUBSTITUTE(_xlpm.t,"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21" s="12"/>
      <c r="G521" s="13" t="str">
        <f>IF(B521="","",IF(M521,"⚠ Duplicate (not counted)",IF(AND(I521="",D521="",E521=""),"— ignored",IF(C521="","⚠ Time",IF(D521="","⚠ Plant",IF(E521="","⚠ Quantity",IF(AND(ISNUMBER(L521),COUNTIF(L$1:L520,L521)&gt;0),"⚠ Same serial "&amp;L521,IF(AND(ISNUMBER(L521),L521&gt;MIN($L$2:$L$1001),COUNTIF($L$2:$L$1001,L521-1)=0,COUNTIF($L$2:$L$1001,L521-2)&lt;2),"⚠ Missing serial "&amp;(L521-1),IF(AND(MAX(K$1:K520)&gt;0,N(K521)-MAX(K$1:K520)&gt;180),"⚠ Gap &gt; 3h",IF(C521-I521&gt;=0.99,"next day",IF(C521-I521&gt;0.4,"12h → 24h","")))))))))))</f>
        <v/>
      </c>
      <c r="H521" s="4" t="str">
        <f t="shared" si="40"/>
        <v/>
      </c>
      <c r="I521" s="5" t="str">
        <f t="shared" si="41"/>
        <v/>
      </c>
      <c r="J521" s="6">
        <f t="shared" si="42"/>
        <v>0</v>
      </c>
      <c r="K521" s="4" t="str">
        <f t="shared" si="43"/>
        <v/>
      </c>
      <c r="L521" s="4" t="str">
        <f t="shared" si="44"/>
        <v/>
      </c>
      <c r="M521" s="4" t="b" cm="1">
        <f t="array" ref="M521">IF(H521="",FALSE,SUMPRODUCT(--(H$1:H520=H521))&gt;0)</f>
        <v>0</v>
      </c>
    </row>
    <row r="522" spans="1:13" x14ac:dyDescent="0.25">
      <c r="A522" s="9" t="str">
        <f>IF(OR(B522="",M522,G522="— ignored"),"",MAX(A$1:A521)+1)</f>
        <v/>
      </c>
      <c r="B522" s="10"/>
      <c r="C522" s="11" t="str">
        <f>IF(I522="","",ROUND((I522+0.5*MAX(0,CEILING(ROUND((MAX(C$1:C521)-1/48-I522)/0.5,6),1)))*1440,0)/1440)</f>
        <v/>
      </c>
      <c r="D522" s="9" t="str" cm="1">
        <f t="array" ref="D522">IF(H522="","",IFERROR(INDEX(Log!$C$19:$G$19,VALUE(MID(H522,FIND("#",H522)+1,1))),""))</f>
        <v/>
      </c>
      <c r="E522" s="9" t="str" cm="1">
        <f t="array" ref="E522">IF(OR(H522="",M522),"",IFERROR(_xlfn.LET(_xlpm.t,SUBSTITUTE(UPPER(H522),"م","M"),_xlpm.u,SUBSTITUTE(_xlpm.t,"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22" s="12"/>
      <c r="G522" s="13" t="str">
        <f>IF(B522="","",IF(M522,"⚠ Duplicate (not counted)",IF(AND(I522="",D522="",E522=""),"— ignored",IF(C522="","⚠ Time",IF(D522="","⚠ Plant",IF(E522="","⚠ Quantity",IF(AND(ISNUMBER(L522),COUNTIF(L$1:L521,L522)&gt;0),"⚠ Same serial "&amp;L522,IF(AND(ISNUMBER(L522),L522&gt;MIN($L$2:$L$1001),COUNTIF($L$2:$L$1001,L522-1)=0,COUNTIF($L$2:$L$1001,L522-2)&lt;2),"⚠ Missing serial "&amp;(L522-1),IF(AND(MAX(K$1:K521)&gt;0,N(K522)-MAX(K$1:K521)&gt;180),"⚠ Gap &gt; 3h",IF(C522-I522&gt;=0.99,"next day",IF(C522-I522&gt;0.4,"12h → 24h","")))))))))))</f>
        <v/>
      </c>
      <c r="H522" s="4" t="str">
        <f t="shared" si="40"/>
        <v/>
      </c>
      <c r="I522" s="5" t="str">
        <f t="shared" si="41"/>
        <v/>
      </c>
      <c r="J522" s="6">
        <f t="shared" si="42"/>
        <v>0</v>
      </c>
      <c r="K522" s="4" t="str">
        <f t="shared" si="43"/>
        <v/>
      </c>
      <c r="L522" s="4" t="str">
        <f t="shared" si="44"/>
        <v/>
      </c>
      <c r="M522" s="4" t="b" cm="1">
        <f t="array" ref="M522">IF(H522="",FALSE,SUMPRODUCT(--(H$1:H521=H522))&gt;0)</f>
        <v>0</v>
      </c>
    </row>
    <row r="523" spans="1:13" x14ac:dyDescent="0.25">
      <c r="A523" s="9" t="str">
        <f>IF(OR(B523="",M523,G523="— ignored"),"",MAX(A$1:A522)+1)</f>
        <v/>
      </c>
      <c r="B523" s="10"/>
      <c r="C523" s="11" t="str">
        <f>IF(I523="","",ROUND((I523+0.5*MAX(0,CEILING(ROUND((MAX(C$1:C522)-1/48-I523)/0.5,6),1)))*1440,0)/1440)</f>
        <v/>
      </c>
      <c r="D523" s="9" t="str" cm="1">
        <f t="array" ref="D523">IF(H523="","",IFERROR(INDEX(Log!$C$19:$G$19,VALUE(MID(H523,FIND("#",H523)+1,1))),""))</f>
        <v/>
      </c>
      <c r="E523" s="9" t="str" cm="1">
        <f t="array" ref="E523">IF(OR(H523="",M523),"",IFERROR(_xlfn.LET(_xlpm.t,SUBSTITUTE(UPPER(H523),"م","M"),_xlpm.u,SUBSTITUTE(_xlpm.t,"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23" s="12"/>
      <c r="G523" s="13" t="str">
        <f>IF(B523="","",IF(M523,"⚠ Duplicate (not counted)",IF(AND(I523="",D523="",E523=""),"— ignored",IF(C523="","⚠ Time",IF(D523="","⚠ Plant",IF(E523="","⚠ Quantity",IF(AND(ISNUMBER(L523),COUNTIF(L$1:L522,L523)&gt;0),"⚠ Same serial "&amp;L523,IF(AND(ISNUMBER(L523),L523&gt;MIN($L$2:$L$1001),COUNTIF($L$2:$L$1001,L523-1)=0,COUNTIF($L$2:$L$1001,L523-2)&lt;2),"⚠ Missing serial "&amp;(L523-1),IF(AND(MAX(K$1:K522)&gt;0,N(K523)-MAX(K$1:K522)&gt;180),"⚠ Gap &gt; 3h",IF(C523-I523&gt;=0.99,"next day",IF(C523-I523&gt;0.4,"12h → 24h","")))))))))))</f>
        <v/>
      </c>
      <c r="H523" s="4" t="str">
        <f t="shared" si="40"/>
        <v/>
      </c>
      <c r="I523" s="5" t="str">
        <f t="shared" si="41"/>
        <v/>
      </c>
      <c r="J523" s="6">
        <f t="shared" si="42"/>
        <v>0</v>
      </c>
      <c r="K523" s="4" t="str">
        <f t="shared" si="43"/>
        <v/>
      </c>
      <c r="L523" s="4" t="str">
        <f t="shared" si="44"/>
        <v/>
      </c>
      <c r="M523" s="4" t="b" cm="1">
        <f t="array" ref="M523">IF(H523="",FALSE,SUMPRODUCT(--(H$1:H522=H523))&gt;0)</f>
        <v>0</v>
      </c>
    </row>
    <row r="524" spans="1:13" x14ac:dyDescent="0.25">
      <c r="A524" s="9" t="str">
        <f>IF(OR(B524="",M524,G524="— ignored"),"",MAX(A$1:A523)+1)</f>
        <v/>
      </c>
      <c r="B524" s="10"/>
      <c r="C524" s="11" t="str">
        <f>IF(I524="","",ROUND((I524+0.5*MAX(0,CEILING(ROUND((MAX(C$1:C523)-1/48-I524)/0.5,6),1)))*1440,0)/1440)</f>
        <v/>
      </c>
      <c r="D524" s="9" t="str" cm="1">
        <f t="array" ref="D524">IF(H524="","",IFERROR(INDEX(Log!$C$19:$G$19,VALUE(MID(H524,FIND("#",H524)+1,1))),""))</f>
        <v/>
      </c>
      <c r="E524" s="9" t="str" cm="1">
        <f t="array" ref="E524">IF(OR(H524="",M524),"",IFERROR(_xlfn.LET(_xlpm.t,SUBSTITUTE(UPPER(H524),"م","M"),_xlpm.u,SUBSTITUTE(_xlpm.t,"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24" s="12"/>
      <c r="G524" s="13" t="str">
        <f>IF(B524="","",IF(M524,"⚠ Duplicate (not counted)",IF(AND(I524="",D524="",E524=""),"— ignored",IF(C524="","⚠ Time",IF(D524="","⚠ Plant",IF(E524="","⚠ Quantity",IF(AND(ISNUMBER(L524),COUNTIF(L$1:L523,L524)&gt;0),"⚠ Same serial "&amp;L524,IF(AND(ISNUMBER(L524),L524&gt;MIN($L$2:$L$1001),COUNTIF($L$2:$L$1001,L524-1)=0,COUNTIF($L$2:$L$1001,L524-2)&lt;2),"⚠ Missing serial "&amp;(L524-1),IF(AND(MAX(K$1:K523)&gt;0,N(K524)-MAX(K$1:K523)&gt;180),"⚠ Gap &gt; 3h",IF(C524-I524&gt;=0.99,"next day",IF(C524-I524&gt;0.4,"12h → 24h","")))))))))))</f>
        <v/>
      </c>
      <c r="H524" s="4" t="str">
        <f t="shared" si="40"/>
        <v/>
      </c>
      <c r="I524" s="5" t="str">
        <f t="shared" si="41"/>
        <v/>
      </c>
      <c r="J524" s="6">
        <f t="shared" si="42"/>
        <v>0</v>
      </c>
      <c r="K524" s="4" t="str">
        <f t="shared" si="43"/>
        <v/>
      </c>
      <c r="L524" s="4" t="str">
        <f t="shared" si="44"/>
        <v/>
      </c>
      <c r="M524" s="4" t="b" cm="1">
        <f t="array" ref="M524">IF(H524="",FALSE,SUMPRODUCT(--(H$1:H523=H524))&gt;0)</f>
        <v>0</v>
      </c>
    </row>
    <row r="525" spans="1:13" x14ac:dyDescent="0.25">
      <c r="A525" s="9" t="str">
        <f>IF(OR(B525="",M525,G525="— ignored"),"",MAX(A$1:A524)+1)</f>
        <v/>
      </c>
      <c r="B525" s="10"/>
      <c r="C525" s="11" t="str">
        <f>IF(I525="","",ROUND((I525+0.5*MAX(0,CEILING(ROUND((MAX(C$1:C524)-1/48-I525)/0.5,6),1)))*1440,0)/1440)</f>
        <v/>
      </c>
      <c r="D525" s="9" t="str" cm="1">
        <f t="array" ref="D525">IF(H525="","",IFERROR(INDEX(Log!$C$19:$G$19,VALUE(MID(H525,FIND("#",H525)+1,1))),""))</f>
        <v/>
      </c>
      <c r="E525" s="9" t="str" cm="1">
        <f t="array" ref="E525">IF(OR(H525="",M525),"",IFERROR(_xlfn.LET(_xlpm.t,SUBSTITUTE(UPPER(H525),"م","M"),_xlpm.u,SUBSTITUTE(_xlpm.t,"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25" s="12"/>
      <c r="G525" s="13" t="str">
        <f>IF(B525="","",IF(M525,"⚠ Duplicate (not counted)",IF(AND(I525="",D525="",E525=""),"— ignored",IF(C525="","⚠ Time",IF(D525="","⚠ Plant",IF(E525="","⚠ Quantity",IF(AND(ISNUMBER(L525),COUNTIF(L$1:L524,L525)&gt;0),"⚠ Same serial "&amp;L525,IF(AND(ISNUMBER(L525),L525&gt;MIN($L$2:$L$1001),COUNTIF($L$2:$L$1001,L525-1)=0,COUNTIF($L$2:$L$1001,L525-2)&lt;2),"⚠ Missing serial "&amp;(L525-1),IF(AND(MAX(K$1:K524)&gt;0,N(K525)-MAX(K$1:K524)&gt;180),"⚠ Gap &gt; 3h",IF(C525-I525&gt;=0.99,"next day",IF(C525-I525&gt;0.4,"12h → 24h","")))))))))))</f>
        <v/>
      </c>
      <c r="H525" s="4" t="str">
        <f t="shared" si="40"/>
        <v/>
      </c>
      <c r="I525" s="5" t="str">
        <f t="shared" si="41"/>
        <v/>
      </c>
      <c r="J525" s="6">
        <f t="shared" si="42"/>
        <v>0</v>
      </c>
      <c r="K525" s="4" t="str">
        <f t="shared" si="43"/>
        <v/>
      </c>
      <c r="L525" s="4" t="str">
        <f t="shared" si="44"/>
        <v/>
      </c>
      <c r="M525" s="4" t="b" cm="1">
        <f t="array" ref="M525">IF(H525="",FALSE,SUMPRODUCT(--(H$1:H524=H525))&gt;0)</f>
        <v>0</v>
      </c>
    </row>
    <row r="526" spans="1:13" x14ac:dyDescent="0.25">
      <c r="A526" s="9" t="str">
        <f>IF(OR(B526="",M526,G526="— ignored"),"",MAX(A$1:A525)+1)</f>
        <v/>
      </c>
      <c r="B526" s="10"/>
      <c r="C526" s="11" t="str">
        <f>IF(I526="","",ROUND((I526+0.5*MAX(0,CEILING(ROUND((MAX(C$1:C525)-1/48-I526)/0.5,6),1)))*1440,0)/1440)</f>
        <v/>
      </c>
      <c r="D526" s="9" t="str" cm="1">
        <f t="array" ref="D526">IF(H526="","",IFERROR(INDEX(Log!$C$19:$G$19,VALUE(MID(H526,FIND("#",H526)+1,1))),""))</f>
        <v/>
      </c>
      <c r="E526" s="9" t="str" cm="1">
        <f t="array" ref="E526">IF(OR(H526="",M526),"",IFERROR(_xlfn.LET(_xlpm.t,SUBSTITUTE(UPPER(H526),"م","M"),_xlpm.u,SUBSTITUTE(_xlpm.t,"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26" s="12"/>
      <c r="G526" s="13" t="str">
        <f>IF(B526="","",IF(M526,"⚠ Duplicate (not counted)",IF(AND(I526="",D526="",E526=""),"— ignored",IF(C526="","⚠ Time",IF(D526="","⚠ Plant",IF(E526="","⚠ Quantity",IF(AND(ISNUMBER(L526),COUNTIF(L$1:L525,L526)&gt;0),"⚠ Same serial "&amp;L526,IF(AND(ISNUMBER(L526),L526&gt;MIN($L$2:$L$1001),COUNTIF($L$2:$L$1001,L526-1)=0,COUNTIF($L$2:$L$1001,L526-2)&lt;2),"⚠ Missing serial "&amp;(L526-1),IF(AND(MAX(K$1:K525)&gt;0,N(K526)-MAX(K$1:K525)&gt;180),"⚠ Gap &gt; 3h",IF(C526-I526&gt;=0.99,"next day",IF(C526-I526&gt;0.4,"12h → 24h","")))))))))))</f>
        <v/>
      </c>
      <c r="H526" s="4" t="str">
        <f t="shared" si="40"/>
        <v/>
      </c>
      <c r="I526" s="5" t="str">
        <f t="shared" si="41"/>
        <v/>
      </c>
      <c r="J526" s="6">
        <f t="shared" si="42"/>
        <v>0</v>
      </c>
      <c r="K526" s="4" t="str">
        <f t="shared" si="43"/>
        <v/>
      </c>
      <c r="L526" s="4" t="str">
        <f t="shared" si="44"/>
        <v/>
      </c>
      <c r="M526" s="4" t="b" cm="1">
        <f t="array" ref="M526">IF(H526="",FALSE,SUMPRODUCT(--(H$1:H525=H526))&gt;0)</f>
        <v>0</v>
      </c>
    </row>
    <row r="527" spans="1:13" x14ac:dyDescent="0.25">
      <c r="A527" s="9" t="str">
        <f>IF(OR(B527="",M527,G527="— ignored"),"",MAX(A$1:A526)+1)</f>
        <v/>
      </c>
      <c r="B527" s="10"/>
      <c r="C527" s="11" t="str">
        <f>IF(I527="","",ROUND((I527+0.5*MAX(0,CEILING(ROUND((MAX(C$1:C526)-1/48-I527)/0.5,6),1)))*1440,0)/1440)</f>
        <v/>
      </c>
      <c r="D527" s="9" t="str" cm="1">
        <f t="array" ref="D527">IF(H527="","",IFERROR(INDEX(Log!$C$19:$G$19,VALUE(MID(H527,FIND("#",H527)+1,1))),""))</f>
        <v/>
      </c>
      <c r="E527" s="9" t="str" cm="1">
        <f t="array" ref="E527">IF(OR(H527="",M527),"",IFERROR(_xlfn.LET(_xlpm.t,SUBSTITUTE(UPPER(H527),"م","M"),_xlpm.u,SUBSTITUTE(_xlpm.t,"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27" s="12"/>
      <c r="G527" s="13" t="str">
        <f>IF(B527="","",IF(M527,"⚠ Duplicate (not counted)",IF(AND(I527="",D527="",E527=""),"— ignored",IF(C527="","⚠ Time",IF(D527="","⚠ Plant",IF(E527="","⚠ Quantity",IF(AND(ISNUMBER(L527),COUNTIF(L$1:L526,L527)&gt;0),"⚠ Same serial "&amp;L527,IF(AND(ISNUMBER(L527),L527&gt;MIN($L$2:$L$1001),COUNTIF($L$2:$L$1001,L527-1)=0,COUNTIF($L$2:$L$1001,L527-2)&lt;2),"⚠ Missing serial "&amp;(L527-1),IF(AND(MAX(K$1:K526)&gt;0,N(K527)-MAX(K$1:K526)&gt;180),"⚠ Gap &gt; 3h",IF(C527-I527&gt;=0.99,"next day",IF(C527-I527&gt;0.4,"12h → 24h","")))))))))))</f>
        <v/>
      </c>
      <c r="H527" s="4" t="str">
        <f t="shared" si="40"/>
        <v/>
      </c>
      <c r="I527" s="5" t="str">
        <f t="shared" si="41"/>
        <v/>
      </c>
      <c r="J527" s="6">
        <f t="shared" si="42"/>
        <v>0</v>
      </c>
      <c r="K527" s="4" t="str">
        <f t="shared" si="43"/>
        <v/>
      </c>
      <c r="L527" s="4" t="str">
        <f t="shared" si="44"/>
        <v/>
      </c>
      <c r="M527" s="4" t="b" cm="1">
        <f t="array" ref="M527">IF(H527="",FALSE,SUMPRODUCT(--(H$1:H526=H527))&gt;0)</f>
        <v>0</v>
      </c>
    </row>
    <row r="528" spans="1:13" x14ac:dyDescent="0.25">
      <c r="A528" s="9" t="str">
        <f>IF(OR(B528="",M528,G528="— ignored"),"",MAX(A$1:A527)+1)</f>
        <v/>
      </c>
      <c r="B528" s="10"/>
      <c r="C528" s="11" t="str">
        <f>IF(I528="","",ROUND((I528+0.5*MAX(0,CEILING(ROUND((MAX(C$1:C527)-1/48-I528)/0.5,6),1)))*1440,0)/1440)</f>
        <v/>
      </c>
      <c r="D528" s="9" t="str" cm="1">
        <f t="array" ref="D528">IF(H528="","",IFERROR(INDEX(Log!$C$19:$G$19,VALUE(MID(H528,FIND("#",H528)+1,1))),""))</f>
        <v/>
      </c>
      <c r="E528" s="9" t="str" cm="1">
        <f t="array" ref="E528">IF(OR(H528="",M528),"",IFERROR(_xlfn.LET(_xlpm.t,SUBSTITUTE(UPPER(H528),"م","M"),_xlpm.u,SUBSTITUTE(_xlpm.t,"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28" s="12"/>
      <c r="G528" s="13" t="str">
        <f>IF(B528="","",IF(M528,"⚠ Duplicate (not counted)",IF(AND(I528="",D528="",E528=""),"— ignored",IF(C528="","⚠ Time",IF(D528="","⚠ Plant",IF(E528="","⚠ Quantity",IF(AND(ISNUMBER(L528),COUNTIF(L$1:L527,L528)&gt;0),"⚠ Same serial "&amp;L528,IF(AND(ISNUMBER(L528),L528&gt;MIN($L$2:$L$1001),COUNTIF($L$2:$L$1001,L528-1)=0,COUNTIF($L$2:$L$1001,L528-2)&lt;2),"⚠ Missing serial "&amp;(L528-1),IF(AND(MAX(K$1:K527)&gt;0,N(K528)-MAX(K$1:K527)&gt;180),"⚠ Gap &gt; 3h",IF(C528-I528&gt;=0.99,"next day",IF(C528-I528&gt;0.4,"12h → 24h","")))))))))))</f>
        <v/>
      </c>
      <c r="H528" s="4" t="str">
        <f t="shared" si="40"/>
        <v/>
      </c>
      <c r="I528" s="5" t="str">
        <f t="shared" si="41"/>
        <v/>
      </c>
      <c r="J528" s="6">
        <f t="shared" si="42"/>
        <v>0</v>
      </c>
      <c r="K528" s="4" t="str">
        <f t="shared" si="43"/>
        <v/>
      </c>
      <c r="L528" s="4" t="str">
        <f t="shared" si="44"/>
        <v/>
      </c>
      <c r="M528" s="4" t="b" cm="1">
        <f t="array" ref="M528">IF(H528="",FALSE,SUMPRODUCT(--(H$1:H527=H528))&gt;0)</f>
        <v>0</v>
      </c>
    </row>
    <row r="529" spans="1:13" x14ac:dyDescent="0.25">
      <c r="A529" s="9" t="str">
        <f>IF(OR(B529="",M529,G529="— ignored"),"",MAX(A$1:A528)+1)</f>
        <v/>
      </c>
      <c r="B529" s="10"/>
      <c r="C529" s="11" t="str">
        <f>IF(I529="","",ROUND((I529+0.5*MAX(0,CEILING(ROUND((MAX(C$1:C528)-1/48-I529)/0.5,6),1)))*1440,0)/1440)</f>
        <v/>
      </c>
      <c r="D529" s="9" t="str" cm="1">
        <f t="array" ref="D529">IF(H529="","",IFERROR(INDEX(Log!$C$19:$G$19,VALUE(MID(H529,FIND("#",H529)+1,1))),""))</f>
        <v/>
      </c>
      <c r="E529" s="9" t="str" cm="1">
        <f t="array" ref="E529">IF(OR(H529="",M529),"",IFERROR(_xlfn.LET(_xlpm.t,SUBSTITUTE(UPPER(H529),"م","M"),_xlpm.u,SUBSTITUTE(_xlpm.t,"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29" s="12"/>
      <c r="G529" s="13" t="str">
        <f>IF(B529="","",IF(M529,"⚠ Duplicate (not counted)",IF(AND(I529="",D529="",E529=""),"— ignored",IF(C529="","⚠ Time",IF(D529="","⚠ Plant",IF(E529="","⚠ Quantity",IF(AND(ISNUMBER(L529),COUNTIF(L$1:L528,L529)&gt;0),"⚠ Same serial "&amp;L529,IF(AND(ISNUMBER(L529),L529&gt;MIN($L$2:$L$1001),COUNTIF($L$2:$L$1001,L529-1)=0,COUNTIF($L$2:$L$1001,L529-2)&lt;2),"⚠ Missing serial "&amp;(L529-1),IF(AND(MAX(K$1:K528)&gt;0,N(K529)-MAX(K$1:K528)&gt;180),"⚠ Gap &gt; 3h",IF(C529-I529&gt;=0.99,"next day",IF(C529-I529&gt;0.4,"12h → 24h","")))))))))))</f>
        <v/>
      </c>
      <c r="H529" s="4" t="str">
        <f t="shared" si="40"/>
        <v/>
      </c>
      <c r="I529" s="5" t="str">
        <f t="shared" si="41"/>
        <v/>
      </c>
      <c r="J529" s="6">
        <f t="shared" si="42"/>
        <v>0</v>
      </c>
      <c r="K529" s="4" t="str">
        <f t="shared" si="43"/>
        <v/>
      </c>
      <c r="L529" s="4" t="str">
        <f t="shared" si="44"/>
        <v/>
      </c>
      <c r="M529" s="4" t="b" cm="1">
        <f t="array" ref="M529">IF(H529="",FALSE,SUMPRODUCT(--(H$1:H528=H529))&gt;0)</f>
        <v>0</v>
      </c>
    </row>
    <row r="530" spans="1:13" x14ac:dyDescent="0.25">
      <c r="A530" s="9" t="str">
        <f>IF(OR(B530="",M530,G530="— ignored"),"",MAX(A$1:A529)+1)</f>
        <v/>
      </c>
      <c r="B530" s="10"/>
      <c r="C530" s="11" t="str">
        <f>IF(I530="","",ROUND((I530+0.5*MAX(0,CEILING(ROUND((MAX(C$1:C529)-1/48-I530)/0.5,6),1)))*1440,0)/1440)</f>
        <v/>
      </c>
      <c r="D530" s="9" t="str" cm="1">
        <f t="array" ref="D530">IF(H530="","",IFERROR(INDEX(Log!$C$19:$G$19,VALUE(MID(H530,FIND("#",H530)+1,1))),""))</f>
        <v/>
      </c>
      <c r="E530" s="9" t="str" cm="1">
        <f t="array" ref="E530">IF(OR(H530="",M530),"",IFERROR(_xlfn.LET(_xlpm.t,SUBSTITUTE(UPPER(H530),"م","M"),_xlpm.u,SUBSTITUTE(_xlpm.t,"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30" s="12"/>
      <c r="G530" s="13" t="str">
        <f>IF(B530="","",IF(M530,"⚠ Duplicate (not counted)",IF(AND(I530="",D530="",E530=""),"— ignored",IF(C530="","⚠ Time",IF(D530="","⚠ Plant",IF(E530="","⚠ Quantity",IF(AND(ISNUMBER(L530),COUNTIF(L$1:L529,L530)&gt;0),"⚠ Same serial "&amp;L530,IF(AND(ISNUMBER(L530),L530&gt;MIN($L$2:$L$1001),COUNTIF($L$2:$L$1001,L530-1)=0,COUNTIF($L$2:$L$1001,L530-2)&lt;2),"⚠ Missing serial "&amp;(L530-1),IF(AND(MAX(K$1:K529)&gt;0,N(K530)-MAX(K$1:K529)&gt;180),"⚠ Gap &gt; 3h",IF(C530-I530&gt;=0.99,"next day",IF(C530-I530&gt;0.4,"12h → 24h","")))))))))))</f>
        <v/>
      </c>
      <c r="H530" s="4" t="str">
        <f t="shared" si="40"/>
        <v/>
      </c>
      <c r="I530" s="5" t="str">
        <f t="shared" si="41"/>
        <v/>
      </c>
      <c r="J530" s="6">
        <f t="shared" si="42"/>
        <v>0</v>
      </c>
      <c r="K530" s="4" t="str">
        <f t="shared" si="43"/>
        <v/>
      </c>
      <c r="L530" s="4" t="str">
        <f t="shared" si="44"/>
        <v/>
      </c>
      <c r="M530" s="4" t="b" cm="1">
        <f t="array" ref="M530">IF(H530="",FALSE,SUMPRODUCT(--(H$1:H529=H530))&gt;0)</f>
        <v>0</v>
      </c>
    </row>
    <row r="531" spans="1:13" x14ac:dyDescent="0.25">
      <c r="A531" s="9" t="str">
        <f>IF(OR(B531="",M531,G531="— ignored"),"",MAX(A$1:A530)+1)</f>
        <v/>
      </c>
      <c r="B531" s="10"/>
      <c r="C531" s="11" t="str">
        <f>IF(I531="","",ROUND((I531+0.5*MAX(0,CEILING(ROUND((MAX(C$1:C530)-1/48-I531)/0.5,6),1)))*1440,0)/1440)</f>
        <v/>
      </c>
      <c r="D531" s="9" t="str" cm="1">
        <f t="array" ref="D531">IF(H531="","",IFERROR(INDEX(Log!$C$19:$G$19,VALUE(MID(H531,FIND("#",H531)+1,1))),""))</f>
        <v/>
      </c>
      <c r="E531" s="9" t="str" cm="1">
        <f t="array" ref="E531">IF(OR(H531="",M531),"",IFERROR(_xlfn.LET(_xlpm.t,SUBSTITUTE(UPPER(H531),"م","M"),_xlpm.u,SUBSTITUTE(_xlpm.t,"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31" s="12"/>
      <c r="G531" s="13" t="str">
        <f>IF(B531="","",IF(M531,"⚠ Duplicate (not counted)",IF(AND(I531="",D531="",E531=""),"— ignored",IF(C531="","⚠ Time",IF(D531="","⚠ Plant",IF(E531="","⚠ Quantity",IF(AND(ISNUMBER(L531),COUNTIF(L$1:L530,L531)&gt;0),"⚠ Same serial "&amp;L531,IF(AND(ISNUMBER(L531),L531&gt;MIN($L$2:$L$1001),COUNTIF($L$2:$L$1001,L531-1)=0,COUNTIF($L$2:$L$1001,L531-2)&lt;2),"⚠ Missing serial "&amp;(L531-1),IF(AND(MAX(K$1:K530)&gt;0,N(K531)-MAX(K$1:K530)&gt;180),"⚠ Gap &gt; 3h",IF(C531-I531&gt;=0.99,"next day",IF(C531-I531&gt;0.4,"12h → 24h","")))))))))))</f>
        <v/>
      </c>
      <c r="H531" s="4" t="str">
        <f t="shared" si="40"/>
        <v/>
      </c>
      <c r="I531" s="5" t="str">
        <f t="shared" si="41"/>
        <v/>
      </c>
      <c r="J531" s="6">
        <f t="shared" si="42"/>
        <v>0</v>
      </c>
      <c r="K531" s="4" t="str">
        <f t="shared" si="43"/>
        <v/>
      </c>
      <c r="L531" s="4" t="str">
        <f t="shared" si="44"/>
        <v/>
      </c>
      <c r="M531" s="4" t="b" cm="1">
        <f t="array" ref="M531">IF(H531="",FALSE,SUMPRODUCT(--(H$1:H530=H531))&gt;0)</f>
        <v>0</v>
      </c>
    </row>
    <row r="532" spans="1:13" x14ac:dyDescent="0.25">
      <c r="A532" s="9" t="str">
        <f>IF(OR(B532="",M532,G532="— ignored"),"",MAX(A$1:A531)+1)</f>
        <v/>
      </c>
      <c r="B532" s="10"/>
      <c r="C532" s="11" t="str">
        <f>IF(I532="","",ROUND((I532+0.5*MAX(0,CEILING(ROUND((MAX(C$1:C531)-1/48-I532)/0.5,6),1)))*1440,0)/1440)</f>
        <v/>
      </c>
      <c r="D532" s="9" t="str" cm="1">
        <f t="array" ref="D532">IF(H532="","",IFERROR(INDEX(Log!$C$19:$G$19,VALUE(MID(H532,FIND("#",H532)+1,1))),""))</f>
        <v/>
      </c>
      <c r="E532" s="9" t="str" cm="1">
        <f t="array" ref="E532">IF(OR(H532="",M532),"",IFERROR(_xlfn.LET(_xlpm.t,SUBSTITUTE(UPPER(H532),"م","M"),_xlpm.u,SUBSTITUTE(_xlpm.t,"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32" s="12"/>
      <c r="G532" s="13" t="str">
        <f>IF(B532="","",IF(M532,"⚠ Duplicate (not counted)",IF(AND(I532="",D532="",E532=""),"— ignored",IF(C532="","⚠ Time",IF(D532="","⚠ Plant",IF(E532="","⚠ Quantity",IF(AND(ISNUMBER(L532),COUNTIF(L$1:L531,L532)&gt;0),"⚠ Same serial "&amp;L532,IF(AND(ISNUMBER(L532),L532&gt;MIN($L$2:$L$1001),COUNTIF($L$2:$L$1001,L532-1)=0,COUNTIF($L$2:$L$1001,L532-2)&lt;2),"⚠ Missing serial "&amp;(L532-1),IF(AND(MAX(K$1:K531)&gt;0,N(K532)-MAX(K$1:K531)&gt;180),"⚠ Gap &gt; 3h",IF(C532-I532&gt;=0.99,"next day",IF(C532-I532&gt;0.4,"12h → 24h","")))))))))))</f>
        <v/>
      </c>
      <c r="H532" s="4" t="str">
        <f t="shared" si="40"/>
        <v/>
      </c>
      <c r="I532" s="5" t="str">
        <f t="shared" si="41"/>
        <v/>
      </c>
      <c r="J532" s="6">
        <f t="shared" si="42"/>
        <v>0</v>
      </c>
      <c r="K532" s="4" t="str">
        <f t="shared" si="43"/>
        <v/>
      </c>
      <c r="L532" s="4" t="str">
        <f t="shared" si="44"/>
        <v/>
      </c>
      <c r="M532" s="4" t="b" cm="1">
        <f t="array" ref="M532">IF(H532="",FALSE,SUMPRODUCT(--(H$1:H531=H532))&gt;0)</f>
        <v>0</v>
      </c>
    </row>
    <row r="533" spans="1:13" x14ac:dyDescent="0.25">
      <c r="A533" s="9" t="str">
        <f>IF(OR(B533="",M533,G533="— ignored"),"",MAX(A$1:A532)+1)</f>
        <v/>
      </c>
      <c r="B533" s="10"/>
      <c r="C533" s="11" t="str">
        <f>IF(I533="","",ROUND((I533+0.5*MAX(0,CEILING(ROUND((MAX(C$1:C532)-1/48-I533)/0.5,6),1)))*1440,0)/1440)</f>
        <v/>
      </c>
      <c r="D533" s="9" t="str" cm="1">
        <f t="array" ref="D533">IF(H533="","",IFERROR(INDEX(Log!$C$19:$G$19,VALUE(MID(H533,FIND("#",H533)+1,1))),""))</f>
        <v/>
      </c>
      <c r="E533" s="9" t="str" cm="1">
        <f t="array" ref="E533">IF(OR(H533="",M533),"",IFERROR(_xlfn.LET(_xlpm.t,SUBSTITUTE(UPPER(H533),"م","M"),_xlpm.u,SUBSTITUTE(_xlpm.t,"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33" s="12"/>
      <c r="G533" s="13" t="str">
        <f>IF(B533="","",IF(M533,"⚠ Duplicate (not counted)",IF(AND(I533="",D533="",E533=""),"— ignored",IF(C533="","⚠ Time",IF(D533="","⚠ Plant",IF(E533="","⚠ Quantity",IF(AND(ISNUMBER(L533),COUNTIF(L$1:L532,L533)&gt;0),"⚠ Same serial "&amp;L533,IF(AND(ISNUMBER(L533),L533&gt;MIN($L$2:$L$1001),COUNTIF($L$2:$L$1001,L533-1)=0,COUNTIF($L$2:$L$1001,L533-2)&lt;2),"⚠ Missing serial "&amp;(L533-1),IF(AND(MAX(K$1:K532)&gt;0,N(K533)-MAX(K$1:K532)&gt;180),"⚠ Gap &gt; 3h",IF(C533-I533&gt;=0.99,"next day",IF(C533-I533&gt;0.4,"12h → 24h","")))))))))))</f>
        <v/>
      </c>
      <c r="H533" s="4" t="str">
        <f t="shared" si="40"/>
        <v/>
      </c>
      <c r="I533" s="5" t="str">
        <f t="shared" si="41"/>
        <v/>
      </c>
      <c r="J533" s="6">
        <f t="shared" si="42"/>
        <v>0</v>
      </c>
      <c r="K533" s="4" t="str">
        <f t="shared" si="43"/>
        <v/>
      </c>
      <c r="L533" s="4" t="str">
        <f t="shared" si="44"/>
        <v/>
      </c>
      <c r="M533" s="4" t="b" cm="1">
        <f t="array" ref="M533">IF(H533="",FALSE,SUMPRODUCT(--(H$1:H532=H533))&gt;0)</f>
        <v>0</v>
      </c>
    </row>
    <row r="534" spans="1:13" x14ac:dyDescent="0.25">
      <c r="A534" s="9" t="str">
        <f>IF(OR(B534="",M534,G534="— ignored"),"",MAX(A$1:A533)+1)</f>
        <v/>
      </c>
      <c r="B534" s="10"/>
      <c r="C534" s="11" t="str">
        <f>IF(I534="","",ROUND((I534+0.5*MAX(0,CEILING(ROUND((MAX(C$1:C533)-1/48-I534)/0.5,6),1)))*1440,0)/1440)</f>
        <v/>
      </c>
      <c r="D534" s="9" t="str" cm="1">
        <f t="array" ref="D534">IF(H534="","",IFERROR(INDEX(Log!$C$19:$G$19,VALUE(MID(H534,FIND("#",H534)+1,1))),""))</f>
        <v/>
      </c>
      <c r="E534" s="9" t="str" cm="1">
        <f t="array" ref="E534">IF(OR(H534="",M534),"",IFERROR(_xlfn.LET(_xlpm.t,SUBSTITUTE(UPPER(H534),"م","M"),_xlpm.u,SUBSTITUTE(_xlpm.t,"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34" s="12"/>
      <c r="G534" s="13" t="str">
        <f>IF(B534="","",IF(M534,"⚠ Duplicate (not counted)",IF(AND(I534="",D534="",E534=""),"— ignored",IF(C534="","⚠ Time",IF(D534="","⚠ Plant",IF(E534="","⚠ Quantity",IF(AND(ISNUMBER(L534),COUNTIF(L$1:L533,L534)&gt;0),"⚠ Same serial "&amp;L534,IF(AND(ISNUMBER(L534),L534&gt;MIN($L$2:$L$1001),COUNTIF($L$2:$L$1001,L534-1)=0,COUNTIF($L$2:$L$1001,L534-2)&lt;2),"⚠ Missing serial "&amp;(L534-1),IF(AND(MAX(K$1:K533)&gt;0,N(K534)-MAX(K$1:K533)&gt;180),"⚠ Gap &gt; 3h",IF(C534-I534&gt;=0.99,"next day",IF(C534-I534&gt;0.4,"12h → 24h","")))))))))))</f>
        <v/>
      </c>
      <c r="H534" s="4" t="str">
        <f t="shared" si="40"/>
        <v/>
      </c>
      <c r="I534" s="5" t="str">
        <f t="shared" si="41"/>
        <v/>
      </c>
      <c r="J534" s="6">
        <f t="shared" si="42"/>
        <v>0</v>
      </c>
      <c r="K534" s="4" t="str">
        <f t="shared" si="43"/>
        <v/>
      </c>
      <c r="L534" s="4" t="str">
        <f t="shared" si="44"/>
        <v/>
      </c>
      <c r="M534" s="4" t="b" cm="1">
        <f t="array" ref="M534">IF(H534="",FALSE,SUMPRODUCT(--(H$1:H533=H534))&gt;0)</f>
        <v>0</v>
      </c>
    </row>
    <row r="535" spans="1:13" x14ac:dyDescent="0.25">
      <c r="A535" s="9" t="str">
        <f>IF(OR(B535="",M535,G535="— ignored"),"",MAX(A$1:A534)+1)</f>
        <v/>
      </c>
      <c r="B535" s="10"/>
      <c r="C535" s="11" t="str">
        <f>IF(I535="","",ROUND((I535+0.5*MAX(0,CEILING(ROUND((MAX(C$1:C534)-1/48-I535)/0.5,6),1)))*1440,0)/1440)</f>
        <v/>
      </c>
      <c r="D535" s="9" t="str" cm="1">
        <f t="array" ref="D535">IF(H535="","",IFERROR(INDEX(Log!$C$19:$G$19,VALUE(MID(H535,FIND("#",H535)+1,1))),""))</f>
        <v/>
      </c>
      <c r="E535" s="9" t="str" cm="1">
        <f t="array" ref="E535">IF(OR(H535="",M535),"",IFERROR(_xlfn.LET(_xlpm.t,SUBSTITUTE(UPPER(H535),"م","M"),_xlpm.u,SUBSTITUTE(_xlpm.t,"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35" s="12"/>
      <c r="G535" s="13" t="str">
        <f>IF(B535="","",IF(M535,"⚠ Duplicate (not counted)",IF(AND(I535="",D535="",E535=""),"— ignored",IF(C535="","⚠ Time",IF(D535="","⚠ Plant",IF(E535="","⚠ Quantity",IF(AND(ISNUMBER(L535),COUNTIF(L$1:L534,L535)&gt;0),"⚠ Same serial "&amp;L535,IF(AND(ISNUMBER(L535),L535&gt;MIN($L$2:$L$1001),COUNTIF($L$2:$L$1001,L535-1)=0,COUNTIF($L$2:$L$1001,L535-2)&lt;2),"⚠ Missing serial "&amp;(L535-1),IF(AND(MAX(K$1:K534)&gt;0,N(K535)-MAX(K$1:K534)&gt;180),"⚠ Gap &gt; 3h",IF(C535-I535&gt;=0.99,"next day",IF(C535-I535&gt;0.4,"12h → 24h","")))))))))))</f>
        <v/>
      </c>
      <c r="H535" s="4" t="str">
        <f t="shared" si="40"/>
        <v/>
      </c>
      <c r="I535" s="5" t="str">
        <f t="shared" si="41"/>
        <v/>
      </c>
      <c r="J535" s="6">
        <f t="shared" si="42"/>
        <v>0</v>
      </c>
      <c r="K535" s="4" t="str">
        <f t="shared" si="43"/>
        <v/>
      </c>
      <c r="L535" s="4" t="str">
        <f t="shared" si="44"/>
        <v/>
      </c>
      <c r="M535" s="4" t="b" cm="1">
        <f t="array" ref="M535">IF(H535="",FALSE,SUMPRODUCT(--(H$1:H534=H535))&gt;0)</f>
        <v>0</v>
      </c>
    </row>
    <row r="536" spans="1:13" x14ac:dyDescent="0.25">
      <c r="A536" s="9" t="str">
        <f>IF(OR(B536="",M536,G536="— ignored"),"",MAX(A$1:A535)+1)</f>
        <v/>
      </c>
      <c r="B536" s="10"/>
      <c r="C536" s="11" t="str">
        <f>IF(I536="","",ROUND((I536+0.5*MAX(0,CEILING(ROUND((MAX(C$1:C535)-1/48-I536)/0.5,6),1)))*1440,0)/1440)</f>
        <v/>
      </c>
      <c r="D536" s="9" t="str" cm="1">
        <f t="array" ref="D536">IF(H536="","",IFERROR(INDEX(Log!$C$19:$G$19,VALUE(MID(H536,FIND("#",H536)+1,1))),""))</f>
        <v/>
      </c>
      <c r="E536" s="9" t="str" cm="1">
        <f t="array" ref="E536">IF(OR(H536="",M536),"",IFERROR(_xlfn.LET(_xlpm.t,SUBSTITUTE(UPPER(H536),"م","M"),_xlpm.u,SUBSTITUTE(_xlpm.t,"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36" s="12"/>
      <c r="G536" s="13" t="str">
        <f>IF(B536="","",IF(M536,"⚠ Duplicate (not counted)",IF(AND(I536="",D536="",E536=""),"— ignored",IF(C536="","⚠ Time",IF(D536="","⚠ Plant",IF(E536="","⚠ Quantity",IF(AND(ISNUMBER(L536),COUNTIF(L$1:L535,L536)&gt;0),"⚠ Same serial "&amp;L536,IF(AND(ISNUMBER(L536),L536&gt;MIN($L$2:$L$1001),COUNTIF($L$2:$L$1001,L536-1)=0,COUNTIF($L$2:$L$1001,L536-2)&lt;2),"⚠ Missing serial "&amp;(L536-1),IF(AND(MAX(K$1:K535)&gt;0,N(K536)-MAX(K$1:K535)&gt;180),"⚠ Gap &gt; 3h",IF(C536-I536&gt;=0.99,"next day",IF(C536-I536&gt;0.4,"12h → 24h","")))))))))))</f>
        <v/>
      </c>
      <c r="H536" s="4" t="str">
        <f t="shared" si="40"/>
        <v/>
      </c>
      <c r="I536" s="5" t="str">
        <f t="shared" si="41"/>
        <v/>
      </c>
      <c r="J536" s="6">
        <f t="shared" si="42"/>
        <v>0</v>
      </c>
      <c r="K536" s="4" t="str">
        <f t="shared" si="43"/>
        <v/>
      </c>
      <c r="L536" s="4" t="str">
        <f t="shared" si="44"/>
        <v/>
      </c>
      <c r="M536" s="4" t="b" cm="1">
        <f t="array" ref="M536">IF(H536="",FALSE,SUMPRODUCT(--(H$1:H535=H536))&gt;0)</f>
        <v>0</v>
      </c>
    </row>
    <row r="537" spans="1:13" x14ac:dyDescent="0.25">
      <c r="A537" s="9" t="str">
        <f>IF(OR(B537="",M537,G537="— ignored"),"",MAX(A$1:A536)+1)</f>
        <v/>
      </c>
      <c r="B537" s="10"/>
      <c r="C537" s="11" t="str">
        <f>IF(I537="","",ROUND((I537+0.5*MAX(0,CEILING(ROUND((MAX(C$1:C536)-1/48-I537)/0.5,6),1)))*1440,0)/1440)</f>
        <v/>
      </c>
      <c r="D537" s="9" t="str" cm="1">
        <f t="array" ref="D537">IF(H537="","",IFERROR(INDEX(Log!$C$19:$G$19,VALUE(MID(H537,FIND("#",H537)+1,1))),""))</f>
        <v/>
      </c>
      <c r="E537" s="9" t="str" cm="1">
        <f t="array" ref="E537">IF(OR(H537="",M537),"",IFERROR(_xlfn.LET(_xlpm.t,SUBSTITUTE(UPPER(H537),"م","M"),_xlpm.u,SUBSTITUTE(_xlpm.t,"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37" s="12"/>
      <c r="G537" s="13" t="str">
        <f>IF(B537="","",IF(M537,"⚠ Duplicate (not counted)",IF(AND(I537="",D537="",E537=""),"— ignored",IF(C537="","⚠ Time",IF(D537="","⚠ Plant",IF(E537="","⚠ Quantity",IF(AND(ISNUMBER(L537),COUNTIF(L$1:L536,L537)&gt;0),"⚠ Same serial "&amp;L537,IF(AND(ISNUMBER(L537),L537&gt;MIN($L$2:$L$1001),COUNTIF($L$2:$L$1001,L537-1)=0,COUNTIF($L$2:$L$1001,L537-2)&lt;2),"⚠ Missing serial "&amp;(L537-1),IF(AND(MAX(K$1:K536)&gt;0,N(K537)-MAX(K$1:K536)&gt;180),"⚠ Gap &gt; 3h",IF(C537-I537&gt;=0.99,"next day",IF(C537-I537&gt;0.4,"12h → 24h","")))))))))))</f>
        <v/>
      </c>
      <c r="H537" s="4" t="str">
        <f t="shared" si="40"/>
        <v/>
      </c>
      <c r="I537" s="5" t="str">
        <f t="shared" si="41"/>
        <v/>
      </c>
      <c r="J537" s="6">
        <f t="shared" si="42"/>
        <v>0</v>
      </c>
      <c r="K537" s="4" t="str">
        <f t="shared" si="43"/>
        <v/>
      </c>
      <c r="L537" s="4" t="str">
        <f t="shared" si="44"/>
        <v/>
      </c>
      <c r="M537" s="4" t="b" cm="1">
        <f t="array" ref="M537">IF(H537="",FALSE,SUMPRODUCT(--(H$1:H536=H537))&gt;0)</f>
        <v>0</v>
      </c>
    </row>
    <row r="538" spans="1:13" x14ac:dyDescent="0.25">
      <c r="A538" s="9" t="str">
        <f>IF(OR(B538="",M538,G538="— ignored"),"",MAX(A$1:A537)+1)</f>
        <v/>
      </c>
      <c r="B538" s="10"/>
      <c r="C538" s="11" t="str">
        <f>IF(I538="","",ROUND((I538+0.5*MAX(0,CEILING(ROUND((MAX(C$1:C537)-1/48-I538)/0.5,6),1)))*1440,0)/1440)</f>
        <v/>
      </c>
      <c r="D538" s="9" t="str" cm="1">
        <f t="array" ref="D538">IF(H538="","",IFERROR(INDEX(Log!$C$19:$G$19,VALUE(MID(H538,FIND("#",H538)+1,1))),""))</f>
        <v/>
      </c>
      <c r="E538" s="9" t="str" cm="1">
        <f t="array" ref="E538">IF(OR(H538="",M538),"",IFERROR(_xlfn.LET(_xlpm.t,SUBSTITUTE(UPPER(H538),"م","M"),_xlpm.u,SUBSTITUTE(_xlpm.t,"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38" s="12"/>
      <c r="G538" s="13" t="str">
        <f>IF(B538="","",IF(M538,"⚠ Duplicate (not counted)",IF(AND(I538="",D538="",E538=""),"— ignored",IF(C538="","⚠ Time",IF(D538="","⚠ Plant",IF(E538="","⚠ Quantity",IF(AND(ISNUMBER(L538),COUNTIF(L$1:L537,L538)&gt;0),"⚠ Same serial "&amp;L538,IF(AND(ISNUMBER(L538),L538&gt;MIN($L$2:$L$1001),COUNTIF($L$2:$L$1001,L538-1)=0,COUNTIF($L$2:$L$1001,L538-2)&lt;2),"⚠ Missing serial "&amp;(L538-1),IF(AND(MAX(K$1:K537)&gt;0,N(K538)-MAX(K$1:K537)&gt;180),"⚠ Gap &gt; 3h",IF(C538-I538&gt;=0.99,"next day",IF(C538-I538&gt;0.4,"12h → 24h","")))))))))))</f>
        <v/>
      </c>
      <c r="H538" s="4" t="str">
        <f t="shared" si="40"/>
        <v/>
      </c>
      <c r="I538" s="5" t="str">
        <f t="shared" si="41"/>
        <v/>
      </c>
      <c r="J538" s="6">
        <f t="shared" si="42"/>
        <v>0</v>
      </c>
      <c r="K538" s="4" t="str">
        <f t="shared" si="43"/>
        <v/>
      </c>
      <c r="L538" s="4" t="str">
        <f t="shared" si="44"/>
        <v/>
      </c>
      <c r="M538" s="4" t="b" cm="1">
        <f t="array" ref="M538">IF(H538="",FALSE,SUMPRODUCT(--(H$1:H537=H538))&gt;0)</f>
        <v>0</v>
      </c>
    </row>
    <row r="539" spans="1:13" x14ac:dyDescent="0.25">
      <c r="A539" s="9" t="str">
        <f>IF(OR(B539="",M539,G539="— ignored"),"",MAX(A$1:A538)+1)</f>
        <v/>
      </c>
      <c r="B539" s="10"/>
      <c r="C539" s="11" t="str">
        <f>IF(I539="","",ROUND((I539+0.5*MAX(0,CEILING(ROUND((MAX(C$1:C538)-1/48-I539)/0.5,6),1)))*1440,0)/1440)</f>
        <v/>
      </c>
      <c r="D539" s="9" t="str" cm="1">
        <f t="array" ref="D539">IF(H539="","",IFERROR(INDEX(Log!$C$19:$G$19,VALUE(MID(H539,FIND("#",H539)+1,1))),""))</f>
        <v/>
      </c>
      <c r="E539" s="9" t="str" cm="1">
        <f t="array" ref="E539">IF(OR(H539="",M539),"",IFERROR(_xlfn.LET(_xlpm.t,SUBSTITUTE(UPPER(H539),"م","M"),_xlpm.u,SUBSTITUTE(_xlpm.t,"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39" s="12"/>
      <c r="G539" s="13" t="str">
        <f>IF(B539="","",IF(M539,"⚠ Duplicate (not counted)",IF(AND(I539="",D539="",E539=""),"— ignored",IF(C539="","⚠ Time",IF(D539="","⚠ Plant",IF(E539="","⚠ Quantity",IF(AND(ISNUMBER(L539),COUNTIF(L$1:L538,L539)&gt;0),"⚠ Same serial "&amp;L539,IF(AND(ISNUMBER(L539),L539&gt;MIN($L$2:$L$1001),COUNTIF($L$2:$L$1001,L539-1)=0,COUNTIF($L$2:$L$1001,L539-2)&lt;2),"⚠ Missing serial "&amp;(L539-1),IF(AND(MAX(K$1:K538)&gt;0,N(K539)-MAX(K$1:K538)&gt;180),"⚠ Gap &gt; 3h",IF(C539-I539&gt;=0.99,"next day",IF(C539-I539&gt;0.4,"12h → 24h","")))))))))))</f>
        <v/>
      </c>
      <c r="H539" s="4" t="str">
        <f t="shared" si="40"/>
        <v/>
      </c>
      <c r="I539" s="5" t="str">
        <f t="shared" si="41"/>
        <v/>
      </c>
      <c r="J539" s="6">
        <f t="shared" si="42"/>
        <v>0</v>
      </c>
      <c r="K539" s="4" t="str">
        <f t="shared" si="43"/>
        <v/>
      </c>
      <c r="L539" s="4" t="str">
        <f t="shared" si="44"/>
        <v/>
      </c>
      <c r="M539" s="4" t="b" cm="1">
        <f t="array" ref="M539">IF(H539="",FALSE,SUMPRODUCT(--(H$1:H538=H539))&gt;0)</f>
        <v>0</v>
      </c>
    </row>
    <row r="540" spans="1:13" x14ac:dyDescent="0.25">
      <c r="A540" s="9" t="str">
        <f>IF(OR(B540="",M540,G540="— ignored"),"",MAX(A$1:A539)+1)</f>
        <v/>
      </c>
      <c r="B540" s="10"/>
      <c r="C540" s="11" t="str">
        <f>IF(I540="","",ROUND((I540+0.5*MAX(0,CEILING(ROUND((MAX(C$1:C539)-1/48-I540)/0.5,6),1)))*1440,0)/1440)</f>
        <v/>
      </c>
      <c r="D540" s="9" t="str" cm="1">
        <f t="array" ref="D540">IF(H540="","",IFERROR(INDEX(Log!$C$19:$G$19,VALUE(MID(H540,FIND("#",H540)+1,1))),""))</f>
        <v/>
      </c>
      <c r="E540" s="9" t="str" cm="1">
        <f t="array" ref="E540">IF(OR(H540="",M540),"",IFERROR(_xlfn.LET(_xlpm.t,SUBSTITUTE(UPPER(H540),"م","M"),_xlpm.u,SUBSTITUTE(_xlpm.t,"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40" s="12"/>
      <c r="G540" s="13" t="str">
        <f>IF(B540="","",IF(M540,"⚠ Duplicate (not counted)",IF(AND(I540="",D540="",E540=""),"— ignored",IF(C540="","⚠ Time",IF(D540="","⚠ Plant",IF(E540="","⚠ Quantity",IF(AND(ISNUMBER(L540),COUNTIF(L$1:L539,L540)&gt;0),"⚠ Same serial "&amp;L540,IF(AND(ISNUMBER(L540),L540&gt;MIN($L$2:$L$1001),COUNTIF($L$2:$L$1001,L540-1)=0,COUNTIF($L$2:$L$1001,L540-2)&lt;2),"⚠ Missing serial "&amp;(L540-1),IF(AND(MAX(K$1:K539)&gt;0,N(K540)-MAX(K$1:K539)&gt;180),"⚠ Gap &gt; 3h",IF(C540-I540&gt;=0.99,"next day",IF(C540-I540&gt;0.4,"12h → 24h","")))))))))))</f>
        <v/>
      </c>
      <c r="H540" s="4" t="str">
        <f t="shared" si="40"/>
        <v/>
      </c>
      <c r="I540" s="5" t="str">
        <f t="shared" si="41"/>
        <v/>
      </c>
      <c r="J540" s="6">
        <f t="shared" si="42"/>
        <v>0</v>
      </c>
      <c r="K540" s="4" t="str">
        <f t="shared" si="43"/>
        <v/>
      </c>
      <c r="L540" s="4" t="str">
        <f t="shared" si="44"/>
        <v/>
      </c>
      <c r="M540" s="4" t="b" cm="1">
        <f t="array" ref="M540">IF(H540="",FALSE,SUMPRODUCT(--(H$1:H539=H540))&gt;0)</f>
        <v>0</v>
      </c>
    </row>
    <row r="541" spans="1:13" x14ac:dyDescent="0.25">
      <c r="A541" s="9" t="str">
        <f>IF(OR(B541="",M541,G541="— ignored"),"",MAX(A$1:A540)+1)</f>
        <v/>
      </c>
      <c r="B541" s="10"/>
      <c r="C541" s="11" t="str">
        <f>IF(I541="","",ROUND((I541+0.5*MAX(0,CEILING(ROUND((MAX(C$1:C540)-1/48-I541)/0.5,6),1)))*1440,0)/1440)</f>
        <v/>
      </c>
      <c r="D541" s="9" t="str" cm="1">
        <f t="array" ref="D541">IF(H541="","",IFERROR(INDEX(Log!$C$19:$G$19,VALUE(MID(H541,FIND("#",H541)+1,1))),""))</f>
        <v/>
      </c>
      <c r="E541" s="9" t="str" cm="1">
        <f t="array" ref="E541">IF(OR(H541="",M541),"",IFERROR(_xlfn.LET(_xlpm.t,SUBSTITUTE(UPPER(H541),"م","M"),_xlpm.u,SUBSTITUTE(_xlpm.t,"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41" s="12"/>
      <c r="G541" s="13" t="str">
        <f>IF(B541="","",IF(M541,"⚠ Duplicate (not counted)",IF(AND(I541="",D541="",E541=""),"— ignored",IF(C541="","⚠ Time",IF(D541="","⚠ Plant",IF(E541="","⚠ Quantity",IF(AND(ISNUMBER(L541),COUNTIF(L$1:L540,L541)&gt;0),"⚠ Same serial "&amp;L541,IF(AND(ISNUMBER(L541),L541&gt;MIN($L$2:$L$1001),COUNTIF($L$2:$L$1001,L541-1)=0,COUNTIF($L$2:$L$1001,L541-2)&lt;2),"⚠ Missing serial "&amp;(L541-1),IF(AND(MAX(K$1:K540)&gt;0,N(K541)-MAX(K$1:K540)&gt;180),"⚠ Gap &gt; 3h",IF(C541-I541&gt;=0.99,"next day",IF(C541-I541&gt;0.4,"12h → 24h","")))))))))))</f>
        <v/>
      </c>
      <c r="H541" s="4" t="str">
        <f t="shared" si="40"/>
        <v/>
      </c>
      <c r="I541" s="5" t="str">
        <f t="shared" si="41"/>
        <v/>
      </c>
      <c r="J541" s="6">
        <f t="shared" si="42"/>
        <v>0</v>
      </c>
      <c r="K541" s="4" t="str">
        <f t="shared" si="43"/>
        <v/>
      </c>
      <c r="L541" s="4" t="str">
        <f t="shared" si="44"/>
        <v/>
      </c>
      <c r="M541" s="4" t="b" cm="1">
        <f t="array" ref="M541">IF(H541="",FALSE,SUMPRODUCT(--(H$1:H540=H541))&gt;0)</f>
        <v>0</v>
      </c>
    </row>
    <row r="542" spans="1:13" x14ac:dyDescent="0.25">
      <c r="A542" s="9" t="str">
        <f>IF(OR(B542="",M542,G542="— ignored"),"",MAX(A$1:A541)+1)</f>
        <v/>
      </c>
      <c r="B542" s="10"/>
      <c r="C542" s="11" t="str">
        <f>IF(I542="","",ROUND((I542+0.5*MAX(0,CEILING(ROUND((MAX(C$1:C541)-1/48-I542)/0.5,6),1)))*1440,0)/1440)</f>
        <v/>
      </c>
      <c r="D542" s="9" t="str" cm="1">
        <f t="array" ref="D542">IF(H542="","",IFERROR(INDEX(Log!$C$19:$G$19,VALUE(MID(H542,FIND("#",H542)+1,1))),""))</f>
        <v/>
      </c>
      <c r="E542" s="9" t="str" cm="1">
        <f t="array" ref="E542">IF(OR(H542="",M542),"",IFERROR(_xlfn.LET(_xlpm.t,SUBSTITUTE(UPPER(H542),"م","M"),_xlpm.u,SUBSTITUTE(_xlpm.t,"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42" s="12"/>
      <c r="G542" s="13" t="str">
        <f>IF(B542="","",IF(M542,"⚠ Duplicate (not counted)",IF(AND(I542="",D542="",E542=""),"— ignored",IF(C542="","⚠ Time",IF(D542="","⚠ Plant",IF(E542="","⚠ Quantity",IF(AND(ISNUMBER(L542),COUNTIF(L$1:L541,L542)&gt;0),"⚠ Same serial "&amp;L542,IF(AND(ISNUMBER(L542),L542&gt;MIN($L$2:$L$1001),COUNTIF($L$2:$L$1001,L542-1)=0,COUNTIF($L$2:$L$1001,L542-2)&lt;2),"⚠ Missing serial "&amp;(L542-1),IF(AND(MAX(K$1:K541)&gt;0,N(K542)-MAX(K$1:K541)&gt;180),"⚠ Gap &gt; 3h",IF(C542-I542&gt;=0.99,"next day",IF(C542-I542&gt;0.4,"12h → 24h","")))))))))))</f>
        <v/>
      </c>
      <c r="H542" s="4" t="str">
        <f t="shared" si="40"/>
        <v/>
      </c>
      <c r="I542" s="5" t="str">
        <f t="shared" si="41"/>
        <v/>
      </c>
      <c r="J542" s="6">
        <f t="shared" si="42"/>
        <v>0</v>
      </c>
      <c r="K542" s="4" t="str">
        <f t="shared" si="43"/>
        <v/>
      </c>
      <c r="L542" s="4" t="str">
        <f t="shared" si="44"/>
        <v/>
      </c>
      <c r="M542" s="4" t="b" cm="1">
        <f t="array" ref="M542">IF(H542="",FALSE,SUMPRODUCT(--(H$1:H541=H542))&gt;0)</f>
        <v>0</v>
      </c>
    </row>
    <row r="543" spans="1:13" x14ac:dyDescent="0.25">
      <c r="A543" s="9" t="str">
        <f>IF(OR(B543="",M543,G543="— ignored"),"",MAX(A$1:A542)+1)</f>
        <v/>
      </c>
      <c r="B543" s="10"/>
      <c r="C543" s="11" t="str">
        <f>IF(I543="","",ROUND((I543+0.5*MAX(0,CEILING(ROUND((MAX(C$1:C542)-1/48-I543)/0.5,6),1)))*1440,0)/1440)</f>
        <v/>
      </c>
      <c r="D543" s="9" t="str" cm="1">
        <f t="array" ref="D543">IF(H543="","",IFERROR(INDEX(Log!$C$19:$G$19,VALUE(MID(H543,FIND("#",H543)+1,1))),""))</f>
        <v/>
      </c>
      <c r="E543" s="9" t="str" cm="1">
        <f t="array" ref="E543">IF(OR(H543="",M543),"",IFERROR(_xlfn.LET(_xlpm.t,SUBSTITUTE(UPPER(H543),"م","M"),_xlpm.u,SUBSTITUTE(_xlpm.t,"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43" s="12"/>
      <c r="G543" s="13" t="str">
        <f>IF(B543="","",IF(M543,"⚠ Duplicate (not counted)",IF(AND(I543="",D543="",E543=""),"— ignored",IF(C543="","⚠ Time",IF(D543="","⚠ Plant",IF(E543="","⚠ Quantity",IF(AND(ISNUMBER(L543),COUNTIF(L$1:L542,L543)&gt;0),"⚠ Same serial "&amp;L543,IF(AND(ISNUMBER(L543),L543&gt;MIN($L$2:$L$1001),COUNTIF($L$2:$L$1001,L543-1)=0,COUNTIF($L$2:$L$1001,L543-2)&lt;2),"⚠ Missing serial "&amp;(L543-1),IF(AND(MAX(K$1:K542)&gt;0,N(K543)-MAX(K$1:K542)&gt;180),"⚠ Gap &gt; 3h",IF(C543-I543&gt;=0.99,"next day",IF(C543-I543&gt;0.4,"12h → 24h","")))))))))))</f>
        <v/>
      </c>
      <c r="H543" s="4" t="str">
        <f t="shared" si="40"/>
        <v/>
      </c>
      <c r="I543" s="5" t="str">
        <f t="shared" si="41"/>
        <v/>
      </c>
      <c r="J543" s="6">
        <f t="shared" si="42"/>
        <v>0</v>
      </c>
      <c r="K543" s="4" t="str">
        <f t="shared" si="43"/>
        <v/>
      </c>
      <c r="L543" s="4" t="str">
        <f t="shared" si="44"/>
        <v/>
      </c>
      <c r="M543" s="4" t="b" cm="1">
        <f t="array" ref="M543">IF(H543="",FALSE,SUMPRODUCT(--(H$1:H542=H543))&gt;0)</f>
        <v>0</v>
      </c>
    </row>
    <row r="544" spans="1:13" x14ac:dyDescent="0.25">
      <c r="A544" s="9" t="str">
        <f>IF(OR(B544="",M544,G544="— ignored"),"",MAX(A$1:A543)+1)</f>
        <v/>
      </c>
      <c r="B544" s="10"/>
      <c r="C544" s="11" t="str">
        <f>IF(I544="","",ROUND((I544+0.5*MAX(0,CEILING(ROUND((MAX(C$1:C543)-1/48-I544)/0.5,6),1)))*1440,0)/1440)</f>
        <v/>
      </c>
      <c r="D544" s="9" t="str" cm="1">
        <f t="array" ref="D544">IF(H544="","",IFERROR(INDEX(Log!$C$19:$G$19,VALUE(MID(H544,FIND("#",H544)+1,1))),""))</f>
        <v/>
      </c>
      <c r="E544" s="9" t="str" cm="1">
        <f t="array" ref="E544">IF(OR(H544="",M544),"",IFERROR(_xlfn.LET(_xlpm.t,SUBSTITUTE(UPPER(H544),"م","M"),_xlpm.u,SUBSTITUTE(_xlpm.t,"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44" s="12"/>
      <c r="G544" s="13" t="str">
        <f>IF(B544="","",IF(M544,"⚠ Duplicate (not counted)",IF(AND(I544="",D544="",E544=""),"— ignored",IF(C544="","⚠ Time",IF(D544="","⚠ Plant",IF(E544="","⚠ Quantity",IF(AND(ISNUMBER(L544),COUNTIF(L$1:L543,L544)&gt;0),"⚠ Same serial "&amp;L544,IF(AND(ISNUMBER(L544),L544&gt;MIN($L$2:$L$1001),COUNTIF($L$2:$L$1001,L544-1)=0,COUNTIF($L$2:$L$1001,L544-2)&lt;2),"⚠ Missing serial "&amp;(L544-1),IF(AND(MAX(K$1:K543)&gt;0,N(K544)-MAX(K$1:K543)&gt;180),"⚠ Gap &gt; 3h",IF(C544-I544&gt;=0.99,"next day",IF(C544-I544&gt;0.4,"12h → 24h","")))))))))))</f>
        <v/>
      </c>
      <c r="H544" s="4" t="str">
        <f t="shared" si="40"/>
        <v/>
      </c>
      <c r="I544" s="5" t="str">
        <f t="shared" si="41"/>
        <v/>
      </c>
      <c r="J544" s="6">
        <f t="shared" si="42"/>
        <v>0</v>
      </c>
      <c r="K544" s="4" t="str">
        <f t="shared" si="43"/>
        <v/>
      </c>
      <c r="L544" s="4" t="str">
        <f t="shared" si="44"/>
        <v/>
      </c>
      <c r="M544" s="4" t="b" cm="1">
        <f t="array" ref="M544">IF(H544="",FALSE,SUMPRODUCT(--(H$1:H543=H544))&gt;0)</f>
        <v>0</v>
      </c>
    </row>
    <row r="545" spans="1:13" x14ac:dyDescent="0.25">
      <c r="A545" s="9" t="str">
        <f>IF(OR(B545="",M545,G545="— ignored"),"",MAX(A$1:A544)+1)</f>
        <v/>
      </c>
      <c r="B545" s="10"/>
      <c r="C545" s="11" t="str">
        <f>IF(I545="","",ROUND((I545+0.5*MAX(0,CEILING(ROUND((MAX(C$1:C544)-1/48-I545)/0.5,6),1)))*1440,0)/1440)</f>
        <v/>
      </c>
      <c r="D545" s="9" t="str" cm="1">
        <f t="array" ref="D545">IF(H545="","",IFERROR(INDEX(Log!$C$19:$G$19,VALUE(MID(H545,FIND("#",H545)+1,1))),""))</f>
        <v/>
      </c>
      <c r="E545" s="9" t="str" cm="1">
        <f t="array" ref="E545">IF(OR(H545="",M545),"",IFERROR(_xlfn.LET(_xlpm.t,SUBSTITUTE(UPPER(H545),"م","M"),_xlpm.u,SUBSTITUTE(_xlpm.t,"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45" s="12"/>
      <c r="G545" s="13" t="str">
        <f>IF(B545="","",IF(M545,"⚠ Duplicate (not counted)",IF(AND(I545="",D545="",E545=""),"— ignored",IF(C545="","⚠ Time",IF(D545="","⚠ Plant",IF(E545="","⚠ Quantity",IF(AND(ISNUMBER(L545),COUNTIF(L$1:L544,L545)&gt;0),"⚠ Same serial "&amp;L545,IF(AND(ISNUMBER(L545),L545&gt;MIN($L$2:$L$1001),COUNTIF($L$2:$L$1001,L545-1)=0,COUNTIF($L$2:$L$1001,L545-2)&lt;2),"⚠ Missing serial "&amp;(L545-1),IF(AND(MAX(K$1:K544)&gt;0,N(K545)-MAX(K$1:K544)&gt;180),"⚠ Gap &gt; 3h",IF(C545-I545&gt;=0.99,"next day",IF(C545-I545&gt;0.4,"12h → 24h","")))))))))))</f>
        <v/>
      </c>
      <c r="H545" s="4" t="str">
        <f t="shared" si="40"/>
        <v/>
      </c>
      <c r="I545" s="5" t="str">
        <f t="shared" si="41"/>
        <v/>
      </c>
      <c r="J545" s="6">
        <f t="shared" si="42"/>
        <v>0</v>
      </c>
      <c r="K545" s="4" t="str">
        <f t="shared" si="43"/>
        <v/>
      </c>
      <c r="L545" s="4" t="str">
        <f t="shared" si="44"/>
        <v/>
      </c>
      <c r="M545" s="4" t="b" cm="1">
        <f t="array" ref="M545">IF(H545="",FALSE,SUMPRODUCT(--(H$1:H544=H545))&gt;0)</f>
        <v>0</v>
      </c>
    </row>
    <row r="546" spans="1:13" x14ac:dyDescent="0.25">
      <c r="A546" s="9" t="str">
        <f>IF(OR(B546="",M546,G546="— ignored"),"",MAX(A$1:A545)+1)</f>
        <v/>
      </c>
      <c r="B546" s="10"/>
      <c r="C546" s="11" t="str">
        <f>IF(I546="","",ROUND((I546+0.5*MAX(0,CEILING(ROUND((MAX(C$1:C545)-1/48-I546)/0.5,6),1)))*1440,0)/1440)</f>
        <v/>
      </c>
      <c r="D546" s="9" t="str" cm="1">
        <f t="array" ref="D546">IF(H546="","",IFERROR(INDEX(Log!$C$19:$G$19,VALUE(MID(H546,FIND("#",H546)+1,1))),""))</f>
        <v/>
      </c>
      <c r="E546" s="9" t="str" cm="1">
        <f t="array" ref="E546">IF(OR(H546="",M546),"",IFERROR(_xlfn.LET(_xlpm.t,SUBSTITUTE(UPPER(H546),"م","M"),_xlpm.u,SUBSTITUTE(_xlpm.t,"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46" s="12"/>
      <c r="G546" s="13" t="str">
        <f>IF(B546="","",IF(M546,"⚠ Duplicate (not counted)",IF(AND(I546="",D546="",E546=""),"— ignored",IF(C546="","⚠ Time",IF(D546="","⚠ Plant",IF(E546="","⚠ Quantity",IF(AND(ISNUMBER(L546),COUNTIF(L$1:L545,L546)&gt;0),"⚠ Same serial "&amp;L546,IF(AND(ISNUMBER(L546),L546&gt;MIN($L$2:$L$1001),COUNTIF($L$2:$L$1001,L546-1)=0,COUNTIF($L$2:$L$1001,L546-2)&lt;2),"⚠ Missing serial "&amp;(L546-1),IF(AND(MAX(K$1:K545)&gt;0,N(K546)-MAX(K$1:K545)&gt;180),"⚠ Gap &gt; 3h",IF(C546-I546&gt;=0.99,"next day",IF(C546-I546&gt;0.4,"12h → 24h","")))))))))))</f>
        <v/>
      </c>
      <c r="H546" s="4" t="str">
        <f t="shared" si="40"/>
        <v/>
      </c>
      <c r="I546" s="5" t="str">
        <f t="shared" si="41"/>
        <v/>
      </c>
      <c r="J546" s="6">
        <f t="shared" si="42"/>
        <v>0</v>
      </c>
      <c r="K546" s="4" t="str">
        <f t="shared" si="43"/>
        <v/>
      </c>
      <c r="L546" s="4" t="str">
        <f t="shared" si="44"/>
        <v/>
      </c>
      <c r="M546" s="4" t="b" cm="1">
        <f t="array" ref="M546">IF(H546="",FALSE,SUMPRODUCT(--(H$1:H545=H546))&gt;0)</f>
        <v>0</v>
      </c>
    </row>
    <row r="547" spans="1:13" x14ac:dyDescent="0.25">
      <c r="A547" s="9" t="str">
        <f>IF(OR(B547="",M547,G547="— ignored"),"",MAX(A$1:A546)+1)</f>
        <v/>
      </c>
      <c r="B547" s="10"/>
      <c r="C547" s="11" t="str">
        <f>IF(I547="","",ROUND((I547+0.5*MAX(0,CEILING(ROUND((MAX(C$1:C546)-1/48-I547)/0.5,6),1)))*1440,0)/1440)</f>
        <v/>
      </c>
      <c r="D547" s="9" t="str" cm="1">
        <f t="array" ref="D547">IF(H547="","",IFERROR(INDEX(Log!$C$19:$G$19,VALUE(MID(H547,FIND("#",H547)+1,1))),""))</f>
        <v/>
      </c>
      <c r="E547" s="9" t="str" cm="1">
        <f t="array" ref="E547">IF(OR(H547="",M547),"",IFERROR(_xlfn.LET(_xlpm.t,SUBSTITUTE(UPPER(H547),"م","M"),_xlpm.u,SUBSTITUTE(_xlpm.t,"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47" s="12"/>
      <c r="G547" s="13" t="str">
        <f>IF(B547="","",IF(M547,"⚠ Duplicate (not counted)",IF(AND(I547="",D547="",E547=""),"— ignored",IF(C547="","⚠ Time",IF(D547="","⚠ Plant",IF(E547="","⚠ Quantity",IF(AND(ISNUMBER(L547),COUNTIF(L$1:L546,L547)&gt;0),"⚠ Same serial "&amp;L547,IF(AND(ISNUMBER(L547),L547&gt;MIN($L$2:$L$1001),COUNTIF($L$2:$L$1001,L547-1)=0,COUNTIF($L$2:$L$1001,L547-2)&lt;2),"⚠ Missing serial "&amp;(L547-1),IF(AND(MAX(K$1:K546)&gt;0,N(K547)-MAX(K$1:K546)&gt;180),"⚠ Gap &gt; 3h",IF(C547-I547&gt;=0.99,"next day",IF(C547-I547&gt;0.4,"12h → 24h","")))))))))))</f>
        <v/>
      </c>
      <c r="H547" s="4" t="str">
        <f t="shared" si="40"/>
        <v/>
      </c>
      <c r="I547" s="5" t="str">
        <f t="shared" si="41"/>
        <v/>
      </c>
      <c r="J547" s="6">
        <f t="shared" si="42"/>
        <v>0</v>
      </c>
      <c r="K547" s="4" t="str">
        <f t="shared" si="43"/>
        <v/>
      </c>
      <c r="L547" s="4" t="str">
        <f t="shared" si="44"/>
        <v/>
      </c>
      <c r="M547" s="4" t="b" cm="1">
        <f t="array" ref="M547">IF(H547="",FALSE,SUMPRODUCT(--(H$1:H546=H547))&gt;0)</f>
        <v>0</v>
      </c>
    </row>
    <row r="548" spans="1:13" x14ac:dyDescent="0.25">
      <c r="A548" s="9" t="str">
        <f>IF(OR(B548="",M548,G548="— ignored"),"",MAX(A$1:A547)+1)</f>
        <v/>
      </c>
      <c r="B548" s="10"/>
      <c r="C548" s="11" t="str">
        <f>IF(I548="","",ROUND((I548+0.5*MAX(0,CEILING(ROUND((MAX(C$1:C547)-1/48-I548)/0.5,6),1)))*1440,0)/1440)</f>
        <v/>
      </c>
      <c r="D548" s="9" t="str" cm="1">
        <f t="array" ref="D548">IF(H548="","",IFERROR(INDEX(Log!$C$19:$G$19,VALUE(MID(H548,FIND("#",H548)+1,1))),""))</f>
        <v/>
      </c>
      <c r="E548" s="9" t="str" cm="1">
        <f t="array" ref="E548">IF(OR(H548="",M548),"",IFERROR(_xlfn.LET(_xlpm.t,SUBSTITUTE(UPPER(H548),"م","M"),_xlpm.u,SUBSTITUTE(_xlpm.t,"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48" s="12"/>
      <c r="G548" s="13" t="str">
        <f>IF(B548="","",IF(M548,"⚠ Duplicate (not counted)",IF(AND(I548="",D548="",E548=""),"— ignored",IF(C548="","⚠ Time",IF(D548="","⚠ Plant",IF(E548="","⚠ Quantity",IF(AND(ISNUMBER(L548),COUNTIF(L$1:L547,L548)&gt;0),"⚠ Same serial "&amp;L548,IF(AND(ISNUMBER(L548),L548&gt;MIN($L$2:$L$1001),COUNTIF($L$2:$L$1001,L548-1)=0,COUNTIF($L$2:$L$1001,L548-2)&lt;2),"⚠ Missing serial "&amp;(L548-1),IF(AND(MAX(K$1:K547)&gt;0,N(K548)-MAX(K$1:K547)&gt;180),"⚠ Gap &gt; 3h",IF(C548-I548&gt;=0.99,"next day",IF(C548-I548&gt;0.4,"12h → 24h","")))))))))))</f>
        <v/>
      </c>
      <c r="H548" s="4" t="str">
        <f t="shared" si="40"/>
        <v/>
      </c>
      <c r="I548" s="5" t="str">
        <f t="shared" si="41"/>
        <v/>
      </c>
      <c r="J548" s="6">
        <f t="shared" si="42"/>
        <v>0</v>
      </c>
      <c r="K548" s="4" t="str">
        <f t="shared" si="43"/>
        <v/>
      </c>
      <c r="L548" s="4" t="str">
        <f t="shared" si="44"/>
        <v/>
      </c>
      <c r="M548" s="4" t="b" cm="1">
        <f t="array" ref="M548">IF(H548="",FALSE,SUMPRODUCT(--(H$1:H547=H548))&gt;0)</f>
        <v>0</v>
      </c>
    </row>
    <row r="549" spans="1:13" x14ac:dyDescent="0.25">
      <c r="A549" s="9" t="str">
        <f>IF(OR(B549="",M549,G549="— ignored"),"",MAX(A$1:A548)+1)</f>
        <v/>
      </c>
      <c r="B549" s="10"/>
      <c r="C549" s="11" t="str">
        <f>IF(I549="","",ROUND((I549+0.5*MAX(0,CEILING(ROUND((MAX(C$1:C548)-1/48-I549)/0.5,6),1)))*1440,0)/1440)</f>
        <v/>
      </c>
      <c r="D549" s="9" t="str" cm="1">
        <f t="array" ref="D549">IF(H549="","",IFERROR(INDEX(Log!$C$19:$G$19,VALUE(MID(H549,FIND("#",H549)+1,1))),""))</f>
        <v/>
      </c>
      <c r="E549" s="9" t="str" cm="1">
        <f t="array" ref="E549">IF(OR(H549="",M549),"",IFERROR(_xlfn.LET(_xlpm.t,SUBSTITUTE(UPPER(H549),"م","M"),_xlpm.u,SUBSTITUTE(_xlpm.t,"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49" s="12"/>
      <c r="G549" s="13" t="str">
        <f>IF(B549="","",IF(M549,"⚠ Duplicate (not counted)",IF(AND(I549="",D549="",E549=""),"— ignored",IF(C549="","⚠ Time",IF(D549="","⚠ Plant",IF(E549="","⚠ Quantity",IF(AND(ISNUMBER(L549),COUNTIF(L$1:L548,L549)&gt;0),"⚠ Same serial "&amp;L549,IF(AND(ISNUMBER(L549),L549&gt;MIN($L$2:$L$1001),COUNTIF($L$2:$L$1001,L549-1)=0,COUNTIF($L$2:$L$1001,L549-2)&lt;2),"⚠ Missing serial "&amp;(L549-1),IF(AND(MAX(K$1:K548)&gt;0,N(K549)-MAX(K$1:K548)&gt;180),"⚠ Gap &gt; 3h",IF(C549-I549&gt;=0.99,"next day",IF(C549-I549&gt;0.4,"12h → 24h","")))))))))))</f>
        <v/>
      </c>
      <c r="H549" s="4" t="str">
        <f t="shared" si="40"/>
        <v/>
      </c>
      <c r="I549" s="5" t="str">
        <f t="shared" si="41"/>
        <v/>
      </c>
      <c r="J549" s="6">
        <f t="shared" si="42"/>
        <v>0</v>
      </c>
      <c r="K549" s="4" t="str">
        <f t="shared" si="43"/>
        <v/>
      </c>
      <c r="L549" s="4" t="str">
        <f t="shared" si="44"/>
        <v/>
      </c>
      <c r="M549" s="4" t="b" cm="1">
        <f t="array" ref="M549">IF(H549="",FALSE,SUMPRODUCT(--(H$1:H548=H549))&gt;0)</f>
        <v>0</v>
      </c>
    </row>
    <row r="550" spans="1:13" x14ac:dyDescent="0.25">
      <c r="A550" s="9" t="str">
        <f>IF(OR(B550="",M550,G550="— ignored"),"",MAX(A$1:A549)+1)</f>
        <v/>
      </c>
      <c r="B550" s="10"/>
      <c r="C550" s="11" t="str">
        <f>IF(I550="","",ROUND((I550+0.5*MAX(0,CEILING(ROUND((MAX(C$1:C549)-1/48-I550)/0.5,6),1)))*1440,0)/1440)</f>
        <v/>
      </c>
      <c r="D550" s="9" t="str" cm="1">
        <f t="array" ref="D550">IF(H550="","",IFERROR(INDEX(Log!$C$19:$G$19,VALUE(MID(H550,FIND("#",H550)+1,1))),""))</f>
        <v/>
      </c>
      <c r="E550" s="9" t="str" cm="1">
        <f t="array" ref="E550">IF(OR(H550="",M550),"",IFERROR(_xlfn.LET(_xlpm.t,SUBSTITUTE(UPPER(H550),"م","M"),_xlpm.u,SUBSTITUTE(_xlpm.t,"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50" s="12"/>
      <c r="G550" s="13" t="str">
        <f>IF(B550="","",IF(M550,"⚠ Duplicate (not counted)",IF(AND(I550="",D550="",E550=""),"— ignored",IF(C550="","⚠ Time",IF(D550="","⚠ Plant",IF(E550="","⚠ Quantity",IF(AND(ISNUMBER(L550),COUNTIF(L$1:L549,L550)&gt;0),"⚠ Same serial "&amp;L550,IF(AND(ISNUMBER(L550),L550&gt;MIN($L$2:$L$1001),COUNTIF($L$2:$L$1001,L550-1)=0,COUNTIF($L$2:$L$1001,L550-2)&lt;2),"⚠ Missing serial "&amp;(L550-1),IF(AND(MAX(K$1:K549)&gt;0,N(K550)-MAX(K$1:K549)&gt;180),"⚠ Gap &gt; 3h",IF(C550-I550&gt;=0.99,"next day",IF(C550-I550&gt;0.4,"12h → 24h","")))))))))))</f>
        <v/>
      </c>
      <c r="H550" s="4" t="str">
        <f t="shared" si="40"/>
        <v/>
      </c>
      <c r="I550" s="5" t="str">
        <f t="shared" si="41"/>
        <v/>
      </c>
      <c r="J550" s="6">
        <f t="shared" si="42"/>
        <v>0</v>
      </c>
      <c r="K550" s="4" t="str">
        <f t="shared" si="43"/>
        <v/>
      </c>
      <c r="L550" s="4" t="str">
        <f t="shared" si="44"/>
        <v/>
      </c>
      <c r="M550" s="4" t="b" cm="1">
        <f t="array" ref="M550">IF(H550="",FALSE,SUMPRODUCT(--(H$1:H549=H550))&gt;0)</f>
        <v>0</v>
      </c>
    </row>
    <row r="551" spans="1:13" x14ac:dyDescent="0.25">
      <c r="A551" s="9" t="str">
        <f>IF(OR(B551="",M551,G551="— ignored"),"",MAX(A$1:A550)+1)</f>
        <v/>
      </c>
      <c r="B551" s="10"/>
      <c r="C551" s="11" t="str">
        <f>IF(I551="","",ROUND((I551+0.5*MAX(0,CEILING(ROUND((MAX(C$1:C550)-1/48-I551)/0.5,6),1)))*1440,0)/1440)</f>
        <v/>
      </c>
      <c r="D551" s="9" t="str" cm="1">
        <f t="array" ref="D551">IF(H551="","",IFERROR(INDEX(Log!$C$19:$G$19,VALUE(MID(H551,FIND("#",H551)+1,1))),""))</f>
        <v/>
      </c>
      <c r="E551" s="9" t="str" cm="1">
        <f t="array" ref="E551">IF(OR(H551="",M551),"",IFERROR(_xlfn.LET(_xlpm.t,SUBSTITUTE(UPPER(H551),"م","M"),_xlpm.u,SUBSTITUTE(_xlpm.t,"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51" s="12"/>
      <c r="G551" s="13" t="str">
        <f>IF(B551="","",IF(M551,"⚠ Duplicate (not counted)",IF(AND(I551="",D551="",E551=""),"— ignored",IF(C551="","⚠ Time",IF(D551="","⚠ Plant",IF(E551="","⚠ Quantity",IF(AND(ISNUMBER(L551),COUNTIF(L$1:L550,L551)&gt;0),"⚠ Same serial "&amp;L551,IF(AND(ISNUMBER(L551),L551&gt;MIN($L$2:$L$1001),COUNTIF($L$2:$L$1001,L551-1)=0,COUNTIF($L$2:$L$1001,L551-2)&lt;2),"⚠ Missing serial "&amp;(L551-1),IF(AND(MAX(K$1:K550)&gt;0,N(K551)-MAX(K$1:K550)&gt;180),"⚠ Gap &gt; 3h",IF(C551-I551&gt;=0.99,"next day",IF(C551-I551&gt;0.4,"12h → 24h","")))))))))))</f>
        <v/>
      </c>
      <c r="H551" s="4" t="str">
        <f t="shared" si="40"/>
        <v/>
      </c>
      <c r="I551" s="5" t="str">
        <f t="shared" si="41"/>
        <v/>
      </c>
      <c r="J551" s="6">
        <f t="shared" si="42"/>
        <v>0</v>
      </c>
      <c r="K551" s="4" t="str">
        <f t="shared" si="43"/>
        <v/>
      </c>
      <c r="L551" s="4" t="str">
        <f t="shared" si="44"/>
        <v/>
      </c>
      <c r="M551" s="4" t="b" cm="1">
        <f t="array" ref="M551">IF(H551="",FALSE,SUMPRODUCT(--(H$1:H550=H551))&gt;0)</f>
        <v>0</v>
      </c>
    </row>
    <row r="552" spans="1:13" x14ac:dyDescent="0.25">
      <c r="A552" s="9" t="str">
        <f>IF(OR(B552="",M552,G552="— ignored"),"",MAX(A$1:A551)+1)</f>
        <v/>
      </c>
      <c r="B552" s="10"/>
      <c r="C552" s="11" t="str">
        <f>IF(I552="","",ROUND((I552+0.5*MAX(0,CEILING(ROUND((MAX(C$1:C551)-1/48-I552)/0.5,6),1)))*1440,0)/1440)</f>
        <v/>
      </c>
      <c r="D552" s="9" t="str" cm="1">
        <f t="array" ref="D552">IF(H552="","",IFERROR(INDEX(Log!$C$19:$G$19,VALUE(MID(H552,FIND("#",H552)+1,1))),""))</f>
        <v/>
      </c>
      <c r="E552" s="9" t="str" cm="1">
        <f t="array" ref="E552">IF(OR(H552="",M552),"",IFERROR(_xlfn.LET(_xlpm.t,SUBSTITUTE(UPPER(H552),"م","M"),_xlpm.u,SUBSTITUTE(_xlpm.t,"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52" s="12"/>
      <c r="G552" s="13" t="str">
        <f>IF(B552="","",IF(M552,"⚠ Duplicate (not counted)",IF(AND(I552="",D552="",E552=""),"— ignored",IF(C552="","⚠ Time",IF(D552="","⚠ Plant",IF(E552="","⚠ Quantity",IF(AND(ISNUMBER(L552),COUNTIF(L$1:L551,L552)&gt;0),"⚠ Same serial "&amp;L552,IF(AND(ISNUMBER(L552),L552&gt;MIN($L$2:$L$1001),COUNTIF($L$2:$L$1001,L552-1)=0,COUNTIF($L$2:$L$1001,L552-2)&lt;2),"⚠ Missing serial "&amp;(L552-1),IF(AND(MAX(K$1:K551)&gt;0,N(K552)-MAX(K$1:K551)&gt;180),"⚠ Gap &gt; 3h",IF(C552-I552&gt;=0.99,"next day",IF(C552-I552&gt;0.4,"12h → 24h","")))))))))))</f>
        <v/>
      </c>
      <c r="H552" s="4" t="str">
        <f t="shared" si="40"/>
        <v/>
      </c>
      <c r="I552" s="5" t="str">
        <f t="shared" si="41"/>
        <v/>
      </c>
      <c r="J552" s="6">
        <f t="shared" si="42"/>
        <v>0</v>
      </c>
      <c r="K552" s="4" t="str">
        <f t="shared" si="43"/>
        <v/>
      </c>
      <c r="L552" s="4" t="str">
        <f t="shared" si="44"/>
        <v/>
      </c>
      <c r="M552" s="4" t="b" cm="1">
        <f t="array" ref="M552">IF(H552="",FALSE,SUMPRODUCT(--(H$1:H551=H552))&gt;0)</f>
        <v>0</v>
      </c>
    </row>
    <row r="553" spans="1:13" x14ac:dyDescent="0.25">
      <c r="A553" s="9" t="str">
        <f>IF(OR(B553="",M553,G553="— ignored"),"",MAX(A$1:A552)+1)</f>
        <v/>
      </c>
      <c r="B553" s="10"/>
      <c r="C553" s="11" t="str">
        <f>IF(I553="","",ROUND((I553+0.5*MAX(0,CEILING(ROUND((MAX(C$1:C552)-1/48-I553)/0.5,6),1)))*1440,0)/1440)</f>
        <v/>
      </c>
      <c r="D553" s="9" t="str" cm="1">
        <f t="array" ref="D553">IF(H553="","",IFERROR(INDEX(Log!$C$19:$G$19,VALUE(MID(H553,FIND("#",H553)+1,1))),""))</f>
        <v/>
      </c>
      <c r="E553" s="9" t="str" cm="1">
        <f t="array" ref="E553">IF(OR(H553="",M553),"",IFERROR(_xlfn.LET(_xlpm.t,SUBSTITUTE(UPPER(H553),"م","M"),_xlpm.u,SUBSTITUTE(_xlpm.t,"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53" s="12"/>
      <c r="G553" s="13" t="str">
        <f>IF(B553="","",IF(M553,"⚠ Duplicate (not counted)",IF(AND(I553="",D553="",E553=""),"— ignored",IF(C553="","⚠ Time",IF(D553="","⚠ Plant",IF(E553="","⚠ Quantity",IF(AND(ISNUMBER(L553),COUNTIF(L$1:L552,L553)&gt;0),"⚠ Same serial "&amp;L553,IF(AND(ISNUMBER(L553),L553&gt;MIN($L$2:$L$1001),COUNTIF($L$2:$L$1001,L553-1)=0,COUNTIF($L$2:$L$1001,L553-2)&lt;2),"⚠ Missing serial "&amp;(L553-1),IF(AND(MAX(K$1:K552)&gt;0,N(K553)-MAX(K$1:K552)&gt;180),"⚠ Gap &gt; 3h",IF(C553-I553&gt;=0.99,"next day",IF(C553-I553&gt;0.4,"12h → 24h","")))))))))))</f>
        <v/>
      </c>
      <c r="H553" s="4" t="str">
        <f t="shared" si="40"/>
        <v/>
      </c>
      <c r="I553" s="5" t="str">
        <f t="shared" si="41"/>
        <v/>
      </c>
      <c r="J553" s="6">
        <f t="shared" si="42"/>
        <v>0</v>
      </c>
      <c r="K553" s="4" t="str">
        <f t="shared" si="43"/>
        <v/>
      </c>
      <c r="L553" s="4" t="str">
        <f t="shared" si="44"/>
        <v/>
      </c>
      <c r="M553" s="4" t="b" cm="1">
        <f t="array" ref="M553">IF(H553="",FALSE,SUMPRODUCT(--(H$1:H552=H553))&gt;0)</f>
        <v>0</v>
      </c>
    </row>
    <row r="554" spans="1:13" x14ac:dyDescent="0.25">
      <c r="A554" s="9" t="str">
        <f>IF(OR(B554="",M554,G554="— ignored"),"",MAX(A$1:A553)+1)</f>
        <v/>
      </c>
      <c r="B554" s="10"/>
      <c r="C554" s="11" t="str">
        <f>IF(I554="","",ROUND((I554+0.5*MAX(0,CEILING(ROUND((MAX(C$1:C553)-1/48-I554)/0.5,6),1)))*1440,0)/1440)</f>
        <v/>
      </c>
      <c r="D554" s="9" t="str" cm="1">
        <f t="array" ref="D554">IF(H554="","",IFERROR(INDEX(Log!$C$19:$G$19,VALUE(MID(H554,FIND("#",H554)+1,1))),""))</f>
        <v/>
      </c>
      <c r="E554" s="9" t="str" cm="1">
        <f t="array" ref="E554">IF(OR(H554="",M554),"",IFERROR(_xlfn.LET(_xlpm.t,SUBSTITUTE(UPPER(H554),"م","M"),_xlpm.u,SUBSTITUTE(_xlpm.t,"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54" s="12"/>
      <c r="G554" s="13" t="str">
        <f>IF(B554="","",IF(M554,"⚠ Duplicate (not counted)",IF(AND(I554="",D554="",E554=""),"— ignored",IF(C554="","⚠ Time",IF(D554="","⚠ Plant",IF(E554="","⚠ Quantity",IF(AND(ISNUMBER(L554),COUNTIF(L$1:L553,L554)&gt;0),"⚠ Same serial "&amp;L554,IF(AND(ISNUMBER(L554),L554&gt;MIN($L$2:$L$1001),COUNTIF($L$2:$L$1001,L554-1)=0,COUNTIF($L$2:$L$1001,L554-2)&lt;2),"⚠ Missing serial "&amp;(L554-1),IF(AND(MAX(K$1:K553)&gt;0,N(K554)-MAX(K$1:K553)&gt;180),"⚠ Gap &gt; 3h",IF(C554-I554&gt;=0.99,"next day",IF(C554-I554&gt;0.4,"12h → 24h","")))))))))))</f>
        <v/>
      </c>
      <c r="H554" s="4" t="str">
        <f t="shared" si="40"/>
        <v/>
      </c>
      <c r="I554" s="5" t="str">
        <f t="shared" si="41"/>
        <v/>
      </c>
      <c r="J554" s="6">
        <f t="shared" si="42"/>
        <v>0</v>
      </c>
      <c r="K554" s="4" t="str">
        <f t="shared" si="43"/>
        <v/>
      </c>
      <c r="L554" s="4" t="str">
        <f t="shared" si="44"/>
        <v/>
      </c>
      <c r="M554" s="4" t="b" cm="1">
        <f t="array" ref="M554">IF(H554="",FALSE,SUMPRODUCT(--(H$1:H553=H554))&gt;0)</f>
        <v>0</v>
      </c>
    </row>
    <row r="555" spans="1:13" x14ac:dyDescent="0.25">
      <c r="A555" s="9" t="str">
        <f>IF(OR(B555="",M555,G555="— ignored"),"",MAX(A$1:A554)+1)</f>
        <v/>
      </c>
      <c r="B555" s="10"/>
      <c r="C555" s="11" t="str">
        <f>IF(I555="","",ROUND((I555+0.5*MAX(0,CEILING(ROUND((MAX(C$1:C554)-1/48-I555)/0.5,6),1)))*1440,0)/1440)</f>
        <v/>
      </c>
      <c r="D555" s="9" t="str" cm="1">
        <f t="array" ref="D555">IF(H555="","",IFERROR(INDEX(Log!$C$19:$G$19,VALUE(MID(H555,FIND("#",H555)+1,1))),""))</f>
        <v/>
      </c>
      <c r="E555" s="9" t="str" cm="1">
        <f t="array" ref="E555">IF(OR(H555="",M555),"",IFERROR(_xlfn.LET(_xlpm.t,SUBSTITUTE(UPPER(H555),"م","M"),_xlpm.u,SUBSTITUTE(_xlpm.t,"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55" s="12"/>
      <c r="G555" s="13" t="str">
        <f>IF(B555="","",IF(M555,"⚠ Duplicate (not counted)",IF(AND(I555="",D555="",E555=""),"— ignored",IF(C555="","⚠ Time",IF(D555="","⚠ Plant",IF(E555="","⚠ Quantity",IF(AND(ISNUMBER(L555),COUNTIF(L$1:L554,L555)&gt;0),"⚠ Same serial "&amp;L555,IF(AND(ISNUMBER(L555),L555&gt;MIN($L$2:$L$1001),COUNTIF($L$2:$L$1001,L555-1)=0,COUNTIF($L$2:$L$1001,L555-2)&lt;2),"⚠ Missing serial "&amp;(L555-1),IF(AND(MAX(K$1:K554)&gt;0,N(K555)-MAX(K$1:K554)&gt;180),"⚠ Gap &gt; 3h",IF(C555-I555&gt;=0.99,"next day",IF(C555-I555&gt;0.4,"12h → 24h","")))))))))))</f>
        <v/>
      </c>
      <c r="H555" s="4" t="str">
        <f t="shared" si="40"/>
        <v/>
      </c>
      <c r="I555" s="5" t="str">
        <f t="shared" si="41"/>
        <v/>
      </c>
      <c r="J555" s="6">
        <f t="shared" si="42"/>
        <v>0</v>
      </c>
      <c r="K555" s="4" t="str">
        <f t="shared" si="43"/>
        <v/>
      </c>
      <c r="L555" s="4" t="str">
        <f t="shared" si="44"/>
        <v/>
      </c>
      <c r="M555" s="4" t="b" cm="1">
        <f t="array" ref="M555">IF(H555="",FALSE,SUMPRODUCT(--(H$1:H554=H555))&gt;0)</f>
        <v>0</v>
      </c>
    </row>
    <row r="556" spans="1:13" x14ac:dyDescent="0.25">
      <c r="A556" s="9" t="str">
        <f>IF(OR(B556="",M556,G556="— ignored"),"",MAX(A$1:A555)+1)</f>
        <v/>
      </c>
      <c r="B556" s="10"/>
      <c r="C556" s="11" t="str">
        <f>IF(I556="","",ROUND((I556+0.5*MAX(0,CEILING(ROUND((MAX(C$1:C555)-1/48-I556)/0.5,6),1)))*1440,0)/1440)</f>
        <v/>
      </c>
      <c r="D556" s="9" t="str" cm="1">
        <f t="array" ref="D556">IF(H556="","",IFERROR(INDEX(Log!$C$19:$G$19,VALUE(MID(H556,FIND("#",H556)+1,1))),""))</f>
        <v/>
      </c>
      <c r="E556" s="9" t="str" cm="1">
        <f t="array" ref="E556">IF(OR(H556="",M556),"",IFERROR(_xlfn.LET(_xlpm.t,SUBSTITUTE(UPPER(H556),"م","M"),_xlpm.u,SUBSTITUTE(_xlpm.t,"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56" s="12"/>
      <c r="G556" s="13" t="str">
        <f>IF(B556="","",IF(M556,"⚠ Duplicate (not counted)",IF(AND(I556="",D556="",E556=""),"— ignored",IF(C556="","⚠ Time",IF(D556="","⚠ Plant",IF(E556="","⚠ Quantity",IF(AND(ISNUMBER(L556),COUNTIF(L$1:L555,L556)&gt;0),"⚠ Same serial "&amp;L556,IF(AND(ISNUMBER(L556),L556&gt;MIN($L$2:$L$1001),COUNTIF($L$2:$L$1001,L556-1)=0,COUNTIF($L$2:$L$1001,L556-2)&lt;2),"⚠ Missing serial "&amp;(L556-1),IF(AND(MAX(K$1:K555)&gt;0,N(K556)-MAX(K$1:K555)&gt;180),"⚠ Gap &gt; 3h",IF(C556-I556&gt;=0.99,"next day",IF(C556-I556&gt;0.4,"12h → 24h","")))))))))))</f>
        <v/>
      </c>
      <c r="H556" s="4" t="str">
        <f t="shared" si="40"/>
        <v/>
      </c>
      <c r="I556" s="5" t="str">
        <f t="shared" si="41"/>
        <v/>
      </c>
      <c r="J556" s="6">
        <f t="shared" si="42"/>
        <v>0</v>
      </c>
      <c r="K556" s="4" t="str">
        <f t="shared" si="43"/>
        <v/>
      </c>
      <c r="L556" s="4" t="str">
        <f t="shared" si="44"/>
        <v/>
      </c>
      <c r="M556" s="4" t="b" cm="1">
        <f t="array" ref="M556">IF(H556="",FALSE,SUMPRODUCT(--(H$1:H555=H556))&gt;0)</f>
        <v>0</v>
      </c>
    </row>
    <row r="557" spans="1:13" x14ac:dyDescent="0.25">
      <c r="A557" s="9" t="str">
        <f>IF(OR(B557="",M557,G557="— ignored"),"",MAX(A$1:A556)+1)</f>
        <v/>
      </c>
      <c r="B557" s="10"/>
      <c r="C557" s="11" t="str">
        <f>IF(I557="","",ROUND((I557+0.5*MAX(0,CEILING(ROUND((MAX(C$1:C556)-1/48-I557)/0.5,6),1)))*1440,0)/1440)</f>
        <v/>
      </c>
      <c r="D557" s="9" t="str" cm="1">
        <f t="array" ref="D557">IF(H557="","",IFERROR(INDEX(Log!$C$19:$G$19,VALUE(MID(H557,FIND("#",H557)+1,1))),""))</f>
        <v/>
      </c>
      <c r="E557" s="9" t="str" cm="1">
        <f t="array" ref="E557">IF(OR(H557="",M557),"",IFERROR(_xlfn.LET(_xlpm.t,SUBSTITUTE(UPPER(H557),"م","M"),_xlpm.u,SUBSTITUTE(_xlpm.t,"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57" s="12"/>
      <c r="G557" s="13" t="str">
        <f>IF(B557="","",IF(M557,"⚠ Duplicate (not counted)",IF(AND(I557="",D557="",E557=""),"— ignored",IF(C557="","⚠ Time",IF(D557="","⚠ Plant",IF(E557="","⚠ Quantity",IF(AND(ISNUMBER(L557),COUNTIF(L$1:L556,L557)&gt;0),"⚠ Same serial "&amp;L557,IF(AND(ISNUMBER(L557),L557&gt;MIN($L$2:$L$1001),COUNTIF($L$2:$L$1001,L557-1)=0,COUNTIF($L$2:$L$1001,L557-2)&lt;2),"⚠ Missing serial "&amp;(L557-1),IF(AND(MAX(K$1:K556)&gt;0,N(K557)-MAX(K$1:K556)&gt;180),"⚠ Gap &gt; 3h",IF(C557-I557&gt;=0.99,"next day",IF(C557-I557&gt;0.4,"12h → 24h","")))))))))))</f>
        <v/>
      </c>
      <c r="H557" s="4" t="str">
        <f t="shared" si="40"/>
        <v/>
      </c>
      <c r="I557" s="5" t="str">
        <f t="shared" si="41"/>
        <v/>
      </c>
      <c r="J557" s="6">
        <f t="shared" si="42"/>
        <v>0</v>
      </c>
      <c r="K557" s="4" t="str">
        <f t="shared" si="43"/>
        <v/>
      </c>
      <c r="L557" s="4" t="str">
        <f t="shared" si="44"/>
        <v/>
      </c>
      <c r="M557" s="4" t="b" cm="1">
        <f t="array" ref="M557">IF(H557="",FALSE,SUMPRODUCT(--(H$1:H556=H557))&gt;0)</f>
        <v>0</v>
      </c>
    </row>
    <row r="558" spans="1:13" x14ac:dyDescent="0.25">
      <c r="A558" s="9" t="str">
        <f>IF(OR(B558="",M558,G558="— ignored"),"",MAX(A$1:A557)+1)</f>
        <v/>
      </c>
      <c r="B558" s="10"/>
      <c r="C558" s="11" t="str">
        <f>IF(I558="","",ROUND((I558+0.5*MAX(0,CEILING(ROUND((MAX(C$1:C557)-1/48-I558)/0.5,6),1)))*1440,0)/1440)</f>
        <v/>
      </c>
      <c r="D558" s="9" t="str" cm="1">
        <f t="array" ref="D558">IF(H558="","",IFERROR(INDEX(Log!$C$19:$G$19,VALUE(MID(H558,FIND("#",H558)+1,1))),""))</f>
        <v/>
      </c>
      <c r="E558" s="9" t="str" cm="1">
        <f t="array" ref="E558">IF(OR(H558="",M558),"",IFERROR(_xlfn.LET(_xlpm.t,SUBSTITUTE(UPPER(H558),"م","M"),_xlpm.u,SUBSTITUTE(_xlpm.t,"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58" s="12"/>
      <c r="G558" s="13" t="str">
        <f>IF(B558="","",IF(M558,"⚠ Duplicate (not counted)",IF(AND(I558="",D558="",E558=""),"— ignored",IF(C558="","⚠ Time",IF(D558="","⚠ Plant",IF(E558="","⚠ Quantity",IF(AND(ISNUMBER(L558),COUNTIF(L$1:L557,L558)&gt;0),"⚠ Same serial "&amp;L558,IF(AND(ISNUMBER(L558),L558&gt;MIN($L$2:$L$1001),COUNTIF($L$2:$L$1001,L558-1)=0,COUNTIF($L$2:$L$1001,L558-2)&lt;2),"⚠ Missing serial "&amp;(L558-1),IF(AND(MAX(K$1:K557)&gt;0,N(K558)-MAX(K$1:K557)&gt;180),"⚠ Gap &gt; 3h",IF(C558-I558&gt;=0.99,"next day",IF(C558-I558&gt;0.4,"12h → 24h","")))))))))))</f>
        <v/>
      </c>
      <c r="H558" s="4" t="str">
        <f t="shared" si="40"/>
        <v/>
      </c>
      <c r="I558" s="5" t="str">
        <f t="shared" si="41"/>
        <v/>
      </c>
      <c r="J558" s="6">
        <f t="shared" si="42"/>
        <v>0</v>
      </c>
      <c r="K558" s="4" t="str">
        <f t="shared" si="43"/>
        <v/>
      </c>
      <c r="L558" s="4" t="str">
        <f t="shared" si="44"/>
        <v/>
      </c>
      <c r="M558" s="4" t="b" cm="1">
        <f t="array" ref="M558">IF(H558="",FALSE,SUMPRODUCT(--(H$1:H557=H558))&gt;0)</f>
        <v>0</v>
      </c>
    </row>
    <row r="559" spans="1:13" x14ac:dyDescent="0.25">
      <c r="A559" s="9" t="str">
        <f>IF(OR(B559="",M559,G559="— ignored"),"",MAX(A$1:A558)+1)</f>
        <v/>
      </c>
      <c r="B559" s="10"/>
      <c r="C559" s="11" t="str">
        <f>IF(I559="","",ROUND((I559+0.5*MAX(0,CEILING(ROUND((MAX(C$1:C558)-1/48-I559)/0.5,6),1)))*1440,0)/1440)</f>
        <v/>
      </c>
      <c r="D559" s="9" t="str" cm="1">
        <f t="array" ref="D559">IF(H559="","",IFERROR(INDEX(Log!$C$19:$G$19,VALUE(MID(H559,FIND("#",H559)+1,1))),""))</f>
        <v/>
      </c>
      <c r="E559" s="9" t="str" cm="1">
        <f t="array" ref="E559">IF(OR(H559="",M559),"",IFERROR(_xlfn.LET(_xlpm.t,SUBSTITUTE(UPPER(H559),"م","M"),_xlpm.u,SUBSTITUTE(_xlpm.t,"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59" s="12"/>
      <c r="G559" s="13" t="str">
        <f>IF(B559="","",IF(M559,"⚠ Duplicate (not counted)",IF(AND(I559="",D559="",E559=""),"— ignored",IF(C559="","⚠ Time",IF(D559="","⚠ Plant",IF(E559="","⚠ Quantity",IF(AND(ISNUMBER(L559),COUNTIF(L$1:L558,L559)&gt;0),"⚠ Same serial "&amp;L559,IF(AND(ISNUMBER(L559),L559&gt;MIN($L$2:$L$1001),COUNTIF($L$2:$L$1001,L559-1)=0,COUNTIF($L$2:$L$1001,L559-2)&lt;2),"⚠ Missing serial "&amp;(L559-1),IF(AND(MAX(K$1:K558)&gt;0,N(K559)-MAX(K$1:K558)&gt;180),"⚠ Gap &gt; 3h",IF(C559-I559&gt;=0.99,"next day",IF(C559-I559&gt;0.4,"12h → 24h","")))))))))))</f>
        <v/>
      </c>
      <c r="H559" s="4" t="str">
        <f t="shared" si="40"/>
        <v/>
      </c>
      <c r="I559" s="5" t="str">
        <f t="shared" si="41"/>
        <v/>
      </c>
      <c r="J559" s="6">
        <f t="shared" si="42"/>
        <v>0</v>
      </c>
      <c r="K559" s="4" t="str">
        <f t="shared" si="43"/>
        <v/>
      </c>
      <c r="L559" s="4" t="str">
        <f t="shared" si="44"/>
        <v/>
      </c>
      <c r="M559" s="4" t="b" cm="1">
        <f t="array" ref="M559">IF(H559="",FALSE,SUMPRODUCT(--(H$1:H558=H559))&gt;0)</f>
        <v>0</v>
      </c>
    </row>
    <row r="560" spans="1:13" x14ac:dyDescent="0.25">
      <c r="A560" s="9" t="str">
        <f>IF(OR(B560="",M560,G560="— ignored"),"",MAX(A$1:A559)+1)</f>
        <v/>
      </c>
      <c r="B560" s="10"/>
      <c r="C560" s="11" t="str">
        <f>IF(I560="","",ROUND((I560+0.5*MAX(0,CEILING(ROUND((MAX(C$1:C559)-1/48-I560)/0.5,6),1)))*1440,0)/1440)</f>
        <v/>
      </c>
      <c r="D560" s="9" t="str" cm="1">
        <f t="array" ref="D560">IF(H560="","",IFERROR(INDEX(Log!$C$19:$G$19,VALUE(MID(H560,FIND("#",H560)+1,1))),""))</f>
        <v/>
      </c>
      <c r="E560" s="9" t="str" cm="1">
        <f t="array" ref="E560">IF(OR(H560="",M560),"",IFERROR(_xlfn.LET(_xlpm.t,SUBSTITUTE(UPPER(H560),"م","M"),_xlpm.u,SUBSTITUTE(_xlpm.t,"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60" s="12"/>
      <c r="G560" s="13" t="str">
        <f>IF(B560="","",IF(M560,"⚠ Duplicate (not counted)",IF(AND(I560="",D560="",E560=""),"— ignored",IF(C560="","⚠ Time",IF(D560="","⚠ Plant",IF(E560="","⚠ Quantity",IF(AND(ISNUMBER(L560),COUNTIF(L$1:L559,L560)&gt;0),"⚠ Same serial "&amp;L560,IF(AND(ISNUMBER(L560),L560&gt;MIN($L$2:$L$1001),COUNTIF($L$2:$L$1001,L560-1)=0,COUNTIF($L$2:$L$1001,L560-2)&lt;2),"⚠ Missing serial "&amp;(L560-1),IF(AND(MAX(K$1:K559)&gt;0,N(K560)-MAX(K$1:K559)&gt;180),"⚠ Gap &gt; 3h",IF(C560-I560&gt;=0.99,"next day",IF(C560-I560&gt;0.4,"12h → 24h","")))))))))))</f>
        <v/>
      </c>
      <c r="H560" s="4" t="str">
        <f t="shared" si="40"/>
        <v/>
      </c>
      <c r="I560" s="5" t="str">
        <f t="shared" si="41"/>
        <v/>
      </c>
      <c r="J560" s="6">
        <f t="shared" si="42"/>
        <v>0</v>
      </c>
      <c r="K560" s="4" t="str">
        <f t="shared" si="43"/>
        <v/>
      </c>
      <c r="L560" s="4" t="str">
        <f t="shared" si="44"/>
        <v/>
      </c>
      <c r="M560" s="4" t="b" cm="1">
        <f t="array" ref="M560">IF(H560="",FALSE,SUMPRODUCT(--(H$1:H559=H560))&gt;0)</f>
        <v>0</v>
      </c>
    </row>
    <row r="561" spans="1:13" x14ac:dyDescent="0.25">
      <c r="A561" s="9" t="str">
        <f>IF(OR(B561="",M561,G561="— ignored"),"",MAX(A$1:A560)+1)</f>
        <v/>
      </c>
      <c r="B561" s="10"/>
      <c r="C561" s="11" t="str">
        <f>IF(I561="","",ROUND((I561+0.5*MAX(0,CEILING(ROUND((MAX(C$1:C560)-1/48-I561)/0.5,6),1)))*1440,0)/1440)</f>
        <v/>
      </c>
      <c r="D561" s="9" t="str" cm="1">
        <f t="array" ref="D561">IF(H561="","",IFERROR(INDEX(Log!$C$19:$G$19,VALUE(MID(H561,FIND("#",H561)+1,1))),""))</f>
        <v/>
      </c>
      <c r="E561" s="9" t="str" cm="1">
        <f t="array" ref="E561">IF(OR(H561="",M561),"",IFERROR(_xlfn.LET(_xlpm.t,SUBSTITUTE(UPPER(H561),"م","M"),_xlpm.u,SUBSTITUTE(_xlpm.t,"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61" s="12"/>
      <c r="G561" s="13" t="str">
        <f>IF(B561="","",IF(M561,"⚠ Duplicate (not counted)",IF(AND(I561="",D561="",E561=""),"— ignored",IF(C561="","⚠ Time",IF(D561="","⚠ Plant",IF(E561="","⚠ Quantity",IF(AND(ISNUMBER(L561),COUNTIF(L$1:L560,L561)&gt;0),"⚠ Same serial "&amp;L561,IF(AND(ISNUMBER(L561),L561&gt;MIN($L$2:$L$1001),COUNTIF($L$2:$L$1001,L561-1)=0,COUNTIF($L$2:$L$1001,L561-2)&lt;2),"⚠ Missing serial "&amp;(L561-1),IF(AND(MAX(K$1:K560)&gt;0,N(K561)-MAX(K$1:K560)&gt;180),"⚠ Gap &gt; 3h",IF(C561-I561&gt;=0.99,"next day",IF(C561-I561&gt;0.4,"12h → 24h","")))))))))))</f>
        <v/>
      </c>
      <c r="H561" s="4" t="str">
        <f t="shared" si="40"/>
        <v/>
      </c>
      <c r="I561" s="5" t="str">
        <f t="shared" si="41"/>
        <v/>
      </c>
      <c r="J561" s="6">
        <f t="shared" si="42"/>
        <v>0</v>
      </c>
      <c r="K561" s="4" t="str">
        <f t="shared" si="43"/>
        <v/>
      </c>
      <c r="L561" s="4" t="str">
        <f t="shared" si="44"/>
        <v/>
      </c>
      <c r="M561" s="4" t="b" cm="1">
        <f t="array" ref="M561">IF(H561="",FALSE,SUMPRODUCT(--(H$1:H560=H561))&gt;0)</f>
        <v>0</v>
      </c>
    </row>
    <row r="562" spans="1:13" x14ac:dyDescent="0.25">
      <c r="A562" s="9" t="str">
        <f>IF(OR(B562="",M562,G562="— ignored"),"",MAX(A$1:A561)+1)</f>
        <v/>
      </c>
      <c r="B562" s="10"/>
      <c r="C562" s="11" t="str">
        <f>IF(I562="","",ROUND((I562+0.5*MAX(0,CEILING(ROUND((MAX(C$1:C561)-1/48-I562)/0.5,6),1)))*1440,0)/1440)</f>
        <v/>
      </c>
      <c r="D562" s="9" t="str" cm="1">
        <f t="array" ref="D562">IF(H562="","",IFERROR(INDEX(Log!$C$19:$G$19,VALUE(MID(H562,FIND("#",H562)+1,1))),""))</f>
        <v/>
      </c>
      <c r="E562" s="9" t="str" cm="1">
        <f t="array" ref="E562">IF(OR(H562="",M562),"",IFERROR(_xlfn.LET(_xlpm.t,SUBSTITUTE(UPPER(H562),"م","M"),_xlpm.u,SUBSTITUTE(_xlpm.t,"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62" s="12"/>
      <c r="G562" s="13" t="str">
        <f>IF(B562="","",IF(M562,"⚠ Duplicate (not counted)",IF(AND(I562="",D562="",E562=""),"— ignored",IF(C562="","⚠ Time",IF(D562="","⚠ Plant",IF(E562="","⚠ Quantity",IF(AND(ISNUMBER(L562),COUNTIF(L$1:L561,L562)&gt;0),"⚠ Same serial "&amp;L562,IF(AND(ISNUMBER(L562),L562&gt;MIN($L$2:$L$1001),COUNTIF($L$2:$L$1001,L562-1)=0,COUNTIF($L$2:$L$1001,L562-2)&lt;2),"⚠ Missing serial "&amp;(L562-1),IF(AND(MAX(K$1:K561)&gt;0,N(K562)-MAX(K$1:K561)&gt;180),"⚠ Gap &gt; 3h",IF(C562-I562&gt;=0.99,"next day",IF(C562-I562&gt;0.4,"12h → 24h","")))))))))))</f>
        <v/>
      </c>
      <c r="H562" s="4" t="str">
        <f t="shared" si="40"/>
        <v/>
      </c>
      <c r="I562" s="5" t="str">
        <f t="shared" si="41"/>
        <v/>
      </c>
      <c r="J562" s="6">
        <f t="shared" si="42"/>
        <v>0</v>
      </c>
      <c r="K562" s="4" t="str">
        <f t="shared" si="43"/>
        <v/>
      </c>
      <c r="L562" s="4" t="str">
        <f t="shared" si="44"/>
        <v/>
      </c>
      <c r="M562" s="4" t="b" cm="1">
        <f t="array" ref="M562">IF(H562="",FALSE,SUMPRODUCT(--(H$1:H561=H562))&gt;0)</f>
        <v>0</v>
      </c>
    </row>
    <row r="563" spans="1:13" x14ac:dyDescent="0.25">
      <c r="A563" s="9" t="str">
        <f>IF(OR(B563="",M563,G563="— ignored"),"",MAX(A$1:A562)+1)</f>
        <v/>
      </c>
      <c r="B563" s="10"/>
      <c r="C563" s="11" t="str">
        <f>IF(I563="","",ROUND((I563+0.5*MAX(0,CEILING(ROUND((MAX(C$1:C562)-1/48-I563)/0.5,6),1)))*1440,0)/1440)</f>
        <v/>
      </c>
      <c r="D563" s="9" t="str" cm="1">
        <f t="array" ref="D563">IF(H563="","",IFERROR(INDEX(Log!$C$19:$G$19,VALUE(MID(H563,FIND("#",H563)+1,1))),""))</f>
        <v/>
      </c>
      <c r="E563" s="9" t="str" cm="1">
        <f t="array" ref="E563">IF(OR(H563="",M563),"",IFERROR(_xlfn.LET(_xlpm.t,SUBSTITUTE(UPPER(H563),"م","M"),_xlpm.u,SUBSTITUTE(_xlpm.t,"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63" s="12"/>
      <c r="G563" s="13" t="str">
        <f>IF(B563="","",IF(M563,"⚠ Duplicate (not counted)",IF(AND(I563="",D563="",E563=""),"— ignored",IF(C563="","⚠ Time",IF(D563="","⚠ Plant",IF(E563="","⚠ Quantity",IF(AND(ISNUMBER(L563),COUNTIF(L$1:L562,L563)&gt;0),"⚠ Same serial "&amp;L563,IF(AND(ISNUMBER(L563),L563&gt;MIN($L$2:$L$1001),COUNTIF($L$2:$L$1001,L563-1)=0,COUNTIF($L$2:$L$1001,L563-2)&lt;2),"⚠ Missing serial "&amp;(L563-1),IF(AND(MAX(K$1:K562)&gt;0,N(K563)-MAX(K$1:K562)&gt;180),"⚠ Gap &gt; 3h",IF(C563-I563&gt;=0.99,"next day",IF(C563-I563&gt;0.4,"12h → 24h","")))))))))))</f>
        <v/>
      </c>
      <c r="H563" s="4" t="str">
        <f t="shared" si="40"/>
        <v/>
      </c>
      <c r="I563" s="5" t="str">
        <f t="shared" si="41"/>
        <v/>
      </c>
      <c r="J563" s="6">
        <f t="shared" si="42"/>
        <v>0</v>
      </c>
      <c r="K563" s="4" t="str">
        <f t="shared" si="43"/>
        <v/>
      </c>
      <c r="L563" s="4" t="str">
        <f t="shared" si="44"/>
        <v/>
      </c>
      <c r="M563" s="4" t="b" cm="1">
        <f t="array" ref="M563">IF(H563="",FALSE,SUMPRODUCT(--(H$1:H562=H563))&gt;0)</f>
        <v>0</v>
      </c>
    </row>
    <row r="564" spans="1:13" x14ac:dyDescent="0.25">
      <c r="A564" s="9" t="str">
        <f>IF(OR(B564="",M564,G564="— ignored"),"",MAX(A$1:A563)+1)</f>
        <v/>
      </c>
      <c r="B564" s="10"/>
      <c r="C564" s="11" t="str">
        <f>IF(I564="","",ROUND((I564+0.5*MAX(0,CEILING(ROUND((MAX(C$1:C563)-1/48-I564)/0.5,6),1)))*1440,0)/1440)</f>
        <v/>
      </c>
      <c r="D564" s="9" t="str" cm="1">
        <f t="array" ref="D564">IF(H564="","",IFERROR(INDEX(Log!$C$19:$G$19,VALUE(MID(H564,FIND("#",H564)+1,1))),""))</f>
        <v/>
      </c>
      <c r="E564" s="9" t="str" cm="1">
        <f t="array" ref="E564">IF(OR(H564="",M564),"",IFERROR(_xlfn.LET(_xlpm.t,SUBSTITUTE(UPPER(H564),"م","M"),_xlpm.u,SUBSTITUTE(_xlpm.t,"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64" s="12"/>
      <c r="G564" s="13" t="str">
        <f>IF(B564="","",IF(M564,"⚠ Duplicate (not counted)",IF(AND(I564="",D564="",E564=""),"— ignored",IF(C564="","⚠ Time",IF(D564="","⚠ Plant",IF(E564="","⚠ Quantity",IF(AND(ISNUMBER(L564),COUNTIF(L$1:L563,L564)&gt;0),"⚠ Same serial "&amp;L564,IF(AND(ISNUMBER(L564),L564&gt;MIN($L$2:$L$1001),COUNTIF($L$2:$L$1001,L564-1)=0,COUNTIF($L$2:$L$1001,L564-2)&lt;2),"⚠ Missing serial "&amp;(L564-1),IF(AND(MAX(K$1:K563)&gt;0,N(K564)-MAX(K$1:K563)&gt;180),"⚠ Gap &gt; 3h",IF(C564-I564&gt;=0.99,"next day",IF(C564-I564&gt;0.4,"12h → 24h","")))))))))))</f>
        <v/>
      </c>
      <c r="H564" s="4" t="str">
        <f t="shared" si="40"/>
        <v/>
      </c>
      <c r="I564" s="5" t="str">
        <f t="shared" si="41"/>
        <v/>
      </c>
      <c r="J564" s="6">
        <f t="shared" si="42"/>
        <v>0</v>
      </c>
      <c r="K564" s="4" t="str">
        <f t="shared" si="43"/>
        <v/>
      </c>
      <c r="L564" s="4" t="str">
        <f t="shared" si="44"/>
        <v/>
      </c>
      <c r="M564" s="4" t="b" cm="1">
        <f t="array" ref="M564">IF(H564="",FALSE,SUMPRODUCT(--(H$1:H563=H564))&gt;0)</f>
        <v>0</v>
      </c>
    </row>
    <row r="565" spans="1:13" x14ac:dyDescent="0.25">
      <c r="A565" s="9" t="str">
        <f>IF(OR(B565="",M565,G565="— ignored"),"",MAX(A$1:A564)+1)</f>
        <v/>
      </c>
      <c r="B565" s="10"/>
      <c r="C565" s="11" t="str">
        <f>IF(I565="","",ROUND((I565+0.5*MAX(0,CEILING(ROUND((MAX(C$1:C564)-1/48-I565)/0.5,6),1)))*1440,0)/1440)</f>
        <v/>
      </c>
      <c r="D565" s="9" t="str" cm="1">
        <f t="array" ref="D565">IF(H565="","",IFERROR(INDEX(Log!$C$19:$G$19,VALUE(MID(H565,FIND("#",H565)+1,1))),""))</f>
        <v/>
      </c>
      <c r="E565" s="9" t="str" cm="1">
        <f t="array" ref="E565">IF(OR(H565="",M565),"",IFERROR(_xlfn.LET(_xlpm.t,SUBSTITUTE(UPPER(H565),"م","M"),_xlpm.u,SUBSTITUTE(_xlpm.t,"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65" s="12"/>
      <c r="G565" s="13" t="str">
        <f>IF(B565="","",IF(M565,"⚠ Duplicate (not counted)",IF(AND(I565="",D565="",E565=""),"— ignored",IF(C565="","⚠ Time",IF(D565="","⚠ Plant",IF(E565="","⚠ Quantity",IF(AND(ISNUMBER(L565),COUNTIF(L$1:L564,L565)&gt;0),"⚠ Same serial "&amp;L565,IF(AND(ISNUMBER(L565),L565&gt;MIN($L$2:$L$1001),COUNTIF($L$2:$L$1001,L565-1)=0,COUNTIF($L$2:$L$1001,L565-2)&lt;2),"⚠ Missing serial "&amp;(L565-1),IF(AND(MAX(K$1:K564)&gt;0,N(K565)-MAX(K$1:K564)&gt;180),"⚠ Gap &gt; 3h",IF(C565-I565&gt;=0.99,"next day",IF(C565-I565&gt;0.4,"12h → 24h","")))))))))))</f>
        <v/>
      </c>
      <c r="H565" s="4" t="str">
        <f t="shared" si="40"/>
        <v/>
      </c>
      <c r="I565" s="5" t="str">
        <f t="shared" si="41"/>
        <v/>
      </c>
      <c r="J565" s="6">
        <f t="shared" si="42"/>
        <v>0</v>
      </c>
      <c r="K565" s="4" t="str">
        <f t="shared" si="43"/>
        <v/>
      </c>
      <c r="L565" s="4" t="str">
        <f t="shared" si="44"/>
        <v/>
      </c>
      <c r="M565" s="4" t="b" cm="1">
        <f t="array" ref="M565">IF(H565="",FALSE,SUMPRODUCT(--(H$1:H564=H565))&gt;0)</f>
        <v>0</v>
      </c>
    </row>
    <row r="566" spans="1:13" x14ac:dyDescent="0.25">
      <c r="A566" s="9" t="str">
        <f>IF(OR(B566="",M566,G566="— ignored"),"",MAX(A$1:A565)+1)</f>
        <v/>
      </c>
      <c r="B566" s="10"/>
      <c r="C566" s="11" t="str">
        <f>IF(I566="","",ROUND((I566+0.5*MAX(0,CEILING(ROUND((MAX(C$1:C565)-1/48-I566)/0.5,6),1)))*1440,0)/1440)</f>
        <v/>
      </c>
      <c r="D566" s="9" t="str" cm="1">
        <f t="array" ref="D566">IF(H566="","",IFERROR(INDEX(Log!$C$19:$G$19,VALUE(MID(H566,FIND("#",H566)+1,1))),""))</f>
        <v/>
      </c>
      <c r="E566" s="9" t="str" cm="1">
        <f t="array" ref="E566">IF(OR(H566="",M566),"",IFERROR(_xlfn.LET(_xlpm.t,SUBSTITUTE(UPPER(H566),"م","M"),_xlpm.u,SUBSTITUTE(_xlpm.t,"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66" s="12"/>
      <c r="G566" s="13" t="str">
        <f>IF(B566="","",IF(M566,"⚠ Duplicate (not counted)",IF(AND(I566="",D566="",E566=""),"— ignored",IF(C566="","⚠ Time",IF(D566="","⚠ Plant",IF(E566="","⚠ Quantity",IF(AND(ISNUMBER(L566),COUNTIF(L$1:L565,L566)&gt;0),"⚠ Same serial "&amp;L566,IF(AND(ISNUMBER(L566),L566&gt;MIN($L$2:$L$1001),COUNTIF($L$2:$L$1001,L566-1)=0,COUNTIF($L$2:$L$1001,L566-2)&lt;2),"⚠ Missing serial "&amp;(L566-1),IF(AND(MAX(K$1:K565)&gt;0,N(K566)-MAX(K$1:K565)&gt;180),"⚠ Gap &gt; 3h",IF(C566-I566&gt;=0.99,"next day",IF(C566-I566&gt;0.4,"12h → 24h","")))))))))))</f>
        <v/>
      </c>
      <c r="H566" s="4" t="str">
        <f t="shared" si="40"/>
        <v/>
      </c>
      <c r="I566" s="5" t="str">
        <f t="shared" si="41"/>
        <v/>
      </c>
      <c r="J566" s="6">
        <f t="shared" si="42"/>
        <v>0</v>
      </c>
      <c r="K566" s="4" t="str">
        <f t="shared" si="43"/>
        <v/>
      </c>
      <c r="L566" s="4" t="str">
        <f t="shared" si="44"/>
        <v/>
      </c>
      <c r="M566" s="4" t="b" cm="1">
        <f t="array" ref="M566">IF(H566="",FALSE,SUMPRODUCT(--(H$1:H565=H566))&gt;0)</f>
        <v>0</v>
      </c>
    </row>
    <row r="567" spans="1:13" x14ac:dyDescent="0.25">
      <c r="A567" s="9" t="str">
        <f>IF(OR(B567="",M567,G567="— ignored"),"",MAX(A$1:A566)+1)</f>
        <v/>
      </c>
      <c r="B567" s="10"/>
      <c r="C567" s="11" t="str">
        <f>IF(I567="","",ROUND((I567+0.5*MAX(0,CEILING(ROUND((MAX(C$1:C566)-1/48-I567)/0.5,6),1)))*1440,0)/1440)</f>
        <v/>
      </c>
      <c r="D567" s="9" t="str" cm="1">
        <f t="array" ref="D567">IF(H567="","",IFERROR(INDEX(Log!$C$19:$G$19,VALUE(MID(H567,FIND("#",H567)+1,1))),""))</f>
        <v/>
      </c>
      <c r="E567" s="9" t="str" cm="1">
        <f t="array" ref="E567">IF(OR(H567="",M567),"",IFERROR(_xlfn.LET(_xlpm.t,SUBSTITUTE(UPPER(H567),"م","M"),_xlpm.u,SUBSTITUTE(_xlpm.t,"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67" s="12"/>
      <c r="G567" s="13" t="str">
        <f>IF(B567="","",IF(M567,"⚠ Duplicate (not counted)",IF(AND(I567="",D567="",E567=""),"— ignored",IF(C567="","⚠ Time",IF(D567="","⚠ Plant",IF(E567="","⚠ Quantity",IF(AND(ISNUMBER(L567),COUNTIF(L$1:L566,L567)&gt;0),"⚠ Same serial "&amp;L567,IF(AND(ISNUMBER(L567),L567&gt;MIN($L$2:$L$1001),COUNTIF($L$2:$L$1001,L567-1)=0,COUNTIF($L$2:$L$1001,L567-2)&lt;2),"⚠ Missing serial "&amp;(L567-1),IF(AND(MAX(K$1:K566)&gt;0,N(K567)-MAX(K$1:K566)&gt;180),"⚠ Gap &gt; 3h",IF(C567-I567&gt;=0.99,"next day",IF(C567-I567&gt;0.4,"12h → 24h","")))))))))))</f>
        <v/>
      </c>
      <c r="H567" s="4" t="str">
        <f t="shared" si="40"/>
        <v/>
      </c>
      <c r="I567" s="5" t="str">
        <f t="shared" si="41"/>
        <v/>
      </c>
      <c r="J567" s="6">
        <f t="shared" si="42"/>
        <v>0</v>
      </c>
      <c r="K567" s="4" t="str">
        <f t="shared" si="43"/>
        <v/>
      </c>
      <c r="L567" s="4" t="str">
        <f t="shared" si="44"/>
        <v/>
      </c>
      <c r="M567" s="4" t="b" cm="1">
        <f t="array" ref="M567">IF(H567="",FALSE,SUMPRODUCT(--(H$1:H566=H567))&gt;0)</f>
        <v>0</v>
      </c>
    </row>
    <row r="568" spans="1:13" x14ac:dyDescent="0.25">
      <c r="A568" s="9" t="str">
        <f>IF(OR(B568="",M568,G568="— ignored"),"",MAX(A$1:A567)+1)</f>
        <v/>
      </c>
      <c r="B568" s="10"/>
      <c r="C568" s="11" t="str">
        <f>IF(I568="","",ROUND((I568+0.5*MAX(0,CEILING(ROUND((MAX(C$1:C567)-1/48-I568)/0.5,6),1)))*1440,0)/1440)</f>
        <v/>
      </c>
      <c r="D568" s="9" t="str" cm="1">
        <f t="array" ref="D568">IF(H568="","",IFERROR(INDEX(Log!$C$19:$G$19,VALUE(MID(H568,FIND("#",H568)+1,1))),""))</f>
        <v/>
      </c>
      <c r="E568" s="9" t="str" cm="1">
        <f t="array" ref="E568">IF(OR(H568="",M568),"",IFERROR(_xlfn.LET(_xlpm.t,SUBSTITUTE(UPPER(H568),"م","M"),_xlpm.u,SUBSTITUTE(_xlpm.t,"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68" s="12"/>
      <c r="G568" s="13" t="str">
        <f>IF(B568="","",IF(M568,"⚠ Duplicate (not counted)",IF(AND(I568="",D568="",E568=""),"— ignored",IF(C568="","⚠ Time",IF(D568="","⚠ Plant",IF(E568="","⚠ Quantity",IF(AND(ISNUMBER(L568),COUNTIF(L$1:L567,L568)&gt;0),"⚠ Same serial "&amp;L568,IF(AND(ISNUMBER(L568),L568&gt;MIN($L$2:$L$1001),COUNTIF($L$2:$L$1001,L568-1)=0,COUNTIF($L$2:$L$1001,L568-2)&lt;2),"⚠ Missing serial "&amp;(L568-1),IF(AND(MAX(K$1:K567)&gt;0,N(K568)-MAX(K$1:K567)&gt;180),"⚠ Gap &gt; 3h",IF(C568-I568&gt;=0.99,"next day",IF(C568-I568&gt;0.4,"12h → 24h","")))))))))))</f>
        <v/>
      </c>
      <c r="H568" s="4" t="str">
        <f t="shared" si="40"/>
        <v/>
      </c>
      <c r="I568" s="5" t="str">
        <f t="shared" si="41"/>
        <v/>
      </c>
      <c r="J568" s="6">
        <f t="shared" si="42"/>
        <v>0</v>
      </c>
      <c r="K568" s="4" t="str">
        <f t="shared" si="43"/>
        <v/>
      </c>
      <c r="L568" s="4" t="str">
        <f t="shared" si="44"/>
        <v/>
      </c>
      <c r="M568" s="4" t="b" cm="1">
        <f t="array" ref="M568">IF(H568="",FALSE,SUMPRODUCT(--(H$1:H567=H568))&gt;0)</f>
        <v>0</v>
      </c>
    </row>
    <row r="569" spans="1:13" x14ac:dyDescent="0.25">
      <c r="A569" s="9" t="str">
        <f>IF(OR(B569="",M569,G569="— ignored"),"",MAX(A$1:A568)+1)</f>
        <v/>
      </c>
      <c r="B569" s="10"/>
      <c r="C569" s="11" t="str">
        <f>IF(I569="","",ROUND((I569+0.5*MAX(0,CEILING(ROUND((MAX(C$1:C568)-1/48-I569)/0.5,6),1)))*1440,0)/1440)</f>
        <v/>
      </c>
      <c r="D569" s="9" t="str" cm="1">
        <f t="array" ref="D569">IF(H569="","",IFERROR(INDEX(Log!$C$19:$G$19,VALUE(MID(H569,FIND("#",H569)+1,1))),""))</f>
        <v/>
      </c>
      <c r="E569" s="9" t="str" cm="1">
        <f t="array" ref="E569">IF(OR(H569="",M569),"",IFERROR(_xlfn.LET(_xlpm.t,SUBSTITUTE(UPPER(H569),"م","M"),_xlpm.u,SUBSTITUTE(_xlpm.t,"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69" s="12"/>
      <c r="G569" s="13" t="str">
        <f>IF(B569="","",IF(M569,"⚠ Duplicate (not counted)",IF(AND(I569="",D569="",E569=""),"— ignored",IF(C569="","⚠ Time",IF(D569="","⚠ Plant",IF(E569="","⚠ Quantity",IF(AND(ISNUMBER(L569),COUNTIF(L$1:L568,L569)&gt;0),"⚠ Same serial "&amp;L569,IF(AND(ISNUMBER(L569),L569&gt;MIN($L$2:$L$1001),COUNTIF($L$2:$L$1001,L569-1)=0,COUNTIF($L$2:$L$1001,L569-2)&lt;2),"⚠ Missing serial "&amp;(L569-1),IF(AND(MAX(K$1:K568)&gt;0,N(K569)-MAX(K$1:K568)&gt;180),"⚠ Gap &gt; 3h",IF(C569-I569&gt;=0.99,"next day",IF(C569-I569&gt;0.4,"12h → 24h","")))))))))))</f>
        <v/>
      </c>
      <c r="H569" s="4" t="str">
        <f t="shared" si="40"/>
        <v/>
      </c>
      <c r="I569" s="5" t="str">
        <f t="shared" si="41"/>
        <v/>
      </c>
      <c r="J569" s="6">
        <f t="shared" si="42"/>
        <v>0</v>
      </c>
      <c r="K569" s="4" t="str">
        <f t="shared" si="43"/>
        <v/>
      </c>
      <c r="L569" s="4" t="str">
        <f t="shared" si="44"/>
        <v/>
      </c>
      <c r="M569" s="4" t="b" cm="1">
        <f t="array" ref="M569">IF(H569="",FALSE,SUMPRODUCT(--(H$1:H568=H569))&gt;0)</f>
        <v>0</v>
      </c>
    </row>
    <row r="570" spans="1:13" x14ac:dyDescent="0.25">
      <c r="A570" s="9" t="str">
        <f>IF(OR(B570="",M570,G570="— ignored"),"",MAX(A$1:A569)+1)</f>
        <v/>
      </c>
      <c r="B570" s="10"/>
      <c r="C570" s="11" t="str">
        <f>IF(I570="","",ROUND((I570+0.5*MAX(0,CEILING(ROUND((MAX(C$1:C569)-1/48-I570)/0.5,6),1)))*1440,0)/1440)</f>
        <v/>
      </c>
      <c r="D570" s="9" t="str" cm="1">
        <f t="array" ref="D570">IF(H570="","",IFERROR(INDEX(Log!$C$19:$G$19,VALUE(MID(H570,FIND("#",H570)+1,1))),""))</f>
        <v/>
      </c>
      <c r="E570" s="9" t="str" cm="1">
        <f t="array" ref="E570">IF(OR(H570="",M570),"",IFERROR(_xlfn.LET(_xlpm.t,SUBSTITUTE(UPPER(H570),"م","M"),_xlpm.u,SUBSTITUTE(_xlpm.t,"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70" s="12"/>
      <c r="G570" s="13" t="str">
        <f>IF(B570="","",IF(M570,"⚠ Duplicate (not counted)",IF(AND(I570="",D570="",E570=""),"— ignored",IF(C570="","⚠ Time",IF(D570="","⚠ Plant",IF(E570="","⚠ Quantity",IF(AND(ISNUMBER(L570),COUNTIF(L$1:L569,L570)&gt;0),"⚠ Same serial "&amp;L570,IF(AND(ISNUMBER(L570),L570&gt;MIN($L$2:$L$1001),COUNTIF($L$2:$L$1001,L570-1)=0,COUNTIF($L$2:$L$1001,L570-2)&lt;2),"⚠ Missing serial "&amp;(L570-1),IF(AND(MAX(K$1:K569)&gt;0,N(K570)-MAX(K$1:K569)&gt;180),"⚠ Gap &gt; 3h",IF(C570-I570&gt;=0.99,"next day",IF(C570-I570&gt;0.4,"12h → 24h","")))))))))))</f>
        <v/>
      </c>
      <c r="H570" s="4" t="str">
        <f t="shared" si="40"/>
        <v/>
      </c>
      <c r="I570" s="5" t="str">
        <f t="shared" si="41"/>
        <v/>
      </c>
      <c r="J570" s="6">
        <f t="shared" si="42"/>
        <v>0</v>
      </c>
      <c r="K570" s="4" t="str">
        <f t="shared" si="43"/>
        <v/>
      </c>
      <c r="L570" s="4" t="str">
        <f t="shared" si="44"/>
        <v/>
      </c>
      <c r="M570" s="4" t="b" cm="1">
        <f t="array" ref="M570">IF(H570="",FALSE,SUMPRODUCT(--(H$1:H569=H570))&gt;0)</f>
        <v>0</v>
      </c>
    </row>
    <row r="571" spans="1:13" x14ac:dyDescent="0.25">
      <c r="A571" s="9" t="str">
        <f>IF(OR(B571="",M571,G571="— ignored"),"",MAX(A$1:A570)+1)</f>
        <v/>
      </c>
      <c r="B571" s="10"/>
      <c r="C571" s="11" t="str">
        <f>IF(I571="","",ROUND((I571+0.5*MAX(0,CEILING(ROUND((MAX(C$1:C570)-1/48-I571)/0.5,6),1)))*1440,0)/1440)</f>
        <v/>
      </c>
      <c r="D571" s="9" t="str" cm="1">
        <f t="array" ref="D571">IF(H571="","",IFERROR(INDEX(Log!$C$19:$G$19,VALUE(MID(H571,FIND("#",H571)+1,1))),""))</f>
        <v/>
      </c>
      <c r="E571" s="9" t="str" cm="1">
        <f t="array" ref="E571">IF(OR(H571="",M571),"",IFERROR(_xlfn.LET(_xlpm.t,SUBSTITUTE(UPPER(H571),"م","M"),_xlpm.u,SUBSTITUTE(_xlpm.t,"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71" s="12"/>
      <c r="G571" s="13" t="str">
        <f>IF(B571="","",IF(M571,"⚠ Duplicate (not counted)",IF(AND(I571="",D571="",E571=""),"— ignored",IF(C571="","⚠ Time",IF(D571="","⚠ Plant",IF(E571="","⚠ Quantity",IF(AND(ISNUMBER(L571),COUNTIF(L$1:L570,L571)&gt;0),"⚠ Same serial "&amp;L571,IF(AND(ISNUMBER(L571),L571&gt;MIN($L$2:$L$1001),COUNTIF($L$2:$L$1001,L571-1)=0,COUNTIF($L$2:$L$1001,L571-2)&lt;2),"⚠ Missing serial "&amp;(L571-1),IF(AND(MAX(K$1:K570)&gt;0,N(K571)-MAX(K$1:K570)&gt;180),"⚠ Gap &gt; 3h",IF(C571-I571&gt;=0.99,"next day",IF(C571-I571&gt;0.4,"12h → 24h","")))))))))))</f>
        <v/>
      </c>
      <c r="H571" s="4" t="str">
        <f t="shared" si="40"/>
        <v/>
      </c>
      <c r="I571" s="5" t="str">
        <f t="shared" si="41"/>
        <v/>
      </c>
      <c r="J571" s="6">
        <f t="shared" si="42"/>
        <v>0</v>
      </c>
      <c r="K571" s="4" t="str">
        <f t="shared" si="43"/>
        <v/>
      </c>
      <c r="L571" s="4" t="str">
        <f t="shared" si="44"/>
        <v/>
      </c>
      <c r="M571" s="4" t="b" cm="1">
        <f t="array" ref="M571">IF(H571="",FALSE,SUMPRODUCT(--(H$1:H570=H571))&gt;0)</f>
        <v>0</v>
      </c>
    </row>
    <row r="572" spans="1:13" x14ac:dyDescent="0.25">
      <c r="A572" s="9" t="str">
        <f>IF(OR(B572="",M572,G572="— ignored"),"",MAX(A$1:A571)+1)</f>
        <v/>
      </c>
      <c r="B572" s="10"/>
      <c r="C572" s="11" t="str">
        <f>IF(I572="","",ROUND((I572+0.5*MAX(0,CEILING(ROUND((MAX(C$1:C571)-1/48-I572)/0.5,6),1)))*1440,0)/1440)</f>
        <v/>
      </c>
      <c r="D572" s="9" t="str" cm="1">
        <f t="array" ref="D572">IF(H572="","",IFERROR(INDEX(Log!$C$19:$G$19,VALUE(MID(H572,FIND("#",H572)+1,1))),""))</f>
        <v/>
      </c>
      <c r="E572" s="9" t="str" cm="1">
        <f t="array" ref="E572">IF(OR(H572="",M572),"",IFERROR(_xlfn.LET(_xlpm.t,SUBSTITUTE(UPPER(H572),"م","M"),_xlpm.u,SUBSTITUTE(_xlpm.t,"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72" s="12"/>
      <c r="G572" s="13" t="str">
        <f>IF(B572="","",IF(M572,"⚠ Duplicate (not counted)",IF(AND(I572="",D572="",E572=""),"— ignored",IF(C572="","⚠ Time",IF(D572="","⚠ Plant",IF(E572="","⚠ Quantity",IF(AND(ISNUMBER(L572),COUNTIF(L$1:L571,L572)&gt;0),"⚠ Same serial "&amp;L572,IF(AND(ISNUMBER(L572),L572&gt;MIN($L$2:$L$1001),COUNTIF($L$2:$L$1001,L572-1)=0,COUNTIF($L$2:$L$1001,L572-2)&lt;2),"⚠ Missing serial "&amp;(L572-1),IF(AND(MAX(K$1:K571)&gt;0,N(K572)-MAX(K$1:K571)&gt;180),"⚠ Gap &gt; 3h",IF(C572-I572&gt;=0.99,"next day",IF(C572-I572&gt;0.4,"12h → 24h","")))))))))))</f>
        <v/>
      </c>
      <c r="H572" s="4" t="str">
        <f t="shared" si="40"/>
        <v/>
      </c>
      <c r="I572" s="5" t="str">
        <f t="shared" si="41"/>
        <v/>
      </c>
      <c r="J572" s="6">
        <f t="shared" si="42"/>
        <v>0</v>
      </c>
      <c r="K572" s="4" t="str">
        <f t="shared" si="43"/>
        <v/>
      </c>
      <c r="L572" s="4" t="str">
        <f t="shared" si="44"/>
        <v/>
      </c>
      <c r="M572" s="4" t="b" cm="1">
        <f t="array" ref="M572">IF(H572="",FALSE,SUMPRODUCT(--(H$1:H571=H572))&gt;0)</f>
        <v>0</v>
      </c>
    </row>
    <row r="573" spans="1:13" x14ac:dyDescent="0.25">
      <c r="A573" s="9" t="str">
        <f>IF(OR(B573="",M573,G573="— ignored"),"",MAX(A$1:A572)+1)</f>
        <v/>
      </c>
      <c r="B573" s="10"/>
      <c r="C573" s="11" t="str">
        <f>IF(I573="","",ROUND((I573+0.5*MAX(0,CEILING(ROUND((MAX(C$1:C572)-1/48-I573)/0.5,6),1)))*1440,0)/1440)</f>
        <v/>
      </c>
      <c r="D573" s="9" t="str" cm="1">
        <f t="array" ref="D573">IF(H573="","",IFERROR(INDEX(Log!$C$19:$G$19,VALUE(MID(H573,FIND("#",H573)+1,1))),""))</f>
        <v/>
      </c>
      <c r="E573" s="9" t="str" cm="1">
        <f t="array" ref="E573">IF(OR(H573="",M573),"",IFERROR(_xlfn.LET(_xlpm.t,SUBSTITUTE(UPPER(H573),"م","M"),_xlpm.u,SUBSTITUTE(_xlpm.t,"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73" s="12"/>
      <c r="G573" s="13" t="str">
        <f>IF(B573="","",IF(M573,"⚠ Duplicate (not counted)",IF(AND(I573="",D573="",E573=""),"— ignored",IF(C573="","⚠ Time",IF(D573="","⚠ Plant",IF(E573="","⚠ Quantity",IF(AND(ISNUMBER(L573),COUNTIF(L$1:L572,L573)&gt;0),"⚠ Same serial "&amp;L573,IF(AND(ISNUMBER(L573),L573&gt;MIN($L$2:$L$1001),COUNTIF($L$2:$L$1001,L573-1)=0,COUNTIF($L$2:$L$1001,L573-2)&lt;2),"⚠ Missing serial "&amp;(L573-1),IF(AND(MAX(K$1:K572)&gt;0,N(K573)-MAX(K$1:K572)&gt;180),"⚠ Gap &gt; 3h",IF(C573-I573&gt;=0.99,"next day",IF(C573-I573&gt;0.4,"12h → 24h","")))))))))))</f>
        <v/>
      </c>
      <c r="H573" s="4" t="str">
        <f t="shared" si="40"/>
        <v/>
      </c>
      <c r="I573" s="5" t="str">
        <f t="shared" si="41"/>
        <v/>
      </c>
      <c r="J573" s="6">
        <f t="shared" si="42"/>
        <v>0</v>
      </c>
      <c r="K573" s="4" t="str">
        <f t="shared" si="43"/>
        <v/>
      </c>
      <c r="L573" s="4" t="str">
        <f t="shared" si="44"/>
        <v/>
      </c>
      <c r="M573" s="4" t="b" cm="1">
        <f t="array" ref="M573">IF(H573="",FALSE,SUMPRODUCT(--(H$1:H572=H573))&gt;0)</f>
        <v>0</v>
      </c>
    </row>
    <row r="574" spans="1:13" x14ac:dyDescent="0.25">
      <c r="A574" s="9" t="str">
        <f>IF(OR(B574="",M574,G574="— ignored"),"",MAX(A$1:A573)+1)</f>
        <v/>
      </c>
      <c r="B574" s="10"/>
      <c r="C574" s="11" t="str">
        <f>IF(I574="","",ROUND((I574+0.5*MAX(0,CEILING(ROUND((MAX(C$1:C573)-1/48-I574)/0.5,6),1)))*1440,0)/1440)</f>
        <v/>
      </c>
      <c r="D574" s="9" t="str" cm="1">
        <f t="array" ref="D574">IF(H574="","",IFERROR(INDEX(Log!$C$19:$G$19,VALUE(MID(H574,FIND("#",H574)+1,1))),""))</f>
        <v/>
      </c>
      <c r="E574" s="9" t="str" cm="1">
        <f t="array" ref="E574">IF(OR(H574="",M574),"",IFERROR(_xlfn.LET(_xlpm.t,SUBSTITUTE(UPPER(H574),"م","M"),_xlpm.u,SUBSTITUTE(_xlpm.t,"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74" s="12"/>
      <c r="G574" s="13" t="str">
        <f>IF(B574="","",IF(M574,"⚠ Duplicate (not counted)",IF(AND(I574="",D574="",E574=""),"— ignored",IF(C574="","⚠ Time",IF(D574="","⚠ Plant",IF(E574="","⚠ Quantity",IF(AND(ISNUMBER(L574),COUNTIF(L$1:L573,L574)&gt;0),"⚠ Same serial "&amp;L574,IF(AND(ISNUMBER(L574),L574&gt;MIN($L$2:$L$1001),COUNTIF($L$2:$L$1001,L574-1)=0,COUNTIF($L$2:$L$1001,L574-2)&lt;2),"⚠ Missing serial "&amp;(L574-1),IF(AND(MAX(K$1:K573)&gt;0,N(K574)-MAX(K$1:K573)&gt;180),"⚠ Gap &gt; 3h",IF(C574-I574&gt;=0.99,"next day",IF(C574-I574&gt;0.4,"12h → 24h","")))))))))))</f>
        <v/>
      </c>
      <c r="H574" s="4" t="str">
        <f t="shared" si="40"/>
        <v/>
      </c>
      <c r="I574" s="5" t="str">
        <f t="shared" si="41"/>
        <v/>
      </c>
      <c r="J574" s="6">
        <f t="shared" si="42"/>
        <v>0</v>
      </c>
      <c r="K574" s="4" t="str">
        <f t="shared" si="43"/>
        <v/>
      </c>
      <c r="L574" s="4" t="str">
        <f t="shared" si="44"/>
        <v/>
      </c>
      <c r="M574" s="4" t="b" cm="1">
        <f t="array" ref="M574">IF(H574="",FALSE,SUMPRODUCT(--(H$1:H573=H574))&gt;0)</f>
        <v>0</v>
      </c>
    </row>
    <row r="575" spans="1:13" x14ac:dyDescent="0.25">
      <c r="A575" s="9" t="str">
        <f>IF(OR(B575="",M575,G575="— ignored"),"",MAX(A$1:A574)+1)</f>
        <v/>
      </c>
      <c r="B575" s="10"/>
      <c r="C575" s="11" t="str">
        <f>IF(I575="","",ROUND((I575+0.5*MAX(0,CEILING(ROUND((MAX(C$1:C574)-1/48-I575)/0.5,6),1)))*1440,0)/1440)</f>
        <v/>
      </c>
      <c r="D575" s="9" t="str" cm="1">
        <f t="array" ref="D575">IF(H575="","",IFERROR(INDEX(Log!$C$19:$G$19,VALUE(MID(H575,FIND("#",H575)+1,1))),""))</f>
        <v/>
      </c>
      <c r="E575" s="9" t="str" cm="1">
        <f t="array" ref="E575">IF(OR(H575="",M575),"",IFERROR(_xlfn.LET(_xlpm.t,SUBSTITUTE(UPPER(H575),"م","M"),_xlpm.u,SUBSTITUTE(_xlpm.t,"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75" s="12"/>
      <c r="G575" s="13" t="str">
        <f>IF(B575="","",IF(M575,"⚠ Duplicate (not counted)",IF(AND(I575="",D575="",E575=""),"— ignored",IF(C575="","⚠ Time",IF(D575="","⚠ Plant",IF(E575="","⚠ Quantity",IF(AND(ISNUMBER(L575),COUNTIF(L$1:L574,L575)&gt;0),"⚠ Same serial "&amp;L575,IF(AND(ISNUMBER(L575),L575&gt;MIN($L$2:$L$1001),COUNTIF($L$2:$L$1001,L575-1)=0,COUNTIF($L$2:$L$1001,L575-2)&lt;2),"⚠ Missing serial "&amp;(L575-1),IF(AND(MAX(K$1:K574)&gt;0,N(K575)-MAX(K$1:K574)&gt;180),"⚠ Gap &gt; 3h",IF(C575-I575&gt;=0.99,"next day",IF(C575-I575&gt;0.4,"12h → 24h","")))))))))))</f>
        <v/>
      </c>
      <c r="H575" s="4" t="str">
        <f t="shared" si="40"/>
        <v/>
      </c>
      <c r="I575" s="5" t="str">
        <f t="shared" si="41"/>
        <v/>
      </c>
      <c r="J575" s="6">
        <f t="shared" si="42"/>
        <v>0</v>
      </c>
      <c r="K575" s="4" t="str">
        <f t="shared" si="43"/>
        <v/>
      </c>
      <c r="L575" s="4" t="str">
        <f t="shared" si="44"/>
        <v/>
      </c>
      <c r="M575" s="4" t="b" cm="1">
        <f t="array" ref="M575">IF(H575="",FALSE,SUMPRODUCT(--(H$1:H574=H575))&gt;0)</f>
        <v>0</v>
      </c>
    </row>
    <row r="576" spans="1:13" x14ac:dyDescent="0.25">
      <c r="A576" s="9" t="str">
        <f>IF(OR(B576="",M576,G576="— ignored"),"",MAX(A$1:A575)+1)</f>
        <v/>
      </c>
      <c r="B576" s="10"/>
      <c r="C576" s="11" t="str">
        <f>IF(I576="","",ROUND((I576+0.5*MAX(0,CEILING(ROUND((MAX(C$1:C575)-1/48-I576)/0.5,6),1)))*1440,0)/1440)</f>
        <v/>
      </c>
      <c r="D576" s="9" t="str" cm="1">
        <f t="array" ref="D576">IF(H576="","",IFERROR(INDEX(Log!$C$19:$G$19,VALUE(MID(H576,FIND("#",H576)+1,1))),""))</f>
        <v/>
      </c>
      <c r="E576" s="9" t="str" cm="1">
        <f t="array" ref="E576">IF(OR(H576="",M576),"",IFERROR(_xlfn.LET(_xlpm.t,SUBSTITUTE(UPPER(H576),"م","M"),_xlpm.u,SUBSTITUTE(_xlpm.t,"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76" s="12"/>
      <c r="G576" s="13" t="str">
        <f>IF(B576="","",IF(M576,"⚠ Duplicate (not counted)",IF(AND(I576="",D576="",E576=""),"— ignored",IF(C576="","⚠ Time",IF(D576="","⚠ Plant",IF(E576="","⚠ Quantity",IF(AND(ISNUMBER(L576),COUNTIF(L$1:L575,L576)&gt;0),"⚠ Same serial "&amp;L576,IF(AND(ISNUMBER(L576),L576&gt;MIN($L$2:$L$1001),COUNTIF($L$2:$L$1001,L576-1)=0,COUNTIF($L$2:$L$1001,L576-2)&lt;2),"⚠ Missing serial "&amp;(L576-1),IF(AND(MAX(K$1:K575)&gt;0,N(K576)-MAX(K$1:K575)&gt;180),"⚠ Gap &gt; 3h",IF(C576-I576&gt;=0.99,"next day",IF(C576-I576&gt;0.4,"12h → 24h","")))))))))))</f>
        <v/>
      </c>
      <c r="H576" s="4" t="str">
        <f t="shared" si="40"/>
        <v/>
      </c>
      <c r="I576" s="5" t="str">
        <f t="shared" si="41"/>
        <v/>
      </c>
      <c r="J576" s="6">
        <f t="shared" si="42"/>
        <v>0</v>
      </c>
      <c r="K576" s="4" t="str">
        <f t="shared" si="43"/>
        <v/>
      </c>
      <c r="L576" s="4" t="str">
        <f t="shared" si="44"/>
        <v/>
      </c>
      <c r="M576" s="4" t="b" cm="1">
        <f t="array" ref="M576">IF(H576="",FALSE,SUMPRODUCT(--(H$1:H575=H576))&gt;0)</f>
        <v>0</v>
      </c>
    </row>
    <row r="577" spans="1:13" x14ac:dyDescent="0.25">
      <c r="A577" s="9" t="str">
        <f>IF(OR(B577="",M577,G577="— ignored"),"",MAX(A$1:A576)+1)</f>
        <v/>
      </c>
      <c r="B577" s="10"/>
      <c r="C577" s="11" t="str">
        <f>IF(I577="","",ROUND((I577+0.5*MAX(0,CEILING(ROUND((MAX(C$1:C576)-1/48-I577)/0.5,6),1)))*1440,0)/1440)</f>
        <v/>
      </c>
      <c r="D577" s="9" t="str" cm="1">
        <f t="array" ref="D577">IF(H577="","",IFERROR(INDEX(Log!$C$19:$G$19,VALUE(MID(H577,FIND("#",H577)+1,1))),""))</f>
        <v/>
      </c>
      <c r="E577" s="9" t="str" cm="1">
        <f t="array" ref="E577">IF(OR(H577="",M577),"",IFERROR(_xlfn.LET(_xlpm.t,SUBSTITUTE(UPPER(H577),"م","M"),_xlpm.u,SUBSTITUTE(_xlpm.t,"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77" s="12"/>
      <c r="G577" s="13" t="str">
        <f>IF(B577="","",IF(M577,"⚠ Duplicate (not counted)",IF(AND(I577="",D577="",E577=""),"— ignored",IF(C577="","⚠ Time",IF(D577="","⚠ Plant",IF(E577="","⚠ Quantity",IF(AND(ISNUMBER(L577),COUNTIF(L$1:L576,L577)&gt;0),"⚠ Same serial "&amp;L577,IF(AND(ISNUMBER(L577),L577&gt;MIN($L$2:$L$1001),COUNTIF($L$2:$L$1001,L577-1)=0,COUNTIF($L$2:$L$1001,L577-2)&lt;2),"⚠ Missing serial "&amp;(L577-1),IF(AND(MAX(K$1:K576)&gt;0,N(K577)-MAX(K$1:K576)&gt;180),"⚠ Gap &gt; 3h",IF(C577-I577&gt;=0.99,"next day",IF(C577-I577&gt;0.4,"12h → 24h","")))))))))))</f>
        <v/>
      </c>
      <c r="H577" s="4" t="str">
        <f t="shared" si="40"/>
        <v/>
      </c>
      <c r="I577" s="5" t="str">
        <f t="shared" si="41"/>
        <v/>
      </c>
      <c r="J577" s="6">
        <f t="shared" si="42"/>
        <v>0</v>
      </c>
      <c r="K577" s="4" t="str">
        <f t="shared" si="43"/>
        <v/>
      </c>
      <c r="L577" s="4" t="str">
        <f t="shared" si="44"/>
        <v/>
      </c>
      <c r="M577" s="4" t="b" cm="1">
        <f t="array" ref="M577">IF(H577="",FALSE,SUMPRODUCT(--(H$1:H576=H577))&gt;0)</f>
        <v>0</v>
      </c>
    </row>
    <row r="578" spans="1:13" x14ac:dyDescent="0.25">
      <c r="A578" s="9" t="str">
        <f>IF(OR(B578="",M578,G578="— ignored"),"",MAX(A$1:A577)+1)</f>
        <v/>
      </c>
      <c r="B578" s="10"/>
      <c r="C578" s="11" t="str">
        <f>IF(I578="","",ROUND((I578+0.5*MAX(0,CEILING(ROUND((MAX(C$1:C577)-1/48-I578)/0.5,6),1)))*1440,0)/1440)</f>
        <v/>
      </c>
      <c r="D578" s="9" t="str" cm="1">
        <f t="array" ref="D578">IF(H578="","",IFERROR(INDEX(Log!$C$19:$G$19,VALUE(MID(H578,FIND("#",H578)+1,1))),""))</f>
        <v/>
      </c>
      <c r="E578" s="9" t="str" cm="1">
        <f t="array" ref="E578">IF(OR(H578="",M578),"",IFERROR(_xlfn.LET(_xlpm.t,SUBSTITUTE(UPPER(H578),"م","M"),_xlpm.u,SUBSTITUTE(_xlpm.t,"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78" s="12"/>
      <c r="G578" s="13" t="str">
        <f>IF(B578="","",IF(M578,"⚠ Duplicate (not counted)",IF(AND(I578="",D578="",E578=""),"— ignored",IF(C578="","⚠ Time",IF(D578="","⚠ Plant",IF(E578="","⚠ Quantity",IF(AND(ISNUMBER(L578),COUNTIF(L$1:L577,L578)&gt;0),"⚠ Same serial "&amp;L578,IF(AND(ISNUMBER(L578),L578&gt;MIN($L$2:$L$1001),COUNTIF($L$2:$L$1001,L578-1)=0,COUNTIF($L$2:$L$1001,L578-2)&lt;2),"⚠ Missing serial "&amp;(L578-1),IF(AND(MAX(K$1:K577)&gt;0,N(K578)-MAX(K$1:K577)&gt;180),"⚠ Gap &gt; 3h",IF(C578-I578&gt;=0.99,"next day",IF(C578-I578&gt;0.4,"12h → 24h","")))))))))))</f>
        <v/>
      </c>
      <c r="H578" s="4" t="str">
        <f t="shared" ref="H578:H641" si="45">IF(B578="","",_xlfn.LET(_xlpm.t,TRIM(B578),IF(LEFT(_xlpm.t,1)="[",IFERROR(TRIM(MID(_xlpm.t,FIND(": ",_xlpm.t,FIND("]",_xlpm.t))+2,500)),_xlpm.t),_xlpm.t)))</f>
        <v/>
      </c>
      <c r="I578" s="5" t="str">
        <f t="shared" ref="I578:I641" si="46">IF(H578="","",IFERROR(TIMEVALUE(TRIM(SUBSTITUTE(SUBSTITUTE(MID(H578,SEARCH(":",H578)-2,5),".",""),"*",""))),""))</f>
        <v/>
      </c>
      <c r="J578" s="6">
        <f t="shared" ref="J578:J641" si="47">IF(OR(B578="",F578="",M578),0,IF(ISNUMBER(F578),F578,N(E578)))</f>
        <v>0</v>
      </c>
      <c r="K578" s="4" t="str">
        <f t="shared" ref="K578:K641" si="48">IF(OR(C578="",M578),"",ROUND(C578*1440,0))</f>
        <v/>
      </c>
      <c r="L578" s="4" t="str">
        <f t="shared" ref="L578:L641" si="49">IF(OR(H578="",AND(I578="",D578="")),"",IFERROR(_xlfn.LET(_xlpm.t,TRIM(SUBSTITUTE(SUBSTITUTE(H578,"*",""),"_","")),VALUE(SUBSTITUTE(LEFT(_xlpm.t,FIND(" ",_xlpm.t&amp;" ")-1),".",""))),""))</f>
        <v/>
      </c>
      <c r="M578" s="4" t="b" cm="1">
        <f t="array" ref="M578">IF(H578="",FALSE,SUMPRODUCT(--(H$1:H577=H578))&gt;0)</f>
        <v>0</v>
      </c>
    </row>
    <row r="579" spans="1:13" x14ac:dyDescent="0.25">
      <c r="A579" s="9" t="str">
        <f>IF(OR(B579="",M579,G579="— ignored"),"",MAX(A$1:A578)+1)</f>
        <v/>
      </c>
      <c r="B579" s="10"/>
      <c r="C579" s="11" t="str">
        <f>IF(I579="","",ROUND((I579+0.5*MAX(0,CEILING(ROUND((MAX(C$1:C578)-1/48-I579)/0.5,6),1)))*1440,0)/1440)</f>
        <v/>
      </c>
      <c r="D579" s="9" t="str" cm="1">
        <f t="array" ref="D579">IF(H579="","",IFERROR(INDEX(Log!$C$19:$G$19,VALUE(MID(H579,FIND("#",H579)+1,1))),""))</f>
        <v/>
      </c>
      <c r="E579" s="9" t="str" cm="1">
        <f t="array" ref="E579">IF(OR(H579="",M579),"",IFERROR(_xlfn.LET(_xlpm.t,SUBSTITUTE(UPPER(H579),"م","M"),_xlpm.u,SUBSTITUTE(_xlpm.t,"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79" s="12"/>
      <c r="G579" s="13" t="str">
        <f>IF(B579="","",IF(M579,"⚠ Duplicate (not counted)",IF(AND(I579="",D579="",E579=""),"— ignored",IF(C579="","⚠ Time",IF(D579="","⚠ Plant",IF(E579="","⚠ Quantity",IF(AND(ISNUMBER(L579),COUNTIF(L$1:L578,L579)&gt;0),"⚠ Same serial "&amp;L579,IF(AND(ISNUMBER(L579),L579&gt;MIN($L$2:$L$1001),COUNTIF($L$2:$L$1001,L579-1)=0,COUNTIF($L$2:$L$1001,L579-2)&lt;2),"⚠ Missing serial "&amp;(L579-1),IF(AND(MAX(K$1:K578)&gt;0,N(K579)-MAX(K$1:K578)&gt;180),"⚠ Gap &gt; 3h",IF(C579-I579&gt;=0.99,"next day",IF(C579-I579&gt;0.4,"12h → 24h","")))))))))))</f>
        <v/>
      </c>
      <c r="H579" s="4" t="str">
        <f t="shared" si="45"/>
        <v/>
      </c>
      <c r="I579" s="5" t="str">
        <f t="shared" si="46"/>
        <v/>
      </c>
      <c r="J579" s="6">
        <f t="shared" si="47"/>
        <v>0</v>
      </c>
      <c r="K579" s="4" t="str">
        <f t="shared" si="48"/>
        <v/>
      </c>
      <c r="L579" s="4" t="str">
        <f t="shared" si="49"/>
        <v/>
      </c>
      <c r="M579" s="4" t="b" cm="1">
        <f t="array" ref="M579">IF(H579="",FALSE,SUMPRODUCT(--(H$1:H578=H579))&gt;0)</f>
        <v>0</v>
      </c>
    </row>
    <row r="580" spans="1:13" x14ac:dyDescent="0.25">
      <c r="A580" s="9" t="str">
        <f>IF(OR(B580="",M580,G580="— ignored"),"",MAX(A$1:A579)+1)</f>
        <v/>
      </c>
      <c r="B580" s="10"/>
      <c r="C580" s="11" t="str">
        <f>IF(I580="","",ROUND((I580+0.5*MAX(0,CEILING(ROUND((MAX(C$1:C579)-1/48-I580)/0.5,6),1)))*1440,0)/1440)</f>
        <v/>
      </c>
      <c r="D580" s="9" t="str" cm="1">
        <f t="array" ref="D580">IF(H580="","",IFERROR(INDEX(Log!$C$19:$G$19,VALUE(MID(H580,FIND("#",H580)+1,1))),""))</f>
        <v/>
      </c>
      <c r="E580" s="9" t="str" cm="1">
        <f t="array" ref="E580">IF(OR(H580="",M580),"",IFERROR(_xlfn.LET(_xlpm.t,SUBSTITUTE(UPPER(H580),"م","M"),_xlpm.u,SUBSTITUTE(_xlpm.t,"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80" s="12"/>
      <c r="G580" s="13" t="str">
        <f>IF(B580="","",IF(M580,"⚠ Duplicate (not counted)",IF(AND(I580="",D580="",E580=""),"— ignored",IF(C580="","⚠ Time",IF(D580="","⚠ Plant",IF(E580="","⚠ Quantity",IF(AND(ISNUMBER(L580),COUNTIF(L$1:L579,L580)&gt;0),"⚠ Same serial "&amp;L580,IF(AND(ISNUMBER(L580),L580&gt;MIN($L$2:$L$1001),COUNTIF($L$2:$L$1001,L580-1)=0,COUNTIF($L$2:$L$1001,L580-2)&lt;2),"⚠ Missing serial "&amp;(L580-1),IF(AND(MAX(K$1:K579)&gt;0,N(K580)-MAX(K$1:K579)&gt;180),"⚠ Gap &gt; 3h",IF(C580-I580&gt;=0.99,"next day",IF(C580-I580&gt;0.4,"12h → 24h","")))))))))))</f>
        <v/>
      </c>
      <c r="H580" s="4" t="str">
        <f t="shared" si="45"/>
        <v/>
      </c>
      <c r="I580" s="5" t="str">
        <f t="shared" si="46"/>
        <v/>
      </c>
      <c r="J580" s="6">
        <f t="shared" si="47"/>
        <v>0</v>
      </c>
      <c r="K580" s="4" t="str">
        <f t="shared" si="48"/>
        <v/>
      </c>
      <c r="L580" s="4" t="str">
        <f t="shared" si="49"/>
        <v/>
      </c>
      <c r="M580" s="4" t="b" cm="1">
        <f t="array" ref="M580">IF(H580="",FALSE,SUMPRODUCT(--(H$1:H579=H580))&gt;0)</f>
        <v>0</v>
      </c>
    </row>
    <row r="581" spans="1:13" x14ac:dyDescent="0.25">
      <c r="A581" s="9" t="str">
        <f>IF(OR(B581="",M581,G581="— ignored"),"",MAX(A$1:A580)+1)</f>
        <v/>
      </c>
      <c r="B581" s="10"/>
      <c r="C581" s="11" t="str">
        <f>IF(I581="","",ROUND((I581+0.5*MAX(0,CEILING(ROUND((MAX(C$1:C580)-1/48-I581)/0.5,6),1)))*1440,0)/1440)</f>
        <v/>
      </c>
      <c r="D581" s="9" t="str" cm="1">
        <f t="array" ref="D581">IF(H581="","",IFERROR(INDEX(Log!$C$19:$G$19,VALUE(MID(H581,FIND("#",H581)+1,1))),""))</f>
        <v/>
      </c>
      <c r="E581" s="9" t="str" cm="1">
        <f t="array" ref="E581">IF(OR(H581="",M581),"",IFERROR(_xlfn.LET(_xlpm.t,SUBSTITUTE(UPPER(H581),"م","M"),_xlpm.u,SUBSTITUTE(_xlpm.t,"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81" s="12"/>
      <c r="G581" s="13" t="str">
        <f>IF(B581="","",IF(M581,"⚠ Duplicate (not counted)",IF(AND(I581="",D581="",E581=""),"— ignored",IF(C581="","⚠ Time",IF(D581="","⚠ Plant",IF(E581="","⚠ Quantity",IF(AND(ISNUMBER(L581),COUNTIF(L$1:L580,L581)&gt;0),"⚠ Same serial "&amp;L581,IF(AND(ISNUMBER(L581),L581&gt;MIN($L$2:$L$1001),COUNTIF($L$2:$L$1001,L581-1)=0,COUNTIF($L$2:$L$1001,L581-2)&lt;2),"⚠ Missing serial "&amp;(L581-1),IF(AND(MAX(K$1:K580)&gt;0,N(K581)-MAX(K$1:K580)&gt;180),"⚠ Gap &gt; 3h",IF(C581-I581&gt;=0.99,"next day",IF(C581-I581&gt;0.4,"12h → 24h","")))))))))))</f>
        <v/>
      </c>
      <c r="H581" s="4" t="str">
        <f t="shared" si="45"/>
        <v/>
      </c>
      <c r="I581" s="5" t="str">
        <f t="shared" si="46"/>
        <v/>
      </c>
      <c r="J581" s="6">
        <f t="shared" si="47"/>
        <v>0</v>
      </c>
      <c r="K581" s="4" t="str">
        <f t="shared" si="48"/>
        <v/>
      </c>
      <c r="L581" s="4" t="str">
        <f t="shared" si="49"/>
        <v/>
      </c>
      <c r="M581" s="4" t="b" cm="1">
        <f t="array" ref="M581">IF(H581="",FALSE,SUMPRODUCT(--(H$1:H580=H581))&gt;0)</f>
        <v>0</v>
      </c>
    </row>
    <row r="582" spans="1:13" x14ac:dyDescent="0.25">
      <c r="A582" s="9" t="str">
        <f>IF(OR(B582="",M582,G582="— ignored"),"",MAX(A$1:A581)+1)</f>
        <v/>
      </c>
      <c r="B582" s="10"/>
      <c r="C582" s="11" t="str">
        <f>IF(I582="","",ROUND((I582+0.5*MAX(0,CEILING(ROUND((MAX(C$1:C581)-1/48-I582)/0.5,6),1)))*1440,0)/1440)</f>
        <v/>
      </c>
      <c r="D582" s="9" t="str" cm="1">
        <f t="array" ref="D582">IF(H582="","",IFERROR(INDEX(Log!$C$19:$G$19,VALUE(MID(H582,FIND("#",H582)+1,1))),""))</f>
        <v/>
      </c>
      <c r="E582" s="9" t="str" cm="1">
        <f t="array" ref="E582">IF(OR(H582="",M582),"",IFERROR(_xlfn.LET(_xlpm.t,SUBSTITUTE(UPPER(H582),"م","M"),_xlpm.u,SUBSTITUTE(_xlpm.t,"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82" s="12"/>
      <c r="G582" s="13" t="str">
        <f>IF(B582="","",IF(M582,"⚠ Duplicate (not counted)",IF(AND(I582="",D582="",E582=""),"— ignored",IF(C582="","⚠ Time",IF(D582="","⚠ Plant",IF(E582="","⚠ Quantity",IF(AND(ISNUMBER(L582),COUNTIF(L$1:L581,L582)&gt;0),"⚠ Same serial "&amp;L582,IF(AND(ISNUMBER(L582),L582&gt;MIN($L$2:$L$1001),COUNTIF($L$2:$L$1001,L582-1)=0,COUNTIF($L$2:$L$1001,L582-2)&lt;2),"⚠ Missing serial "&amp;(L582-1),IF(AND(MAX(K$1:K581)&gt;0,N(K582)-MAX(K$1:K581)&gt;180),"⚠ Gap &gt; 3h",IF(C582-I582&gt;=0.99,"next day",IF(C582-I582&gt;0.4,"12h → 24h","")))))))))))</f>
        <v/>
      </c>
      <c r="H582" s="4" t="str">
        <f t="shared" si="45"/>
        <v/>
      </c>
      <c r="I582" s="5" t="str">
        <f t="shared" si="46"/>
        <v/>
      </c>
      <c r="J582" s="6">
        <f t="shared" si="47"/>
        <v>0</v>
      </c>
      <c r="K582" s="4" t="str">
        <f t="shared" si="48"/>
        <v/>
      </c>
      <c r="L582" s="4" t="str">
        <f t="shared" si="49"/>
        <v/>
      </c>
      <c r="M582" s="4" t="b" cm="1">
        <f t="array" ref="M582">IF(H582="",FALSE,SUMPRODUCT(--(H$1:H581=H582))&gt;0)</f>
        <v>0</v>
      </c>
    </row>
    <row r="583" spans="1:13" x14ac:dyDescent="0.25">
      <c r="A583" s="9" t="str">
        <f>IF(OR(B583="",M583,G583="— ignored"),"",MAX(A$1:A582)+1)</f>
        <v/>
      </c>
      <c r="B583" s="10"/>
      <c r="C583" s="11" t="str">
        <f>IF(I583="","",ROUND((I583+0.5*MAX(0,CEILING(ROUND((MAX(C$1:C582)-1/48-I583)/0.5,6),1)))*1440,0)/1440)</f>
        <v/>
      </c>
      <c r="D583" s="9" t="str" cm="1">
        <f t="array" ref="D583">IF(H583="","",IFERROR(INDEX(Log!$C$19:$G$19,VALUE(MID(H583,FIND("#",H583)+1,1))),""))</f>
        <v/>
      </c>
      <c r="E583" s="9" t="str" cm="1">
        <f t="array" ref="E583">IF(OR(H583="",M583),"",IFERROR(_xlfn.LET(_xlpm.t,SUBSTITUTE(UPPER(H583),"م","M"),_xlpm.u,SUBSTITUTE(_xlpm.t,"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83" s="12"/>
      <c r="G583" s="13" t="str">
        <f>IF(B583="","",IF(M583,"⚠ Duplicate (not counted)",IF(AND(I583="",D583="",E583=""),"— ignored",IF(C583="","⚠ Time",IF(D583="","⚠ Plant",IF(E583="","⚠ Quantity",IF(AND(ISNUMBER(L583),COUNTIF(L$1:L582,L583)&gt;0),"⚠ Same serial "&amp;L583,IF(AND(ISNUMBER(L583),L583&gt;MIN($L$2:$L$1001),COUNTIF($L$2:$L$1001,L583-1)=0,COUNTIF($L$2:$L$1001,L583-2)&lt;2),"⚠ Missing serial "&amp;(L583-1),IF(AND(MAX(K$1:K582)&gt;0,N(K583)-MAX(K$1:K582)&gt;180),"⚠ Gap &gt; 3h",IF(C583-I583&gt;=0.99,"next day",IF(C583-I583&gt;0.4,"12h → 24h","")))))))))))</f>
        <v/>
      </c>
      <c r="H583" s="4" t="str">
        <f t="shared" si="45"/>
        <v/>
      </c>
      <c r="I583" s="5" t="str">
        <f t="shared" si="46"/>
        <v/>
      </c>
      <c r="J583" s="6">
        <f t="shared" si="47"/>
        <v>0</v>
      </c>
      <c r="K583" s="4" t="str">
        <f t="shared" si="48"/>
        <v/>
      </c>
      <c r="L583" s="4" t="str">
        <f t="shared" si="49"/>
        <v/>
      </c>
      <c r="M583" s="4" t="b" cm="1">
        <f t="array" ref="M583">IF(H583="",FALSE,SUMPRODUCT(--(H$1:H582=H583))&gt;0)</f>
        <v>0</v>
      </c>
    </row>
    <row r="584" spans="1:13" x14ac:dyDescent="0.25">
      <c r="A584" s="9" t="str">
        <f>IF(OR(B584="",M584,G584="— ignored"),"",MAX(A$1:A583)+1)</f>
        <v/>
      </c>
      <c r="B584" s="10"/>
      <c r="C584" s="11" t="str">
        <f>IF(I584="","",ROUND((I584+0.5*MAX(0,CEILING(ROUND((MAX(C$1:C583)-1/48-I584)/0.5,6),1)))*1440,0)/1440)</f>
        <v/>
      </c>
      <c r="D584" s="9" t="str" cm="1">
        <f t="array" ref="D584">IF(H584="","",IFERROR(INDEX(Log!$C$19:$G$19,VALUE(MID(H584,FIND("#",H584)+1,1))),""))</f>
        <v/>
      </c>
      <c r="E584" s="9" t="str" cm="1">
        <f t="array" ref="E584">IF(OR(H584="",M584),"",IFERROR(_xlfn.LET(_xlpm.t,SUBSTITUTE(UPPER(H584),"م","M"),_xlpm.u,SUBSTITUTE(_xlpm.t,"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84" s="12"/>
      <c r="G584" s="13" t="str">
        <f>IF(B584="","",IF(M584,"⚠ Duplicate (not counted)",IF(AND(I584="",D584="",E584=""),"— ignored",IF(C584="","⚠ Time",IF(D584="","⚠ Plant",IF(E584="","⚠ Quantity",IF(AND(ISNUMBER(L584),COUNTIF(L$1:L583,L584)&gt;0),"⚠ Same serial "&amp;L584,IF(AND(ISNUMBER(L584),L584&gt;MIN($L$2:$L$1001),COUNTIF($L$2:$L$1001,L584-1)=0,COUNTIF($L$2:$L$1001,L584-2)&lt;2),"⚠ Missing serial "&amp;(L584-1),IF(AND(MAX(K$1:K583)&gt;0,N(K584)-MAX(K$1:K583)&gt;180),"⚠ Gap &gt; 3h",IF(C584-I584&gt;=0.99,"next day",IF(C584-I584&gt;0.4,"12h → 24h","")))))))))))</f>
        <v/>
      </c>
      <c r="H584" s="4" t="str">
        <f t="shared" si="45"/>
        <v/>
      </c>
      <c r="I584" s="5" t="str">
        <f t="shared" si="46"/>
        <v/>
      </c>
      <c r="J584" s="6">
        <f t="shared" si="47"/>
        <v>0</v>
      </c>
      <c r="K584" s="4" t="str">
        <f t="shared" si="48"/>
        <v/>
      </c>
      <c r="L584" s="4" t="str">
        <f t="shared" si="49"/>
        <v/>
      </c>
      <c r="M584" s="4" t="b" cm="1">
        <f t="array" ref="M584">IF(H584="",FALSE,SUMPRODUCT(--(H$1:H583=H584))&gt;0)</f>
        <v>0</v>
      </c>
    </row>
    <row r="585" spans="1:13" x14ac:dyDescent="0.25">
      <c r="A585" s="9" t="str">
        <f>IF(OR(B585="",M585,G585="— ignored"),"",MAX(A$1:A584)+1)</f>
        <v/>
      </c>
      <c r="B585" s="10"/>
      <c r="C585" s="11" t="str">
        <f>IF(I585="","",ROUND((I585+0.5*MAX(0,CEILING(ROUND((MAX(C$1:C584)-1/48-I585)/0.5,6),1)))*1440,0)/1440)</f>
        <v/>
      </c>
      <c r="D585" s="9" t="str" cm="1">
        <f t="array" ref="D585">IF(H585="","",IFERROR(INDEX(Log!$C$19:$G$19,VALUE(MID(H585,FIND("#",H585)+1,1))),""))</f>
        <v/>
      </c>
      <c r="E585" s="9" t="str" cm="1">
        <f t="array" ref="E585">IF(OR(H585="",M585),"",IFERROR(_xlfn.LET(_xlpm.t,SUBSTITUTE(UPPER(H585),"م","M"),_xlpm.u,SUBSTITUTE(_xlpm.t,"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85" s="12"/>
      <c r="G585" s="13" t="str">
        <f>IF(B585="","",IF(M585,"⚠ Duplicate (not counted)",IF(AND(I585="",D585="",E585=""),"— ignored",IF(C585="","⚠ Time",IF(D585="","⚠ Plant",IF(E585="","⚠ Quantity",IF(AND(ISNUMBER(L585),COUNTIF(L$1:L584,L585)&gt;0),"⚠ Same serial "&amp;L585,IF(AND(ISNUMBER(L585),L585&gt;MIN($L$2:$L$1001),COUNTIF($L$2:$L$1001,L585-1)=0,COUNTIF($L$2:$L$1001,L585-2)&lt;2),"⚠ Missing serial "&amp;(L585-1),IF(AND(MAX(K$1:K584)&gt;0,N(K585)-MAX(K$1:K584)&gt;180),"⚠ Gap &gt; 3h",IF(C585-I585&gt;=0.99,"next day",IF(C585-I585&gt;0.4,"12h → 24h","")))))))))))</f>
        <v/>
      </c>
      <c r="H585" s="4" t="str">
        <f t="shared" si="45"/>
        <v/>
      </c>
      <c r="I585" s="5" t="str">
        <f t="shared" si="46"/>
        <v/>
      </c>
      <c r="J585" s="6">
        <f t="shared" si="47"/>
        <v>0</v>
      </c>
      <c r="K585" s="4" t="str">
        <f t="shared" si="48"/>
        <v/>
      </c>
      <c r="L585" s="4" t="str">
        <f t="shared" si="49"/>
        <v/>
      </c>
      <c r="M585" s="4" t="b" cm="1">
        <f t="array" ref="M585">IF(H585="",FALSE,SUMPRODUCT(--(H$1:H584=H585))&gt;0)</f>
        <v>0</v>
      </c>
    </row>
    <row r="586" spans="1:13" x14ac:dyDescent="0.25">
      <c r="A586" s="9" t="str">
        <f>IF(OR(B586="",M586,G586="— ignored"),"",MAX(A$1:A585)+1)</f>
        <v/>
      </c>
      <c r="B586" s="10"/>
      <c r="C586" s="11" t="str">
        <f>IF(I586="","",ROUND((I586+0.5*MAX(0,CEILING(ROUND((MAX(C$1:C585)-1/48-I586)/0.5,6),1)))*1440,0)/1440)</f>
        <v/>
      </c>
      <c r="D586" s="9" t="str" cm="1">
        <f t="array" ref="D586">IF(H586="","",IFERROR(INDEX(Log!$C$19:$G$19,VALUE(MID(H586,FIND("#",H586)+1,1))),""))</f>
        <v/>
      </c>
      <c r="E586" s="9" t="str" cm="1">
        <f t="array" ref="E586">IF(OR(H586="",M586),"",IFERROR(_xlfn.LET(_xlpm.t,SUBSTITUTE(UPPER(H586),"م","M"),_xlpm.u,SUBSTITUTE(_xlpm.t,"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86" s="12"/>
      <c r="G586" s="13" t="str">
        <f>IF(B586="","",IF(M586,"⚠ Duplicate (not counted)",IF(AND(I586="",D586="",E586=""),"— ignored",IF(C586="","⚠ Time",IF(D586="","⚠ Plant",IF(E586="","⚠ Quantity",IF(AND(ISNUMBER(L586),COUNTIF(L$1:L585,L586)&gt;0),"⚠ Same serial "&amp;L586,IF(AND(ISNUMBER(L586),L586&gt;MIN($L$2:$L$1001),COUNTIF($L$2:$L$1001,L586-1)=0,COUNTIF($L$2:$L$1001,L586-2)&lt;2),"⚠ Missing serial "&amp;(L586-1),IF(AND(MAX(K$1:K585)&gt;0,N(K586)-MAX(K$1:K585)&gt;180),"⚠ Gap &gt; 3h",IF(C586-I586&gt;=0.99,"next day",IF(C586-I586&gt;0.4,"12h → 24h","")))))))))))</f>
        <v/>
      </c>
      <c r="H586" s="4" t="str">
        <f t="shared" si="45"/>
        <v/>
      </c>
      <c r="I586" s="5" t="str">
        <f t="shared" si="46"/>
        <v/>
      </c>
      <c r="J586" s="6">
        <f t="shared" si="47"/>
        <v>0</v>
      </c>
      <c r="K586" s="4" t="str">
        <f t="shared" si="48"/>
        <v/>
      </c>
      <c r="L586" s="4" t="str">
        <f t="shared" si="49"/>
        <v/>
      </c>
      <c r="M586" s="4" t="b" cm="1">
        <f t="array" ref="M586">IF(H586="",FALSE,SUMPRODUCT(--(H$1:H585=H586))&gt;0)</f>
        <v>0</v>
      </c>
    </row>
    <row r="587" spans="1:13" x14ac:dyDescent="0.25">
      <c r="A587" s="9" t="str">
        <f>IF(OR(B587="",M587,G587="— ignored"),"",MAX(A$1:A586)+1)</f>
        <v/>
      </c>
      <c r="B587" s="10"/>
      <c r="C587" s="11" t="str">
        <f>IF(I587="","",ROUND((I587+0.5*MAX(0,CEILING(ROUND((MAX(C$1:C586)-1/48-I587)/0.5,6),1)))*1440,0)/1440)</f>
        <v/>
      </c>
      <c r="D587" s="9" t="str" cm="1">
        <f t="array" ref="D587">IF(H587="","",IFERROR(INDEX(Log!$C$19:$G$19,VALUE(MID(H587,FIND("#",H587)+1,1))),""))</f>
        <v/>
      </c>
      <c r="E587" s="9" t="str" cm="1">
        <f t="array" ref="E587">IF(OR(H587="",M587),"",IFERROR(_xlfn.LET(_xlpm.t,SUBSTITUTE(UPPER(H587),"م","M"),_xlpm.u,SUBSTITUTE(_xlpm.t,"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87" s="12"/>
      <c r="G587" s="13" t="str">
        <f>IF(B587="","",IF(M587,"⚠ Duplicate (not counted)",IF(AND(I587="",D587="",E587=""),"— ignored",IF(C587="","⚠ Time",IF(D587="","⚠ Plant",IF(E587="","⚠ Quantity",IF(AND(ISNUMBER(L587),COUNTIF(L$1:L586,L587)&gt;0),"⚠ Same serial "&amp;L587,IF(AND(ISNUMBER(L587),L587&gt;MIN($L$2:$L$1001),COUNTIF($L$2:$L$1001,L587-1)=0,COUNTIF($L$2:$L$1001,L587-2)&lt;2),"⚠ Missing serial "&amp;(L587-1),IF(AND(MAX(K$1:K586)&gt;0,N(K587)-MAX(K$1:K586)&gt;180),"⚠ Gap &gt; 3h",IF(C587-I587&gt;=0.99,"next day",IF(C587-I587&gt;0.4,"12h → 24h","")))))))))))</f>
        <v/>
      </c>
      <c r="H587" s="4" t="str">
        <f t="shared" si="45"/>
        <v/>
      </c>
      <c r="I587" s="5" t="str">
        <f t="shared" si="46"/>
        <v/>
      </c>
      <c r="J587" s="6">
        <f t="shared" si="47"/>
        <v>0</v>
      </c>
      <c r="K587" s="4" t="str">
        <f t="shared" si="48"/>
        <v/>
      </c>
      <c r="L587" s="4" t="str">
        <f t="shared" si="49"/>
        <v/>
      </c>
      <c r="M587" s="4" t="b" cm="1">
        <f t="array" ref="M587">IF(H587="",FALSE,SUMPRODUCT(--(H$1:H586=H587))&gt;0)</f>
        <v>0</v>
      </c>
    </row>
    <row r="588" spans="1:13" x14ac:dyDescent="0.25">
      <c r="A588" s="9" t="str">
        <f>IF(OR(B588="",M588,G588="— ignored"),"",MAX(A$1:A587)+1)</f>
        <v/>
      </c>
      <c r="B588" s="10"/>
      <c r="C588" s="11" t="str">
        <f>IF(I588="","",ROUND((I588+0.5*MAX(0,CEILING(ROUND((MAX(C$1:C587)-1/48-I588)/0.5,6),1)))*1440,0)/1440)</f>
        <v/>
      </c>
      <c r="D588" s="9" t="str" cm="1">
        <f t="array" ref="D588">IF(H588="","",IFERROR(INDEX(Log!$C$19:$G$19,VALUE(MID(H588,FIND("#",H588)+1,1))),""))</f>
        <v/>
      </c>
      <c r="E588" s="9" t="str" cm="1">
        <f t="array" ref="E588">IF(OR(H588="",M588),"",IFERROR(_xlfn.LET(_xlpm.t,SUBSTITUTE(UPPER(H588),"م","M"),_xlpm.u,SUBSTITUTE(_xlpm.t,"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88" s="12"/>
      <c r="G588" s="13" t="str">
        <f>IF(B588="","",IF(M588,"⚠ Duplicate (not counted)",IF(AND(I588="",D588="",E588=""),"— ignored",IF(C588="","⚠ Time",IF(D588="","⚠ Plant",IF(E588="","⚠ Quantity",IF(AND(ISNUMBER(L588),COUNTIF(L$1:L587,L588)&gt;0),"⚠ Same serial "&amp;L588,IF(AND(ISNUMBER(L588),L588&gt;MIN($L$2:$L$1001),COUNTIF($L$2:$L$1001,L588-1)=0,COUNTIF($L$2:$L$1001,L588-2)&lt;2),"⚠ Missing serial "&amp;(L588-1),IF(AND(MAX(K$1:K587)&gt;0,N(K588)-MAX(K$1:K587)&gt;180),"⚠ Gap &gt; 3h",IF(C588-I588&gt;=0.99,"next day",IF(C588-I588&gt;0.4,"12h → 24h","")))))))))))</f>
        <v/>
      </c>
      <c r="H588" s="4" t="str">
        <f t="shared" si="45"/>
        <v/>
      </c>
      <c r="I588" s="5" t="str">
        <f t="shared" si="46"/>
        <v/>
      </c>
      <c r="J588" s="6">
        <f t="shared" si="47"/>
        <v>0</v>
      </c>
      <c r="K588" s="4" t="str">
        <f t="shared" si="48"/>
        <v/>
      </c>
      <c r="L588" s="4" t="str">
        <f t="shared" si="49"/>
        <v/>
      </c>
      <c r="M588" s="4" t="b" cm="1">
        <f t="array" ref="M588">IF(H588="",FALSE,SUMPRODUCT(--(H$1:H587=H588))&gt;0)</f>
        <v>0</v>
      </c>
    </row>
    <row r="589" spans="1:13" x14ac:dyDescent="0.25">
      <c r="A589" s="9" t="str">
        <f>IF(OR(B589="",M589,G589="— ignored"),"",MAX(A$1:A588)+1)</f>
        <v/>
      </c>
      <c r="B589" s="10"/>
      <c r="C589" s="11" t="str">
        <f>IF(I589="","",ROUND((I589+0.5*MAX(0,CEILING(ROUND((MAX(C$1:C588)-1/48-I589)/0.5,6),1)))*1440,0)/1440)</f>
        <v/>
      </c>
      <c r="D589" s="9" t="str" cm="1">
        <f t="array" ref="D589">IF(H589="","",IFERROR(INDEX(Log!$C$19:$G$19,VALUE(MID(H589,FIND("#",H589)+1,1))),""))</f>
        <v/>
      </c>
      <c r="E589" s="9" t="str" cm="1">
        <f t="array" ref="E589">IF(OR(H589="",M589),"",IFERROR(_xlfn.LET(_xlpm.t,SUBSTITUTE(UPPER(H589),"م","M"),_xlpm.u,SUBSTITUTE(_xlpm.t,"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89" s="12"/>
      <c r="G589" s="13" t="str">
        <f>IF(B589="","",IF(M589,"⚠ Duplicate (not counted)",IF(AND(I589="",D589="",E589=""),"— ignored",IF(C589="","⚠ Time",IF(D589="","⚠ Plant",IF(E589="","⚠ Quantity",IF(AND(ISNUMBER(L589),COUNTIF(L$1:L588,L589)&gt;0),"⚠ Same serial "&amp;L589,IF(AND(ISNUMBER(L589),L589&gt;MIN($L$2:$L$1001),COUNTIF($L$2:$L$1001,L589-1)=0,COUNTIF($L$2:$L$1001,L589-2)&lt;2),"⚠ Missing serial "&amp;(L589-1),IF(AND(MAX(K$1:K588)&gt;0,N(K589)-MAX(K$1:K588)&gt;180),"⚠ Gap &gt; 3h",IF(C589-I589&gt;=0.99,"next day",IF(C589-I589&gt;0.4,"12h → 24h","")))))))))))</f>
        <v/>
      </c>
      <c r="H589" s="4" t="str">
        <f t="shared" si="45"/>
        <v/>
      </c>
      <c r="I589" s="5" t="str">
        <f t="shared" si="46"/>
        <v/>
      </c>
      <c r="J589" s="6">
        <f t="shared" si="47"/>
        <v>0</v>
      </c>
      <c r="K589" s="4" t="str">
        <f t="shared" si="48"/>
        <v/>
      </c>
      <c r="L589" s="4" t="str">
        <f t="shared" si="49"/>
        <v/>
      </c>
      <c r="M589" s="4" t="b" cm="1">
        <f t="array" ref="M589">IF(H589="",FALSE,SUMPRODUCT(--(H$1:H588=H589))&gt;0)</f>
        <v>0</v>
      </c>
    </row>
    <row r="590" spans="1:13" x14ac:dyDescent="0.25">
      <c r="A590" s="9" t="str">
        <f>IF(OR(B590="",M590,G590="— ignored"),"",MAX(A$1:A589)+1)</f>
        <v/>
      </c>
      <c r="B590" s="10"/>
      <c r="C590" s="11" t="str">
        <f>IF(I590="","",ROUND((I590+0.5*MAX(0,CEILING(ROUND((MAX(C$1:C589)-1/48-I590)/0.5,6),1)))*1440,0)/1440)</f>
        <v/>
      </c>
      <c r="D590" s="9" t="str" cm="1">
        <f t="array" ref="D590">IF(H590="","",IFERROR(INDEX(Log!$C$19:$G$19,VALUE(MID(H590,FIND("#",H590)+1,1))),""))</f>
        <v/>
      </c>
      <c r="E590" s="9" t="str" cm="1">
        <f t="array" ref="E590">IF(OR(H590="",M590),"",IFERROR(_xlfn.LET(_xlpm.t,SUBSTITUTE(UPPER(H590),"م","M"),_xlpm.u,SUBSTITUTE(_xlpm.t,"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90" s="12"/>
      <c r="G590" s="13" t="str">
        <f>IF(B590="","",IF(M590,"⚠ Duplicate (not counted)",IF(AND(I590="",D590="",E590=""),"— ignored",IF(C590="","⚠ Time",IF(D590="","⚠ Plant",IF(E590="","⚠ Quantity",IF(AND(ISNUMBER(L590),COUNTIF(L$1:L589,L590)&gt;0),"⚠ Same serial "&amp;L590,IF(AND(ISNUMBER(L590),L590&gt;MIN($L$2:$L$1001),COUNTIF($L$2:$L$1001,L590-1)=0,COUNTIF($L$2:$L$1001,L590-2)&lt;2),"⚠ Missing serial "&amp;(L590-1),IF(AND(MAX(K$1:K589)&gt;0,N(K590)-MAX(K$1:K589)&gt;180),"⚠ Gap &gt; 3h",IF(C590-I590&gt;=0.99,"next day",IF(C590-I590&gt;0.4,"12h → 24h","")))))))))))</f>
        <v/>
      </c>
      <c r="H590" s="4" t="str">
        <f t="shared" si="45"/>
        <v/>
      </c>
      <c r="I590" s="5" t="str">
        <f t="shared" si="46"/>
        <v/>
      </c>
      <c r="J590" s="6">
        <f t="shared" si="47"/>
        <v>0</v>
      </c>
      <c r="K590" s="4" t="str">
        <f t="shared" si="48"/>
        <v/>
      </c>
      <c r="L590" s="4" t="str">
        <f t="shared" si="49"/>
        <v/>
      </c>
      <c r="M590" s="4" t="b" cm="1">
        <f t="array" ref="M590">IF(H590="",FALSE,SUMPRODUCT(--(H$1:H589=H590))&gt;0)</f>
        <v>0</v>
      </c>
    </row>
    <row r="591" spans="1:13" x14ac:dyDescent="0.25">
      <c r="A591" s="9" t="str">
        <f>IF(OR(B591="",M591,G591="— ignored"),"",MAX(A$1:A590)+1)</f>
        <v/>
      </c>
      <c r="B591" s="10"/>
      <c r="C591" s="11" t="str">
        <f>IF(I591="","",ROUND((I591+0.5*MAX(0,CEILING(ROUND((MAX(C$1:C590)-1/48-I591)/0.5,6),1)))*1440,0)/1440)</f>
        <v/>
      </c>
      <c r="D591" s="9" t="str" cm="1">
        <f t="array" ref="D591">IF(H591="","",IFERROR(INDEX(Log!$C$19:$G$19,VALUE(MID(H591,FIND("#",H591)+1,1))),""))</f>
        <v/>
      </c>
      <c r="E591" s="9" t="str" cm="1">
        <f t="array" ref="E591">IF(OR(H591="",M591),"",IFERROR(_xlfn.LET(_xlpm.t,SUBSTITUTE(UPPER(H591),"م","M"),_xlpm.u,SUBSTITUTE(_xlpm.t,"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91" s="12"/>
      <c r="G591" s="13" t="str">
        <f>IF(B591="","",IF(M591,"⚠ Duplicate (not counted)",IF(AND(I591="",D591="",E591=""),"— ignored",IF(C591="","⚠ Time",IF(D591="","⚠ Plant",IF(E591="","⚠ Quantity",IF(AND(ISNUMBER(L591),COUNTIF(L$1:L590,L591)&gt;0),"⚠ Same serial "&amp;L591,IF(AND(ISNUMBER(L591),L591&gt;MIN($L$2:$L$1001),COUNTIF($L$2:$L$1001,L591-1)=0,COUNTIF($L$2:$L$1001,L591-2)&lt;2),"⚠ Missing serial "&amp;(L591-1),IF(AND(MAX(K$1:K590)&gt;0,N(K591)-MAX(K$1:K590)&gt;180),"⚠ Gap &gt; 3h",IF(C591-I591&gt;=0.99,"next day",IF(C591-I591&gt;0.4,"12h → 24h","")))))))))))</f>
        <v/>
      </c>
      <c r="H591" s="4" t="str">
        <f t="shared" si="45"/>
        <v/>
      </c>
      <c r="I591" s="5" t="str">
        <f t="shared" si="46"/>
        <v/>
      </c>
      <c r="J591" s="6">
        <f t="shared" si="47"/>
        <v>0</v>
      </c>
      <c r="K591" s="4" t="str">
        <f t="shared" si="48"/>
        <v/>
      </c>
      <c r="L591" s="4" t="str">
        <f t="shared" si="49"/>
        <v/>
      </c>
      <c r="M591" s="4" t="b" cm="1">
        <f t="array" ref="M591">IF(H591="",FALSE,SUMPRODUCT(--(H$1:H590=H591))&gt;0)</f>
        <v>0</v>
      </c>
    </row>
    <row r="592" spans="1:13" x14ac:dyDescent="0.25">
      <c r="A592" s="9" t="str">
        <f>IF(OR(B592="",M592,G592="— ignored"),"",MAX(A$1:A591)+1)</f>
        <v/>
      </c>
      <c r="B592" s="10"/>
      <c r="C592" s="11" t="str">
        <f>IF(I592="","",ROUND((I592+0.5*MAX(0,CEILING(ROUND((MAX(C$1:C591)-1/48-I592)/0.5,6),1)))*1440,0)/1440)</f>
        <v/>
      </c>
      <c r="D592" s="9" t="str" cm="1">
        <f t="array" ref="D592">IF(H592="","",IFERROR(INDEX(Log!$C$19:$G$19,VALUE(MID(H592,FIND("#",H592)+1,1))),""))</f>
        <v/>
      </c>
      <c r="E592" s="9" t="str" cm="1">
        <f t="array" ref="E592">IF(OR(H592="",M592),"",IFERROR(_xlfn.LET(_xlpm.t,SUBSTITUTE(UPPER(H592),"م","M"),_xlpm.u,SUBSTITUTE(_xlpm.t,"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92" s="12"/>
      <c r="G592" s="13" t="str">
        <f>IF(B592="","",IF(M592,"⚠ Duplicate (not counted)",IF(AND(I592="",D592="",E592=""),"— ignored",IF(C592="","⚠ Time",IF(D592="","⚠ Plant",IF(E592="","⚠ Quantity",IF(AND(ISNUMBER(L592),COUNTIF(L$1:L591,L592)&gt;0),"⚠ Same serial "&amp;L592,IF(AND(ISNUMBER(L592),L592&gt;MIN($L$2:$L$1001),COUNTIF($L$2:$L$1001,L592-1)=0,COUNTIF($L$2:$L$1001,L592-2)&lt;2),"⚠ Missing serial "&amp;(L592-1),IF(AND(MAX(K$1:K591)&gt;0,N(K592)-MAX(K$1:K591)&gt;180),"⚠ Gap &gt; 3h",IF(C592-I592&gt;=0.99,"next day",IF(C592-I592&gt;0.4,"12h → 24h","")))))))))))</f>
        <v/>
      </c>
      <c r="H592" s="4" t="str">
        <f t="shared" si="45"/>
        <v/>
      </c>
      <c r="I592" s="5" t="str">
        <f t="shared" si="46"/>
        <v/>
      </c>
      <c r="J592" s="6">
        <f t="shared" si="47"/>
        <v>0</v>
      </c>
      <c r="K592" s="4" t="str">
        <f t="shared" si="48"/>
        <v/>
      </c>
      <c r="L592" s="4" t="str">
        <f t="shared" si="49"/>
        <v/>
      </c>
      <c r="M592" s="4" t="b" cm="1">
        <f t="array" ref="M592">IF(H592="",FALSE,SUMPRODUCT(--(H$1:H591=H592))&gt;0)</f>
        <v>0</v>
      </c>
    </row>
    <row r="593" spans="1:13" x14ac:dyDescent="0.25">
      <c r="A593" s="9" t="str">
        <f>IF(OR(B593="",M593,G593="— ignored"),"",MAX(A$1:A592)+1)</f>
        <v/>
      </c>
      <c r="B593" s="10"/>
      <c r="C593" s="11" t="str">
        <f>IF(I593="","",ROUND((I593+0.5*MAX(0,CEILING(ROUND((MAX(C$1:C592)-1/48-I593)/0.5,6),1)))*1440,0)/1440)</f>
        <v/>
      </c>
      <c r="D593" s="9" t="str" cm="1">
        <f t="array" ref="D593">IF(H593="","",IFERROR(INDEX(Log!$C$19:$G$19,VALUE(MID(H593,FIND("#",H593)+1,1))),""))</f>
        <v/>
      </c>
      <c r="E593" s="9" t="str" cm="1">
        <f t="array" ref="E593">IF(OR(H593="",M593),"",IFERROR(_xlfn.LET(_xlpm.t,SUBSTITUTE(UPPER(H593),"م","M"),_xlpm.u,SUBSTITUTE(_xlpm.t,"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93" s="12"/>
      <c r="G593" s="13" t="str">
        <f>IF(B593="","",IF(M593,"⚠ Duplicate (not counted)",IF(AND(I593="",D593="",E593=""),"— ignored",IF(C593="","⚠ Time",IF(D593="","⚠ Plant",IF(E593="","⚠ Quantity",IF(AND(ISNUMBER(L593),COUNTIF(L$1:L592,L593)&gt;0),"⚠ Same serial "&amp;L593,IF(AND(ISNUMBER(L593),L593&gt;MIN($L$2:$L$1001),COUNTIF($L$2:$L$1001,L593-1)=0,COUNTIF($L$2:$L$1001,L593-2)&lt;2),"⚠ Missing serial "&amp;(L593-1),IF(AND(MAX(K$1:K592)&gt;0,N(K593)-MAX(K$1:K592)&gt;180),"⚠ Gap &gt; 3h",IF(C593-I593&gt;=0.99,"next day",IF(C593-I593&gt;0.4,"12h → 24h","")))))))))))</f>
        <v/>
      </c>
      <c r="H593" s="4" t="str">
        <f t="shared" si="45"/>
        <v/>
      </c>
      <c r="I593" s="5" t="str">
        <f t="shared" si="46"/>
        <v/>
      </c>
      <c r="J593" s="6">
        <f t="shared" si="47"/>
        <v>0</v>
      </c>
      <c r="K593" s="4" t="str">
        <f t="shared" si="48"/>
        <v/>
      </c>
      <c r="L593" s="4" t="str">
        <f t="shared" si="49"/>
        <v/>
      </c>
      <c r="M593" s="4" t="b" cm="1">
        <f t="array" ref="M593">IF(H593="",FALSE,SUMPRODUCT(--(H$1:H592=H593))&gt;0)</f>
        <v>0</v>
      </c>
    </row>
    <row r="594" spans="1:13" x14ac:dyDescent="0.25">
      <c r="A594" s="9" t="str">
        <f>IF(OR(B594="",M594,G594="— ignored"),"",MAX(A$1:A593)+1)</f>
        <v/>
      </c>
      <c r="B594" s="10"/>
      <c r="C594" s="11" t="str">
        <f>IF(I594="","",ROUND((I594+0.5*MAX(0,CEILING(ROUND((MAX(C$1:C593)-1/48-I594)/0.5,6),1)))*1440,0)/1440)</f>
        <v/>
      </c>
      <c r="D594" s="9" t="str" cm="1">
        <f t="array" ref="D594">IF(H594="","",IFERROR(INDEX(Log!$C$19:$G$19,VALUE(MID(H594,FIND("#",H594)+1,1))),""))</f>
        <v/>
      </c>
      <c r="E594" s="9" t="str" cm="1">
        <f t="array" ref="E594">IF(OR(H594="",M594),"",IFERROR(_xlfn.LET(_xlpm.t,SUBSTITUTE(UPPER(H594),"م","M"),_xlpm.u,SUBSTITUTE(_xlpm.t,"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94" s="12"/>
      <c r="G594" s="13" t="str">
        <f>IF(B594="","",IF(M594,"⚠ Duplicate (not counted)",IF(AND(I594="",D594="",E594=""),"— ignored",IF(C594="","⚠ Time",IF(D594="","⚠ Plant",IF(E594="","⚠ Quantity",IF(AND(ISNUMBER(L594),COUNTIF(L$1:L593,L594)&gt;0),"⚠ Same serial "&amp;L594,IF(AND(ISNUMBER(L594),L594&gt;MIN($L$2:$L$1001),COUNTIF($L$2:$L$1001,L594-1)=0,COUNTIF($L$2:$L$1001,L594-2)&lt;2),"⚠ Missing serial "&amp;(L594-1),IF(AND(MAX(K$1:K593)&gt;0,N(K594)-MAX(K$1:K593)&gt;180),"⚠ Gap &gt; 3h",IF(C594-I594&gt;=0.99,"next day",IF(C594-I594&gt;0.4,"12h → 24h","")))))))))))</f>
        <v/>
      </c>
      <c r="H594" s="4" t="str">
        <f t="shared" si="45"/>
        <v/>
      </c>
      <c r="I594" s="5" t="str">
        <f t="shared" si="46"/>
        <v/>
      </c>
      <c r="J594" s="6">
        <f t="shared" si="47"/>
        <v>0</v>
      </c>
      <c r="K594" s="4" t="str">
        <f t="shared" si="48"/>
        <v/>
      </c>
      <c r="L594" s="4" t="str">
        <f t="shared" si="49"/>
        <v/>
      </c>
      <c r="M594" s="4" t="b" cm="1">
        <f t="array" ref="M594">IF(H594="",FALSE,SUMPRODUCT(--(H$1:H593=H594))&gt;0)</f>
        <v>0</v>
      </c>
    </row>
    <row r="595" spans="1:13" x14ac:dyDescent="0.25">
      <c r="A595" s="9" t="str">
        <f>IF(OR(B595="",M595,G595="— ignored"),"",MAX(A$1:A594)+1)</f>
        <v/>
      </c>
      <c r="B595" s="10"/>
      <c r="C595" s="11" t="str">
        <f>IF(I595="","",ROUND((I595+0.5*MAX(0,CEILING(ROUND((MAX(C$1:C594)-1/48-I595)/0.5,6),1)))*1440,0)/1440)</f>
        <v/>
      </c>
      <c r="D595" s="9" t="str" cm="1">
        <f t="array" ref="D595">IF(H595="","",IFERROR(INDEX(Log!$C$19:$G$19,VALUE(MID(H595,FIND("#",H595)+1,1))),""))</f>
        <v/>
      </c>
      <c r="E595" s="9" t="str" cm="1">
        <f t="array" ref="E595">IF(OR(H595="",M595),"",IFERROR(_xlfn.LET(_xlpm.t,SUBSTITUTE(UPPER(H595),"م","M"),_xlpm.u,SUBSTITUTE(_xlpm.t,"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95" s="12"/>
      <c r="G595" s="13" t="str">
        <f>IF(B595="","",IF(M595,"⚠ Duplicate (not counted)",IF(AND(I595="",D595="",E595=""),"— ignored",IF(C595="","⚠ Time",IF(D595="","⚠ Plant",IF(E595="","⚠ Quantity",IF(AND(ISNUMBER(L595),COUNTIF(L$1:L594,L595)&gt;0),"⚠ Same serial "&amp;L595,IF(AND(ISNUMBER(L595),L595&gt;MIN($L$2:$L$1001),COUNTIF($L$2:$L$1001,L595-1)=0,COUNTIF($L$2:$L$1001,L595-2)&lt;2),"⚠ Missing serial "&amp;(L595-1),IF(AND(MAX(K$1:K594)&gt;0,N(K595)-MAX(K$1:K594)&gt;180),"⚠ Gap &gt; 3h",IF(C595-I595&gt;=0.99,"next day",IF(C595-I595&gt;0.4,"12h → 24h","")))))))))))</f>
        <v/>
      </c>
      <c r="H595" s="4" t="str">
        <f t="shared" si="45"/>
        <v/>
      </c>
      <c r="I595" s="5" t="str">
        <f t="shared" si="46"/>
        <v/>
      </c>
      <c r="J595" s="6">
        <f t="shared" si="47"/>
        <v>0</v>
      </c>
      <c r="K595" s="4" t="str">
        <f t="shared" si="48"/>
        <v/>
      </c>
      <c r="L595" s="4" t="str">
        <f t="shared" si="49"/>
        <v/>
      </c>
      <c r="M595" s="4" t="b" cm="1">
        <f t="array" ref="M595">IF(H595="",FALSE,SUMPRODUCT(--(H$1:H594=H595))&gt;0)</f>
        <v>0</v>
      </c>
    </row>
    <row r="596" spans="1:13" x14ac:dyDescent="0.25">
      <c r="A596" s="9" t="str">
        <f>IF(OR(B596="",M596,G596="— ignored"),"",MAX(A$1:A595)+1)</f>
        <v/>
      </c>
      <c r="B596" s="10"/>
      <c r="C596" s="11" t="str">
        <f>IF(I596="","",ROUND((I596+0.5*MAX(0,CEILING(ROUND((MAX(C$1:C595)-1/48-I596)/0.5,6),1)))*1440,0)/1440)</f>
        <v/>
      </c>
      <c r="D596" s="9" t="str" cm="1">
        <f t="array" ref="D596">IF(H596="","",IFERROR(INDEX(Log!$C$19:$G$19,VALUE(MID(H596,FIND("#",H596)+1,1))),""))</f>
        <v/>
      </c>
      <c r="E596" s="9" t="str" cm="1">
        <f t="array" ref="E596">IF(OR(H596="",M596),"",IFERROR(_xlfn.LET(_xlpm.t,SUBSTITUTE(UPPER(H596),"م","M"),_xlpm.u,SUBSTITUTE(_xlpm.t,"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96" s="12"/>
      <c r="G596" s="13" t="str">
        <f>IF(B596="","",IF(M596,"⚠ Duplicate (not counted)",IF(AND(I596="",D596="",E596=""),"— ignored",IF(C596="","⚠ Time",IF(D596="","⚠ Plant",IF(E596="","⚠ Quantity",IF(AND(ISNUMBER(L596),COUNTIF(L$1:L595,L596)&gt;0),"⚠ Same serial "&amp;L596,IF(AND(ISNUMBER(L596),L596&gt;MIN($L$2:$L$1001),COUNTIF($L$2:$L$1001,L596-1)=0,COUNTIF($L$2:$L$1001,L596-2)&lt;2),"⚠ Missing serial "&amp;(L596-1),IF(AND(MAX(K$1:K595)&gt;0,N(K596)-MAX(K$1:K595)&gt;180),"⚠ Gap &gt; 3h",IF(C596-I596&gt;=0.99,"next day",IF(C596-I596&gt;0.4,"12h → 24h","")))))))))))</f>
        <v/>
      </c>
      <c r="H596" s="4" t="str">
        <f t="shared" si="45"/>
        <v/>
      </c>
      <c r="I596" s="5" t="str">
        <f t="shared" si="46"/>
        <v/>
      </c>
      <c r="J596" s="6">
        <f t="shared" si="47"/>
        <v>0</v>
      </c>
      <c r="K596" s="4" t="str">
        <f t="shared" si="48"/>
        <v/>
      </c>
      <c r="L596" s="4" t="str">
        <f t="shared" si="49"/>
        <v/>
      </c>
      <c r="M596" s="4" t="b" cm="1">
        <f t="array" ref="M596">IF(H596="",FALSE,SUMPRODUCT(--(H$1:H595=H596))&gt;0)</f>
        <v>0</v>
      </c>
    </row>
    <row r="597" spans="1:13" x14ac:dyDescent="0.25">
      <c r="A597" s="9" t="str">
        <f>IF(OR(B597="",M597,G597="— ignored"),"",MAX(A$1:A596)+1)</f>
        <v/>
      </c>
      <c r="B597" s="10"/>
      <c r="C597" s="11" t="str">
        <f>IF(I597="","",ROUND((I597+0.5*MAX(0,CEILING(ROUND((MAX(C$1:C596)-1/48-I597)/0.5,6),1)))*1440,0)/1440)</f>
        <v/>
      </c>
      <c r="D597" s="9" t="str" cm="1">
        <f t="array" ref="D597">IF(H597="","",IFERROR(INDEX(Log!$C$19:$G$19,VALUE(MID(H597,FIND("#",H597)+1,1))),""))</f>
        <v/>
      </c>
      <c r="E597" s="9" t="str" cm="1">
        <f t="array" ref="E597">IF(OR(H597="",M597),"",IFERROR(_xlfn.LET(_xlpm.t,SUBSTITUTE(UPPER(H597),"م","M"),_xlpm.u,SUBSTITUTE(_xlpm.t,"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97" s="12"/>
      <c r="G597" s="13" t="str">
        <f>IF(B597="","",IF(M597,"⚠ Duplicate (not counted)",IF(AND(I597="",D597="",E597=""),"— ignored",IF(C597="","⚠ Time",IF(D597="","⚠ Plant",IF(E597="","⚠ Quantity",IF(AND(ISNUMBER(L597),COUNTIF(L$1:L596,L597)&gt;0),"⚠ Same serial "&amp;L597,IF(AND(ISNUMBER(L597),L597&gt;MIN($L$2:$L$1001),COUNTIF($L$2:$L$1001,L597-1)=0,COUNTIF($L$2:$L$1001,L597-2)&lt;2),"⚠ Missing serial "&amp;(L597-1),IF(AND(MAX(K$1:K596)&gt;0,N(K597)-MAX(K$1:K596)&gt;180),"⚠ Gap &gt; 3h",IF(C597-I597&gt;=0.99,"next day",IF(C597-I597&gt;0.4,"12h → 24h","")))))))))))</f>
        <v/>
      </c>
      <c r="H597" s="4" t="str">
        <f t="shared" si="45"/>
        <v/>
      </c>
      <c r="I597" s="5" t="str">
        <f t="shared" si="46"/>
        <v/>
      </c>
      <c r="J597" s="6">
        <f t="shared" si="47"/>
        <v>0</v>
      </c>
      <c r="K597" s="4" t="str">
        <f t="shared" si="48"/>
        <v/>
      </c>
      <c r="L597" s="4" t="str">
        <f t="shared" si="49"/>
        <v/>
      </c>
      <c r="M597" s="4" t="b" cm="1">
        <f t="array" ref="M597">IF(H597="",FALSE,SUMPRODUCT(--(H$1:H596=H597))&gt;0)</f>
        <v>0</v>
      </c>
    </row>
    <row r="598" spans="1:13" x14ac:dyDescent="0.25">
      <c r="A598" s="9" t="str">
        <f>IF(OR(B598="",M598,G598="— ignored"),"",MAX(A$1:A597)+1)</f>
        <v/>
      </c>
      <c r="B598" s="10"/>
      <c r="C598" s="11" t="str">
        <f>IF(I598="","",ROUND((I598+0.5*MAX(0,CEILING(ROUND((MAX(C$1:C597)-1/48-I598)/0.5,6),1)))*1440,0)/1440)</f>
        <v/>
      </c>
      <c r="D598" s="9" t="str" cm="1">
        <f t="array" ref="D598">IF(H598="","",IFERROR(INDEX(Log!$C$19:$G$19,VALUE(MID(H598,FIND("#",H598)+1,1))),""))</f>
        <v/>
      </c>
      <c r="E598" s="9" t="str" cm="1">
        <f t="array" ref="E598">IF(OR(H598="",M598),"",IFERROR(_xlfn.LET(_xlpm.t,SUBSTITUTE(UPPER(H598),"م","M"),_xlpm.u,SUBSTITUTE(_xlpm.t,"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98" s="12"/>
      <c r="G598" s="13" t="str">
        <f>IF(B598="","",IF(M598,"⚠ Duplicate (not counted)",IF(AND(I598="",D598="",E598=""),"— ignored",IF(C598="","⚠ Time",IF(D598="","⚠ Plant",IF(E598="","⚠ Quantity",IF(AND(ISNUMBER(L598),COUNTIF(L$1:L597,L598)&gt;0),"⚠ Same serial "&amp;L598,IF(AND(ISNUMBER(L598),L598&gt;MIN($L$2:$L$1001),COUNTIF($L$2:$L$1001,L598-1)=0,COUNTIF($L$2:$L$1001,L598-2)&lt;2),"⚠ Missing serial "&amp;(L598-1),IF(AND(MAX(K$1:K597)&gt;0,N(K598)-MAX(K$1:K597)&gt;180),"⚠ Gap &gt; 3h",IF(C598-I598&gt;=0.99,"next day",IF(C598-I598&gt;0.4,"12h → 24h","")))))))))))</f>
        <v/>
      </c>
      <c r="H598" s="4" t="str">
        <f t="shared" si="45"/>
        <v/>
      </c>
      <c r="I598" s="5" t="str">
        <f t="shared" si="46"/>
        <v/>
      </c>
      <c r="J598" s="6">
        <f t="shared" si="47"/>
        <v>0</v>
      </c>
      <c r="K598" s="4" t="str">
        <f t="shared" si="48"/>
        <v/>
      </c>
      <c r="L598" s="4" t="str">
        <f t="shared" si="49"/>
        <v/>
      </c>
      <c r="M598" s="4" t="b" cm="1">
        <f t="array" ref="M598">IF(H598="",FALSE,SUMPRODUCT(--(H$1:H597=H598))&gt;0)</f>
        <v>0</v>
      </c>
    </row>
    <row r="599" spans="1:13" x14ac:dyDescent="0.25">
      <c r="A599" s="9" t="str">
        <f>IF(OR(B599="",M599,G599="— ignored"),"",MAX(A$1:A598)+1)</f>
        <v/>
      </c>
      <c r="B599" s="10"/>
      <c r="C599" s="11" t="str">
        <f>IF(I599="","",ROUND((I599+0.5*MAX(0,CEILING(ROUND((MAX(C$1:C598)-1/48-I599)/0.5,6),1)))*1440,0)/1440)</f>
        <v/>
      </c>
      <c r="D599" s="9" t="str" cm="1">
        <f t="array" ref="D599">IF(H599="","",IFERROR(INDEX(Log!$C$19:$G$19,VALUE(MID(H599,FIND("#",H599)+1,1))),""))</f>
        <v/>
      </c>
      <c r="E599" s="9" t="str" cm="1">
        <f t="array" ref="E599">IF(OR(H599="",M599),"",IFERROR(_xlfn.LET(_xlpm.t,SUBSTITUTE(UPPER(H599),"م","M"),_xlpm.u,SUBSTITUTE(_xlpm.t,"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599" s="12"/>
      <c r="G599" s="13" t="str">
        <f>IF(B599="","",IF(M599,"⚠ Duplicate (not counted)",IF(AND(I599="",D599="",E599=""),"— ignored",IF(C599="","⚠ Time",IF(D599="","⚠ Plant",IF(E599="","⚠ Quantity",IF(AND(ISNUMBER(L599),COUNTIF(L$1:L598,L599)&gt;0),"⚠ Same serial "&amp;L599,IF(AND(ISNUMBER(L599),L599&gt;MIN($L$2:$L$1001),COUNTIF($L$2:$L$1001,L599-1)=0,COUNTIF($L$2:$L$1001,L599-2)&lt;2),"⚠ Missing serial "&amp;(L599-1),IF(AND(MAX(K$1:K598)&gt;0,N(K599)-MAX(K$1:K598)&gt;180),"⚠ Gap &gt; 3h",IF(C599-I599&gt;=0.99,"next day",IF(C599-I599&gt;0.4,"12h → 24h","")))))))))))</f>
        <v/>
      </c>
      <c r="H599" s="4" t="str">
        <f t="shared" si="45"/>
        <v/>
      </c>
      <c r="I599" s="5" t="str">
        <f t="shared" si="46"/>
        <v/>
      </c>
      <c r="J599" s="6">
        <f t="shared" si="47"/>
        <v>0</v>
      </c>
      <c r="K599" s="4" t="str">
        <f t="shared" si="48"/>
        <v/>
      </c>
      <c r="L599" s="4" t="str">
        <f t="shared" si="49"/>
        <v/>
      </c>
      <c r="M599" s="4" t="b" cm="1">
        <f t="array" ref="M599">IF(H599="",FALSE,SUMPRODUCT(--(H$1:H598=H599))&gt;0)</f>
        <v>0</v>
      </c>
    </row>
    <row r="600" spans="1:13" x14ac:dyDescent="0.25">
      <c r="A600" s="9" t="str">
        <f>IF(OR(B600="",M600,G600="— ignored"),"",MAX(A$1:A599)+1)</f>
        <v/>
      </c>
      <c r="B600" s="10"/>
      <c r="C600" s="11" t="str">
        <f>IF(I600="","",ROUND((I600+0.5*MAX(0,CEILING(ROUND((MAX(C$1:C599)-1/48-I600)/0.5,6),1)))*1440,0)/1440)</f>
        <v/>
      </c>
      <c r="D600" s="9" t="str" cm="1">
        <f t="array" ref="D600">IF(H600="","",IFERROR(INDEX(Log!$C$19:$G$19,VALUE(MID(H600,FIND("#",H600)+1,1))),""))</f>
        <v/>
      </c>
      <c r="E600" s="9" t="str" cm="1">
        <f t="array" ref="E600">IF(OR(H600="",M600),"",IFERROR(_xlfn.LET(_xlpm.t,SUBSTITUTE(UPPER(H600),"م","M"),_xlpm.u,SUBSTITUTE(_xlpm.t,"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00" s="12"/>
      <c r="G600" s="13" t="str">
        <f>IF(B600="","",IF(M600,"⚠ Duplicate (not counted)",IF(AND(I600="",D600="",E600=""),"— ignored",IF(C600="","⚠ Time",IF(D600="","⚠ Plant",IF(E600="","⚠ Quantity",IF(AND(ISNUMBER(L600),COUNTIF(L$1:L599,L600)&gt;0),"⚠ Same serial "&amp;L600,IF(AND(ISNUMBER(L600),L600&gt;MIN($L$2:$L$1001),COUNTIF($L$2:$L$1001,L600-1)=0,COUNTIF($L$2:$L$1001,L600-2)&lt;2),"⚠ Missing serial "&amp;(L600-1),IF(AND(MAX(K$1:K599)&gt;0,N(K600)-MAX(K$1:K599)&gt;180),"⚠ Gap &gt; 3h",IF(C600-I600&gt;=0.99,"next day",IF(C600-I600&gt;0.4,"12h → 24h","")))))))))))</f>
        <v/>
      </c>
      <c r="H600" s="4" t="str">
        <f t="shared" si="45"/>
        <v/>
      </c>
      <c r="I600" s="5" t="str">
        <f t="shared" si="46"/>
        <v/>
      </c>
      <c r="J600" s="6">
        <f t="shared" si="47"/>
        <v>0</v>
      </c>
      <c r="K600" s="4" t="str">
        <f t="shared" si="48"/>
        <v/>
      </c>
      <c r="L600" s="4" t="str">
        <f t="shared" si="49"/>
        <v/>
      </c>
      <c r="M600" s="4" t="b" cm="1">
        <f t="array" ref="M600">IF(H600="",FALSE,SUMPRODUCT(--(H$1:H599=H600))&gt;0)</f>
        <v>0</v>
      </c>
    </row>
    <row r="601" spans="1:13" x14ac:dyDescent="0.25">
      <c r="A601" s="9" t="str">
        <f>IF(OR(B601="",M601,G601="— ignored"),"",MAX(A$1:A600)+1)</f>
        <v/>
      </c>
      <c r="B601" s="10"/>
      <c r="C601" s="11" t="str">
        <f>IF(I601="","",ROUND((I601+0.5*MAX(0,CEILING(ROUND((MAX(C$1:C600)-1/48-I601)/0.5,6),1)))*1440,0)/1440)</f>
        <v/>
      </c>
      <c r="D601" s="9" t="str" cm="1">
        <f t="array" ref="D601">IF(H601="","",IFERROR(INDEX(Log!$C$19:$G$19,VALUE(MID(H601,FIND("#",H601)+1,1))),""))</f>
        <v/>
      </c>
      <c r="E601" s="9" t="str" cm="1">
        <f t="array" ref="E601">IF(OR(H601="",M601),"",IFERROR(_xlfn.LET(_xlpm.t,SUBSTITUTE(UPPER(H601),"م","M"),_xlpm.u,SUBSTITUTE(_xlpm.t,"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01" s="12"/>
      <c r="G601" s="13" t="str">
        <f>IF(B601="","",IF(M601,"⚠ Duplicate (not counted)",IF(AND(I601="",D601="",E601=""),"— ignored",IF(C601="","⚠ Time",IF(D601="","⚠ Plant",IF(E601="","⚠ Quantity",IF(AND(ISNUMBER(L601),COUNTIF(L$1:L600,L601)&gt;0),"⚠ Same serial "&amp;L601,IF(AND(ISNUMBER(L601),L601&gt;MIN($L$2:$L$1001),COUNTIF($L$2:$L$1001,L601-1)=0,COUNTIF($L$2:$L$1001,L601-2)&lt;2),"⚠ Missing serial "&amp;(L601-1),IF(AND(MAX(K$1:K600)&gt;0,N(K601)-MAX(K$1:K600)&gt;180),"⚠ Gap &gt; 3h",IF(C601-I601&gt;=0.99,"next day",IF(C601-I601&gt;0.4,"12h → 24h","")))))))))))</f>
        <v/>
      </c>
      <c r="H601" s="4" t="str">
        <f t="shared" si="45"/>
        <v/>
      </c>
      <c r="I601" s="5" t="str">
        <f t="shared" si="46"/>
        <v/>
      </c>
      <c r="J601" s="6">
        <f t="shared" si="47"/>
        <v>0</v>
      </c>
      <c r="K601" s="4" t="str">
        <f t="shared" si="48"/>
        <v/>
      </c>
      <c r="L601" s="4" t="str">
        <f t="shared" si="49"/>
        <v/>
      </c>
      <c r="M601" s="4" t="b" cm="1">
        <f t="array" ref="M601">IF(H601="",FALSE,SUMPRODUCT(--(H$1:H600=H601))&gt;0)</f>
        <v>0</v>
      </c>
    </row>
    <row r="602" spans="1:13" x14ac:dyDescent="0.25">
      <c r="A602" s="9" t="str">
        <f>IF(OR(B602="",M602,G602="— ignored"),"",MAX(A$1:A601)+1)</f>
        <v/>
      </c>
      <c r="B602" s="10"/>
      <c r="C602" s="11" t="str">
        <f>IF(I602="","",ROUND((I602+0.5*MAX(0,CEILING(ROUND((MAX(C$1:C601)-1/48-I602)/0.5,6),1)))*1440,0)/1440)</f>
        <v/>
      </c>
      <c r="D602" s="9" t="str" cm="1">
        <f t="array" ref="D602">IF(H602="","",IFERROR(INDEX(Log!$C$19:$G$19,VALUE(MID(H602,FIND("#",H602)+1,1))),""))</f>
        <v/>
      </c>
      <c r="E602" s="9" t="str" cm="1">
        <f t="array" ref="E602">IF(OR(H602="",M602),"",IFERROR(_xlfn.LET(_xlpm.t,SUBSTITUTE(UPPER(H602),"م","M"),_xlpm.u,SUBSTITUTE(_xlpm.t,"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02" s="12"/>
      <c r="G602" s="13" t="str">
        <f>IF(B602="","",IF(M602,"⚠ Duplicate (not counted)",IF(AND(I602="",D602="",E602=""),"— ignored",IF(C602="","⚠ Time",IF(D602="","⚠ Plant",IF(E602="","⚠ Quantity",IF(AND(ISNUMBER(L602),COUNTIF(L$1:L601,L602)&gt;0),"⚠ Same serial "&amp;L602,IF(AND(ISNUMBER(L602),L602&gt;MIN($L$2:$L$1001),COUNTIF($L$2:$L$1001,L602-1)=0,COUNTIF($L$2:$L$1001,L602-2)&lt;2),"⚠ Missing serial "&amp;(L602-1),IF(AND(MAX(K$1:K601)&gt;0,N(K602)-MAX(K$1:K601)&gt;180),"⚠ Gap &gt; 3h",IF(C602-I602&gt;=0.99,"next day",IF(C602-I602&gt;0.4,"12h → 24h","")))))))))))</f>
        <v/>
      </c>
      <c r="H602" s="4" t="str">
        <f t="shared" si="45"/>
        <v/>
      </c>
      <c r="I602" s="5" t="str">
        <f t="shared" si="46"/>
        <v/>
      </c>
      <c r="J602" s="6">
        <f t="shared" si="47"/>
        <v>0</v>
      </c>
      <c r="K602" s="4" t="str">
        <f t="shared" si="48"/>
        <v/>
      </c>
      <c r="L602" s="4" t="str">
        <f t="shared" si="49"/>
        <v/>
      </c>
      <c r="M602" s="4" t="b" cm="1">
        <f t="array" ref="M602">IF(H602="",FALSE,SUMPRODUCT(--(H$1:H601=H602))&gt;0)</f>
        <v>0</v>
      </c>
    </row>
    <row r="603" spans="1:13" x14ac:dyDescent="0.25">
      <c r="A603" s="9" t="str">
        <f>IF(OR(B603="",M603,G603="— ignored"),"",MAX(A$1:A602)+1)</f>
        <v/>
      </c>
      <c r="B603" s="10"/>
      <c r="C603" s="11" t="str">
        <f>IF(I603="","",ROUND((I603+0.5*MAX(0,CEILING(ROUND((MAX(C$1:C602)-1/48-I603)/0.5,6),1)))*1440,0)/1440)</f>
        <v/>
      </c>
      <c r="D603" s="9" t="str" cm="1">
        <f t="array" ref="D603">IF(H603="","",IFERROR(INDEX(Log!$C$19:$G$19,VALUE(MID(H603,FIND("#",H603)+1,1))),""))</f>
        <v/>
      </c>
      <c r="E603" s="9" t="str" cm="1">
        <f t="array" ref="E603">IF(OR(H603="",M603),"",IFERROR(_xlfn.LET(_xlpm.t,SUBSTITUTE(UPPER(H603),"م","M"),_xlpm.u,SUBSTITUTE(_xlpm.t,"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03" s="12"/>
      <c r="G603" s="13" t="str">
        <f>IF(B603="","",IF(M603,"⚠ Duplicate (not counted)",IF(AND(I603="",D603="",E603=""),"— ignored",IF(C603="","⚠ Time",IF(D603="","⚠ Plant",IF(E603="","⚠ Quantity",IF(AND(ISNUMBER(L603),COUNTIF(L$1:L602,L603)&gt;0),"⚠ Same serial "&amp;L603,IF(AND(ISNUMBER(L603),L603&gt;MIN($L$2:$L$1001),COUNTIF($L$2:$L$1001,L603-1)=0,COUNTIF($L$2:$L$1001,L603-2)&lt;2),"⚠ Missing serial "&amp;(L603-1),IF(AND(MAX(K$1:K602)&gt;0,N(K603)-MAX(K$1:K602)&gt;180),"⚠ Gap &gt; 3h",IF(C603-I603&gt;=0.99,"next day",IF(C603-I603&gt;0.4,"12h → 24h","")))))))))))</f>
        <v/>
      </c>
      <c r="H603" s="4" t="str">
        <f t="shared" si="45"/>
        <v/>
      </c>
      <c r="I603" s="5" t="str">
        <f t="shared" si="46"/>
        <v/>
      </c>
      <c r="J603" s="6">
        <f t="shared" si="47"/>
        <v>0</v>
      </c>
      <c r="K603" s="4" t="str">
        <f t="shared" si="48"/>
        <v/>
      </c>
      <c r="L603" s="4" t="str">
        <f t="shared" si="49"/>
        <v/>
      </c>
      <c r="M603" s="4" t="b" cm="1">
        <f t="array" ref="M603">IF(H603="",FALSE,SUMPRODUCT(--(H$1:H602=H603))&gt;0)</f>
        <v>0</v>
      </c>
    </row>
    <row r="604" spans="1:13" x14ac:dyDescent="0.25">
      <c r="A604" s="9" t="str">
        <f>IF(OR(B604="",M604,G604="— ignored"),"",MAX(A$1:A603)+1)</f>
        <v/>
      </c>
      <c r="B604" s="10"/>
      <c r="C604" s="11" t="str">
        <f>IF(I604="","",ROUND((I604+0.5*MAX(0,CEILING(ROUND((MAX(C$1:C603)-1/48-I604)/0.5,6),1)))*1440,0)/1440)</f>
        <v/>
      </c>
      <c r="D604" s="9" t="str" cm="1">
        <f t="array" ref="D604">IF(H604="","",IFERROR(INDEX(Log!$C$19:$G$19,VALUE(MID(H604,FIND("#",H604)+1,1))),""))</f>
        <v/>
      </c>
      <c r="E604" s="9" t="str" cm="1">
        <f t="array" ref="E604">IF(OR(H604="",M604),"",IFERROR(_xlfn.LET(_xlpm.t,SUBSTITUTE(UPPER(H604),"م","M"),_xlpm.u,SUBSTITUTE(_xlpm.t,"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04" s="12"/>
      <c r="G604" s="13" t="str">
        <f>IF(B604="","",IF(M604,"⚠ Duplicate (not counted)",IF(AND(I604="",D604="",E604=""),"— ignored",IF(C604="","⚠ Time",IF(D604="","⚠ Plant",IF(E604="","⚠ Quantity",IF(AND(ISNUMBER(L604),COUNTIF(L$1:L603,L604)&gt;0),"⚠ Same serial "&amp;L604,IF(AND(ISNUMBER(L604),L604&gt;MIN($L$2:$L$1001),COUNTIF($L$2:$L$1001,L604-1)=0,COUNTIF($L$2:$L$1001,L604-2)&lt;2),"⚠ Missing serial "&amp;(L604-1),IF(AND(MAX(K$1:K603)&gt;0,N(K604)-MAX(K$1:K603)&gt;180),"⚠ Gap &gt; 3h",IF(C604-I604&gt;=0.99,"next day",IF(C604-I604&gt;0.4,"12h → 24h","")))))))))))</f>
        <v/>
      </c>
      <c r="H604" s="4" t="str">
        <f t="shared" si="45"/>
        <v/>
      </c>
      <c r="I604" s="5" t="str">
        <f t="shared" si="46"/>
        <v/>
      </c>
      <c r="J604" s="6">
        <f t="shared" si="47"/>
        <v>0</v>
      </c>
      <c r="K604" s="4" t="str">
        <f t="shared" si="48"/>
        <v/>
      </c>
      <c r="L604" s="4" t="str">
        <f t="shared" si="49"/>
        <v/>
      </c>
      <c r="M604" s="4" t="b" cm="1">
        <f t="array" ref="M604">IF(H604="",FALSE,SUMPRODUCT(--(H$1:H603=H604))&gt;0)</f>
        <v>0</v>
      </c>
    </row>
    <row r="605" spans="1:13" x14ac:dyDescent="0.25">
      <c r="A605" s="9" t="str">
        <f>IF(OR(B605="",M605,G605="— ignored"),"",MAX(A$1:A604)+1)</f>
        <v/>
      </c>
      <c r="B605" s="10"/>
      <c r="C605" s="11" t="str">
        <f>IF(I605="","",ROUND((I605+0.5*MAX(0,CEILING(ROUND((MAX(C$1:C604)-1/48-I605)/0.5,6),1)))*1440,0)/1440)</f>
        <v/>
      </c>
      <c r="D605" s="9" t="str" cm="1">
        <f t="array" ref="D605">IF(H605="","",IFERROR(INDEX(Log!$C$19:$G$19,VALUE(MID(H605,FIND("#",H605)+1,1))),""))</f>
        <v/>
      </c>
      <c r="E605" s="9" t="str" cm="1">
        <f t="array" ref="E605">IF(OR(H605="",M605),"",IFERROR(_xlfn.LET(_xlpm.t,SUBSTITUTE(UPPER(H605),"م","M"),_xlpm.u,SUBSTITUTE(_xlpm.t,"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05" s="12"/>
      <c r="G605" s="13" t="str">
        <f>IF(B605="","",IF(M605,"⚠ Duplicate (not counted)",IF(AND(I605="",D605="",E605=""),"— ignored",IF(C605="","⚠ Time",IF(D605="","⚠ Plant",IF(E605="","⚠ Quantity",IF(AND(ISNUMBER(L605),COUNTIF(L$1:L604,L605)&gt;0),"⚠ Same serial "&amp;L605,IF(AND(ISNUMBER(L605),L605&gt;MIN($L$2:$L$1001),COUNTIF($L$2:$L$1001,L605-1)=0,COUNTIF($L$2:$L$1001,L605-2)&lt;2),"⚠ Missing serial "&amp;(L605-1),IF(AND(MAX(K$1:K604)&gt;0,N(K605)-MAX(K$1:K604)&gt;180),"⚠ Gap &gt; 3h",IF(C605-I605&gt;=0.99,"next day",IF(C605-I605&gt;0.4,"12h → 24h","")))))))))))</f>
        <v/>
      </c>
      <c r="H605" s="4" t="str">
        <f t="shared" si="45"/>
        <v/>
      </c>
      <c r="I605" s="5" t="str">
        <f t="shared" si="46"/>
        <v/>
      </c>
      <c r="J605" s="6">
        <f t="shared" si="47"/>
        <v>0</v>
      </c>
      <c r="K605" s="4" t="str">
        <f t="shared" si="48"/>
        <v/>
      </c>
      <c r="L605" s="4" t="str">
        <f t="shared" si="49"/>
        <v/>
      </c>
      <c r="M605" s="4" t="b" cm="1">
        <f t="array" ref="M605">IF(H605="",FALSE,SUMPRODUCT(--(H$1:H604=H605))&gt;0)</f>
        <v>0</v>
      </c>
    </row>
    <row r="606" spans="1:13" x14ac:dyDescent="0.25">
      <c r="A606" s="9" t="str">
        <f>IF(OR(B606="",M606,G606="— ignored"),"",MAX(A$1:A605)+1)</f>
        <v/>
      </c>
      <c r="B606" s="10"/>
      <c r="C606" s="11" t="str">
        <f>IF(I606="","",ROUND((I606+0.5*MAX(0,CEILING(ROUND((MAX(C$1:C605)-1/48-I606)/0.5,6),1)))*1440,0)/1440)</f>
        <v/>
      </c>
      <c r="D606" s="9" t="str" cm="1">
        <f t="array" ref="D606">IF(H606="","",IFERROR(INDEX(Log!$C$19:$G$19,VALUE(MID(H606,FIND("#",H606)+1,1))),""))</f>
        <v/>
      </c>
      <c r="E606" s="9" t="str" cm="1">
        <f t="array" ref="E606">IF(OR(H606="",M606),"",IFERROR(_xlfn.LET(_xlpm.t,SUBSTITUTE(UPPER(H606),"م","M"),_xlpm.u,SUBSTITUTE(_xlpm.t,"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06" s="12"/>
      <c r="G606" s="13" t="str">
        <f>IF(B606="","",IF(M606,"⚠ Duplicate (not counted)",IF(AND(I606="",D606="",E606=""),"— ignored",IF(C606="","⚠ Time",IF(D606="","⚠ Plant",IF(E606="","⚠ Quantity",IF(AND(ISNUMBER(L606),COUNTIF(L$1:L605,L606)&gt;0),"⚠ Same serial "&amp;L606,IF(AND(ISNUMBER(L606),L606&gt;MIN($L$2:$L$1001),COUNTIF($L$2:$L$1001,L606-1)=0,COUNTIF($L$2:$L$1001,L606-2)&lt;2),"⚠ Missing serial "&amp;(L606-1),IF(AND(MAX(K$1:K605)&gt;0,N(K606)-MAX(K$1:K605)&gt;180),"⚠ Gap &gt; 3h",IF(C606-I606&gt;=0.99,"next day",IF(C606-I606&gt;0.4,"12h → 24h","")))))))))))</f>
        <v/>
      </c>
      <c r="H606" s="4" t="str">
        <f t="shared" si="45"/>
        <v/>
      </c>
      <c r="I606" s="5" t="str">
        <f t="shared" si="46"/>
        <v/>
      </c>
      <c r="J606" s="6">
        <f t="shared" si="47"/>
        <v>0</v>
      </c>
      <c r="K606" s="4" t="str">
        <f t="shared" si="48"/>
        <v/>
      </c>
      <c r="L606" s="4" t="str">
        <f t="shared" si="49"/>
        <v/>
      </c>
      <c r="M606" s="4" t="b" cm="1">
        <f t="array" ref="M606">IF(H606="",FALSE,SUMPRODUCT(--(H$1:H605=H606))&gt;0)</f>
        <v>0</v>
      </c>
    </row>
    <row r="607" spans="1:13" x14ac:dyDescent="0.25">
      <c r="A607" s="9" t="str">
        <f>IF(OR(B607="",M607,G607="— ignored"),"",MAX(A$1:A606)+1)</f>
        <v/>
      </c>
      <c r="B607" s="10"/>
      <c r="C607" s="11" t="str">
        <f>IF(I607="","",ROUND((I607+0.5*MAX(0,CEILING(ROUND((MAX(C$1:C606)-1/48-I607)/0.5,6),1)))*1440,0)/1440)</f>
        <v/>
      </c>
      <c r="D607" s="9" t="str" cm="1">
        <f t="array" ref="D607">IF(H607="","",IFERROR(INDEX(Log!$C$19:$G$19,VALUE(MID(H607,FIND("#",H607)+1,1))),""))</f>
        <v/>
      </c>
      <c r="E607" s="9" t="str" cm="1">
        <f t="array" ref="E607">IF(OR(H607="",M607),"",IFERROR(_xlfn.LET(_xlpm.t,SUBSTITUTE(UPPER(H607),"م","M"),_xlpm.u,SUBSTITUTE(_xlpm.t,"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07" s="12"/>
      <c r="G607" s="13" t="str">
        <f>IF(B607="","",IF(M607,"⚠ Duplicate (not counted)",IF(AND(I607="",D607="",E607=""),"— ignored",IF(C607="","⚠ Time",IF(D607="","⚠ Plant",IF(E607="","⚠ Quantity",IF(AND(ISNUMBER(L607),COUNTIF(L$1:L606,L607)&gt;0),"⚠ Same serial "&amp;L607,IF(AND(ISNUMBER(L607),L607&gt;MIN($L$2:$L$1001),COUNTIF($L$2:$L$1001,L607-1)=0,COUNTIF($L$2:$L$1001,L607-2)&lt;2),"⚠ Missing serial "&amp;(L607-1),IF(AND(MAX(K$1:K606)&gt;0,N(K607)-MAX(K$1:K606)&gt;180),"⚠ Gap &gt; 3h",IF(C607-I607&gt;=0.99,"next day",IF(C607-I607&gt;0.4,"12h → 24h","")))))))))))</f>
        <v/>
      </c>
      <c r="H607" s="4" t="str">
        <f t="shared" si="45"/>
        <v/>
      </c>
      <c r="I607" s="5" t="str">
        <f t="shared" si="46"/>
        <v/>
      </c>
      <c r="J607" s="6">
        <f t="shared" si="47"/>
        <v>0</v>
      </c>
      <c r="K607" s="4" t="str">
        <f t="shared" si="48"/>
        <v/>
      </c>
      <c r="L607" s="4" t="str">
        <f t="shared" si="49"/>
        <v/>
      </c>
      <c r="M607" s="4" t="b" cm="1">
        <f t="array" ref="M607">IF(H607="",FALSE,SUMPRODUCT(--(H$1:H606=H607))&gt;0)</f>
        <v>0</v>
      </c>
    </row>
    <row r="608" spans="1:13" x14ac:dyDescent="0.25">
      <c r="A608" s="9" t="str">
        <f>IF(OR(B608="",M608,G608="— ignored"),"",MAX(A$1:A607)+1)</f>
        <v/>
      </c>
      <c r="B608" s="10"/>
      <c r="C608" s="11" t="str">
        <f>IF(I608="","",ROUND((I608+0.5*MAX(0,CEILING(ROUND((MAX(C$1:C607)-1/48-I608)/0.5,6),1)))*1440,0)/1440)</f>
        <v/>
      </c>
      <c r="D608" s="9" t="str" cm="1">
        <f t="array" ref="D608">IF(H608="","",IFERROR(INDEX(Log!$C$19:$G$19,VALUE(MID(H608,FIND("#",H608)+1,1))),""))</f>
        <v/>
      </c>
      <c r="E608" s="9" t="str" cm="1">
        <f t="array" ref="E608">IF(OR(H608="",M608),"",IFERROR(_xlfn.LET(_xlpm.t,SUBSTITUTE(UPPER(H608),"م","M"),_xlpm.u,SUBSTITUTE(_xlpm.t,"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08" s="12"/>
      <c r="G608" s="13" t="str">
        <f>IF(B608="","",IF(M608,"⚠ Duplicate (not counted)",IF(AND(I608="",D608="",E608=""),"— ignored",IF(C608="","⚠ Time",IF(D608="","⚠ Plant",IF(E608="","⚠ Quantity",IF(AND(ISNUMBER(L608),COUNTIF(L$1:L607,L608)&gt;0),"⚠ Same serial "&amp;L608,IF(AND(ISNUMBER(L608),L608&gt;MIN($L$2:$L$1001),COUNTIF($L$2:$L$1001,L608-1)=0,COUNTIF($L$2:$L$1001,L608-2)&lt;2),"⚠ Missing serial "&amp;(L608-1),IF(AND(MAX(K$1:K607)&gt;0,N(K608)-MAX(K$1:K607)&gt;180),"⚠ Gap &gt; 3h",IF(C608-I608&gt;=0.99,"next day",IF(C608-I608&gt;0.4,"12h → 24h","")))))))))))</f>
        <v/>
      </c>
      <c r="H608" s="4" t="str">
        <f t="shared" si="45"/>
        <v/>
      </c>
      <c r="I608" s="5" t="str">
        <f t="shared" si="46"/>
        <v/>
      </c>
      <c r="J608" s="6">
        <f t="shared" si="47"/>
        <v>0</v>
      </c>
      <c r="K608" s="4" t="str">
        <f t="shared" si="48"/>
        <v/>
      </c>
      <c r="L608" s="4" t="str">
        <f t="shared" si="49"/>
        <v/>
      </c>
      <c r="M608" s="4" t="b" cm="1">
        <f t="array" ref="M608">IF(H608="",FALSE,SUMPRODUCT(--(H$1:H607=H608))&gt;0)</f>
        <v>0</v>
      </c>
    </row>
    <row r="609" spans="1:13" x14ac:dyDescent="0.25">
      <c r="A609" s="9" t="str">
        <f>IF(OR(B609="",M609,G609="— ignored"),"",MAX(A$1:A608)+1)</f>
        <v/>
      </c>
      <c r="B609" s="10"/>
      <c r="C609" s="11" t="str">
        <f>IF(I609="","",ROUND((I609+0.5*MAX(0,CEILING(ROUND((MAX(C$1:C608)-1/48-I609)/0.5,6),1)))*1440,0)/1440)</f>
        <v/>
      </c>
      <c r="D609" s="9" t="str" cm="1">
        <f t="array" ref="D609">IF(H609="","",IFERROR(INDEX(Log!$C$19:$G$19,VALUE(MID(H609,FIND("#",H609)+1,1))),""))</f>
        <v/>
      </c>
      <c r="E609" s="9" t="str" cm="1">
        <f t="array" ref="E609">IF(OR(H609="",M609),"",IFERROR(_xlfn.LET(_xlpm.t,SUBSTITUTE(UPPER(H609),"م","M"),_xlpm.u,SUBSTITUTE(_xlpm.t,"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09" s="12"/>
      <c r="G609" s="13" t="str">
        <f>IF(B609="","",IF(M609,"⚠ Duplicate (not counted)",IF(AND(I609="",D609="",E609=""),"— ignored",IF(C609="","⚠ Time",IF(D609="","⚠ Plant",IF(E609="","⚠ Quantity",IF(AND(ISNUMBER(L609),COUNTIF(L$1:L608,L609)&gt;0),"⚠ Same serial "&amp;L609,IF(AND(ISNUMBER(L609),L609&gt;MIN($L$2:$L$1001),COUNTIF($L$2:$L$1001,L609-1)=0,COUNTIF($L$2:$L$1001,L609-2)&lt;2),"⚠ Missing serial "&amp;(L609-1),IF(AND(MAX(K$1:K608)&gt;0,N(K609)-MAX(K$1:K608)&gt;180),"⚠ Gap &gt; 3h",IF(C609-I609&gt;=0.99,"next day",IF(C609-I609&gt;0.4,"12h → 24h","")))))))))))</f>
        <v/>
      </c>
      <c r="H609" s="4" t="str">
        <f t="shared" si="45"/>
        <v/>
      </c>
      <c r="I609" s="5" t="str">
        <f t="shared" si="46"/>
        <v/>
      </c>
      <c r="J609" s="6">
        <f t="shared" si="47"/>
        <v>0</v>
      </c>
      <c r="K609" s="4" t="str">
        <f t="shared" si="48"/>
        <v/>
      </c>
      <c r="L609" s="4" t="str">
        <f t="shared" si="49"/>
        <v/>
      </c>
      <c r="M609" s="4" t="b" cm="1">
        <f t="array" ref="M609">IF(H609="",FALSE,SUMPRODUCT(--(H$1:H608=H609))&gt;0)</f>
        <v>0</v>
      </c>
    </row>
    <row r="610" spans="1:13" x14ac:dyDescent="0.25">
      <c r="A610" s="9" t="str">
        <f>IF(OR(B610="",M610,G610="— ignored"),"",MAX(A$1:A609)+1)</f>
        <v/>
      </c>
      <c r="B610" s="10"/>
      <c r="C610" s="11" t="str">
        <f>IF(I610="","",ROUND((I610+0.5*MAX(0,CEILING(ROUND((MAX(C$1:C609)-1/48-I610)/0.5,6),1)))*1440,0)/1440)</f>
        <v/>
      </c>
      <c r="D610" s="9" t="str" cm="1">
        <f t="array" ref="D610">IF(H610="","",IFERROR(INDEX(Log!$C$19:$G$19,VALUE(MID(H610,FIND("#",H610)+1,1))),""))</f>
        <v/>
      </c>
      <c r="E610" s="9" t="str" cm="1">
        <f t="array" ref="E610">IF(OR(H610="",M610),"",IFERROR(_xlfn.LET(_xlpm.t,SUBSTITUTE(UPPER(H610),"م","M"),_xlpm.u,SUBSTITUTE(_xlpm.t,"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10" s="12"/>
      <c r="G610" s="13" t="str">
        <f>IF(B610="","",IF(M610,"⚠ Duplicate (not counted)",IF(AND(I610="",D610="",E610=""),"— ignored",IF(C610="","⚠ Time",IF(D610="","⚠ Plant",IF(E610="","⚠ Quantity",IF(AND(ISNUMBER(L610),COUNTIF(L$1:L609,L610)&gt;0),"⚠ Same serial "&amp;L610,IF(AND(ISNUMBER(L610),L610&gt;MIN($L$2:$L$1001),COUNTIF($L$2:$L$1001,L610-1)=0,COUNTIF($L$2:$L$1001,L610-2)&lt;2),"⚠ Missing serial "&amp;(L610-1),IF(AND(MAX(K$1:K609)&gt;0,N(K610)-MAX(K$1:K609)&gt;180),"⚠ Gap &gt; 3h",IF(C610-I610&gt;=0.99,"next day",IF(C610-I610&gt;0.4,"12h → 24h","")))))))))))</f>
        <v/>
      </c>
      <c r="H610" s="4" t="str">
        <f t="shared" si="45"/>
        <v/>
      </c>
      <c r="I610" s="5" t="str">
        <f t="shared" si="46"/>
        <v/>
      </c>
      <c r="J610" s="6">
        <f t="shared" si="47"/>
        <v>0</v>
      </c>
      <c r="K610" s="4" t="str">
        <f t="shared" si="48"/>
        <v/>
      </c>
      <c r="L610" s="4" t="str">
        <f t="shared" si="49"/>
        <v/>
      </c>
      <c r="M610" s="4" t="b" cm="1">
        <f t="array" ref="M610">IF(H610="",FALSE,SUMPRODUCT(--(H$1:H609=H610))&gt;0)</f>
        <v>0</v>
      </c>
    </row>
    <row r="611" spans="1:13" x14ac:dyDescent="0.25">
      <c r="A611" s="9" t="str">
        <f>IF(OR(B611="",M611,G611="— ignored"),"",MAX(A$1:A610)+1)</f>
        <v/>
      </c>
      <c r="B611" s="10"/>
      <c r="C611" s="11" t="str">
        <f>IF(I611="","",ROUND((I611+0.5*MAX(0,CEILING(ROUND((MAX(C$1:C610)-1/48-I611)/0.5,6),1)))*1440,0)/1440)</f>
        <v/>
      </c>
      <c r="D611" s="9" t="str" cm="1">
        <f t="array" ref="D611">IF(H611="","",IFERROR(INDEX(Log!$C$19:$G$19,VALUE(MID(H611,FIND("#",H611)+1,1))),""))</f>
        <v/>
      </c>
      <c r="E611" s="9" t="str" cm="1">
        <f t="array" ref="E611">IF(OR(H611="",M611),"",IFERROR(_xlfn.LET(_xlpm.t,SUBSTITUTE(UPPER(H611),"م","M"),_xlpm.u,SUBSTITUTE(_xlpm.t,"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11" s="12"/>
      <c r="G611" s="13" t="str">
        <f>IF(B611="","",IF(M611,"⚠ Duplicate (not counted)",IF(AND(I611="",D611="",E611=""),"— ignored",IF(C611="","⚠ Time",IF(D611="","⚠ Plant",IF(E611="","⚠ Quantity",IF(AND(ISNUMBER(L611),COUNTIF(L$1:L610,L611)&gt;0),"⚠ Same serial "&amp;L611,IF(AND(ISNUMBER(L611),L611&gt;MIN($L$2:$L$1001),COUNTIF($L$2:$L$1001,L611-1)=0,COUNTIF($L$2:$L$1001,L611-2)&lt;2),"⚠ Missing serial "&amp;(L611-1),IF(AND(MAX(K$1:K610)&gt;0,N(K611)-MAX(K$1:K610)&gt;180),"⚠ Gap &gt; 3h",IF(C611-I611&gt;=0.99,"next day",IF(C611-I611&gt;0.4,"12h → 24h","")))))))))))</f>
        <v/>
      </c>
      <c r="H611" s="4" t="str">
        <f t="shared" si="45"/>
        <v/>
      </c>
      <c r="I611" s="5" t="str">
        <f t="shared" si="46"/>
        <v/>
      </c>
      <c r="J611" s="6">
        <f t="shared" si="47"/>
        <v>0</v>
      </c>
      <c r="K611" s="4" t="str">
        <f t="shared" si="48"/>
        <v/>
      </c>
      <c r="L611" s="4" t="str">
        <f t="shared" si="49"/>
        <v/>
      </c>
      <c r="M611" s="4" t="b" cm="1">
        <f t="array" ref="M611">IF(H611="",FALSE,SUMPRODUCT(--(H$1:H610=H611))&gt;0)</f>
        <v>0</v>
      </c>
    </row>
    <row r="612" spans="1:13" x14ac:dyDescent="0.25">
      <c r="A612" s="9" t="str">
        <f>IF(OR(B612="",M612,G612="— ignored"),"",MAX(A$1:A611)+1)</f>
        <v/>
      </c>
      <c r="B612" s="10"/>
      <c r="C612" s="11" t="str">
        <f>IF(I612="","",ROUND((I612+0.5*MAX(0,CEILING(ROUND((MAX(C$1:C611)-1/48-I612)/0.5,6),1)))*1440,0)/1440)</f>
        <v/>
      </c>
      <c r="D612" s="9" t="str" cm="1">
        <f t="array" ref="D612">IF(H612="","",IFERROR(INDEX(Log!$C$19:$G$19,VALUE(MID(H612,FIND("#",H612)+1,1))),""))</f>
        <v/>
      </c>
      <c r="E612" s="9" t="str" cm="1">
        <f t="array" ref="E612">IF(OR(H612="",M612),"",IFERROR(_xlfn.LET(_xlpm.t,SUBSTITUTE(UPPER(H612),"م","M"),_xlpm.u,SUBSTITUTE(_xlpm.t,"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12" s="12"/>
      <c r="G612" s="13" t="str">
        <f>IF(B612="","",IF(M612,"⚠ Duplicate (not counted)",IF(AND(I612="",D612="",E612=""),"— ignored",IF(C612="","⚠ Time",IF(D612="","⚠ Plant",IF(E612="","⚠ Quantity",IF(AND(ISNUMBER(L612),COUNTIF(L$1:L611,L612)&gt;0),"⚠ Same serial "&amp;L612,IF(AND(ISNUMBER(L612),L612&gt;MIN($L$2:$L$1001),COUNTIF($L$2:$L$1001,L612-1)=0,COUNTIF($L$2:$L$1001,L612-2)&lt;2),"⚠ Missing serial "&amp;(L612-1),IF(AND(MAX(K$1:K611)&gt;0,N(K612)-MAX(K$1:K611)&gt;180),"⚠ Gap &gt; 3h",IF(C612-I612&gt;=0.99,"next day",IF(C612-I612&gt;0.4,"12h → 24h","")))))))))))</f>
        <v/>
      </c>
      <c r="H612" s="4" t="str">
        <f t="shared" si="45"/>
        <v/>
      </c>
      <c r="I612" s="5" t="str">
        <f t="shared" si="46"/>
        <v/>
      </c>
      <c r="J612" s="6">
        <f t="shared" si="47"/>
        <v>0</v>
      </c>
      <c r="K612" s="4" t="str">
        <f t="shared" si="48"/>
        <v/>
      </c>
      <c r="L612" s="4" t="str">
        <f t="shared" si="49"/>
        <v/>
      </c>
      <c r="M612" s="4" t="b" cm="1">
        <f t="array" ref="M612">IF(H612="",FALSE,SUMPRODUCT(--(H$1:H611=H612))&gt;0)</f>
        <v>0</v>
      </c>
    </row>
    <row r="613" spans="1:13" x14ac:dyDescent="0.25">
      <c r="A613" s="9" t="str">
        <f>IF(OR(B613="",M613,G613="— ignored"),"",MAX(A$1:A612)+1)</f>
        <v/>
      </c>
      <c r="B613" s="10"/>
      <c r="C613" s="11" t="str">
        <f>IF(I613="","",ROUND((I613+0.5*MAX(0,CEILING(ROUND((MAX(C$1:C612)-1/48-I613)/0.5,6),1)))*1440,0)/1440)</f>
        <v/>
      </c>
      <c r="D613" s="9" t="str" cm="1">
        <f t="array" ref="D613">IF(H613="","",IFERROR(INDEX(Log!$C$19:$G$19,VALUE(MID(H613,FIND("#",H613)+1,1))),""))</f>
        <v/>
      </c>
      <c r="E613" s="9" t="str" cm="1">
        <f t="array" ref="E613">IF(OR(H613="",M613),"",IFERROR(_xlfn.LET(_xlpm.t,SUBSTITUTE(UPPER(H613),"م","M"),_xlpm.u,SUBSTITUTE(_xlpm.t,"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13" s="12"/>
      <c r="G613" s="13" t="str">
        <f>IF(B613="","",IF(M613,"⚠ Duplicate (not counted)",IF(AND(I613="",D613="",E613=""),"— ignored",IF(C613="","⚠ Time",IF(D613="","⚠ Plant",IF(E613="","⚠ Quantity",IF(AND(ISNUMBER(L613),COUNTIF(L$1:L612,L613)&gt;0),"⚠ Same serial "&amp;L613,IF(AND(ISNUMBER(L613),L613&gt;MIN($L$2:$L$1001),COUNTIF($L$2:$L$1001,L613-1)=0,COUNTIF($L$2:$L$1001,L613-2)&lt;2),"⚠ Missing serial "&amp;(L613-1),IF(AND(MAX(K$1:K612)&gt;0,N(K613)-MAX(K$1:K612)&gt;180),"⚠ Gap &gt; 3h",IF(C613-I613&gt;=0.99,"next day",IF(C613-I613&gt;0.4,"12h → 24h","")))))))))))</f>
        <v/>
      </c>
      <c r="H613" s="4" t="str">
        <f t="shared" si="45"/>
        <v/>
      </c>
      <c r="I613" s="5" t="str">
        <f t="shared" si="46"/>
        <v/>
      </c>
      <c r="J613" s="6">
        <f t="shared" si="47"/>
        <v>0</v>
      </c>
      <c r="K613" s="4" t="str">
        <f t="shared" si="48"/>
        <v/>
      </c>
      <c r="L613" s="4" t="str">
        <f t="shared" si="49"/>
        <v/>
      </c>
      <c r="M613" s="4" t="b" cm="1">
        <f t="array" ref="M613">IF(H613="",FALSE,SUMPRODUCT(--(H$1:H612=H613))&gt;0)</f>
        <v>0</v>
      </c>
    </row>
    <row r="614" spans="1:13" x14ac:dyDescent="0.25">
      <c r="A614" s="9" t="str">
        <f>IF(OR(B614="",M614,G614="— ignored"),"",MAX(A$1:A613)+1)</f>
        <v/>
      </c>
      <c r="B614" s="10"/>
      <c r="C614" s="11" t="str">
        <f>IF(I614="","",ROUND((I614+0.5*MAX(0,CEILING(ROUND((MAX(C$1:C613)-1/48-I614)/0.5,6),1)))*1440,0)/1440)</f>
        <v/>
      </c>
      <c r="D614" s="9" t="str" cm="1">
        <f t="array" ref="D614">IF(H614="","",IFERROR(INDEX(Log!$C$19:$G$19,VALUE(MID(H614,FIND("#",H614)+1,1))),""))</f>
        <v/>
      </c>
      <c r="E614" s="9" t="str" cm="1">
        <f t="array" ref="E614">IF(OR(H614="",M614),"",IFERROR(_xlfn.LET(_xlpm.t,SUBSTITUTE(UPPER(H614),"م","M"),_xlpm.u,SUBSTITUTE(_xlpm.t,"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14" s="12"/>
      <c r="G614" s="13" t="str">
        <f>IF(B614="","",IF(M614,"⚠ Duplicate (not counted)",IF(AND(I614="",D614="",E614=""),"— ignored",IF(C614="","⚠ Time",IF(D614="","⚠ Plant",IF(E614="","⚠ Quantity",IF(AND(ISNUMBER(L614),COUNTIF(L$1:L613,L614)&gt;0),"⚠ Same serial "&amp;L614,IF(AND(ISNUMBER(L614),L614&gt;MIN($L$2:$L$1001),COUNTIF($L$2:$L$1001,L614-1)=0,COUNTIF($L$2:$L$1001,L614-2)&lt;2),"⚠ Missing serial "&amp;(L614-1),IF(AND(MAX(K$1:K613)&gt;0,N(K614)-MAX(K$1:K613)&gt;180),"⚠ Gap &gt; 3h",IF(C614-I614&gt;=0.99,"next day",IF(C614-I614&gt;0.4,"12h → 24h","")))))))))))</f>
        <v/>
      </c>
      <c r="H614" s="4" t="str">
        <f t="shared" si="45"/>
        <v/>
      </c>
      <c r="I614" s="5" t="str">
        <f t="shared" si="46"/>
        <v/>
      </c>
      <c r="J614" s="6">
        <f t="shared" si="47"/>
        <v>0</v>
      </c>
      <c r="K614" s="4" t="str">
        <f t="shared" si="48"/>
        <v/>
      </c>
      <c r="L614" s="4" t="str">
        <f t="shared" si="49"/>
        <v/>
      </c>
      <c r="M614" s="4" t="b" cm="1">
        <f t="array" ref="M614">IF(H614="",FALSE,SUMPRODUCT(--(H$1:H613=H614))&gt;0)</f>
        <v>0</v>
      </c>
    </row>
    <row r="615" spans="1:13" x14ac:dyDescent="0.25">
      <c r="A615" s="9" t="str">
        <f>IF(OR(B615="",M615,G615="— ignored"),"",MAX(A$1:A614)+1)</f>
        <v/>
      </c>
      <c r="B615" s="10"/>
      <c r="C615" s="11" t="str">
        <f>IF(I615="","",ROUND((I615+0.5*MAX(0,CEILING(ROUND((MAX(C$1:C614)-1/48-I615)/0.5,6),1)))*1440,0)/1440)</f>
        <v/>
      </c>
      <c r="D615" s="9" t="str" cm="1">
        <f t="array" ref="D615">IF(H615="","",IFERROR(INDEX(Log!$C$19:$G$19,VALUE(MID(H615,FIND("#",H615)+1,1))),""))</f>
        <v/>
      </c>
      <c r="E615" s="9" t="str" cm="1">
        <f t="array" ref="E615">IF(OR(H615="",M615),"",IFERROR(_xlfn.LET(_xlpm.t,SUBSTITUTE(UPPER(H615),"م","M"),_xlpm.u,SUBSTITUTE(_xlpm.t,"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15" s="12"/>
      <c r="G615" s="13" t="str">
        <f>IF(B615="","",IF(M615,"⚠ Duplicate (not counted)",IF(AND(I615="",D615="",E615=""),"— ignored",IF(C615="","⚠ Time",IF(D615="","⚠ Plant",IF(E615="","⚠ Quantity",IF(AND(ISNUMBER(L615),COUNTIF(L$1:L614,L615)&gt;0),"⚠ Same serial "&amp;L615,IF(AND(ISNUMBER(L615),L615&gt;MIN($L$2:$L$1001),COUNTIF($L$2:$L$1001,L615-1)=0,COUNTIF($L$2:$L$1001,L615-2)&lt;2),"⚠ Missing serial "&amp;(L615-1),IF(AND(MAX(K$1:K614)&gt;0,N(K615)-MAX(K$1:K614)&gt;180),"⚠ Gap &gt; 3h",IF(C615-I615&gt;=0.99,"next day",IF(C615-I615&gt;0.4,"12h → 24h","")))))))))))</f>
        <v/>
      </c>
      <c r="H615" s="4" t="str">
        <f t="shared" si="45"/>
        <v/>
      </c>
      <c r="I615" s="5" t="str">
        <f t="shared" si="46"/>
        <v/>
      </c>
      <c r="J615" s="6">
        <f t="shared" si="47"/>
        <v>0</v>
      </c>
      <c r="K615" s="4" t="str">
        <f t="shared" si="48"/>
        <v/>
      </c>
      <c r="L615" s="4" t="str">
        <f t="shared" si="49"/>
        <v/>
      </c>
      <c r="M615" s="4" t="b" cm="1">
        <f t="array" ref="M615">IF(H615="",FALSE,SUMPRODUCT(--(H$1:H614=H615))&gt;0)</f>
        <v>0</v>
      </c>
    </row>
    <row r="616" spans="1:13" x14ac:dyDescent="0.25">
      <c r="A616" s="9" t="str">
        <f>IF(OR(B616="",M616,G616="— ignored"),"",MAX(A$1:A615)+1)</f>
        <v/>
      </c>
      <c r="B616" s="10"/>
      <c r="C616" s="11" t="str">
        <f>IF(I616="","",ROUND((I616+0.5*MAX(0,CEILING(ROUND((MAX(C$1:C615)-1/48-I616)/0.5,6),1)))*1440,0)/1440)</f>
        <v/>
      </c>
      <c r="D616" s="9" t="str" cm="1">
        <f t="array" ref="D616">IF(H616="","",IFERROR(INDEX(Log!$C$19:$G$19,VALUE(MID(H616,FIND("#",H616)+1,1))),""))</f>
        <v/>
      </c>
      <c r="E616" s="9" t="str" cm="1">
        <f t="array" ref="E616">IF(OR(H616="",M616),"",IFERROR(_xlfn.LET(_xlpm.t,SUBSTITUTE(UPPER(H616),"م","M"),_xlpm.u,SUBSTITUTE(_xlpm.t,"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16" s="12"/>
      <c r="G616" s="13" t="str">
        <f>IF(B616="","",IF(M616,"⚠ Duplicate (not counted)",IF(AND(I616="",D616="",E616=""),"— ignored",IF(C616="","⚠ Time",IF(D616="","⚠ Plant",IF(E616="","⚠ Quantity",IF(AND(ISNUMBER(L616),COUNTIF(L$1:L615,L616)&gt;0),"⚠ Same serial "&amp;L616,IF(AND(ISNUMBER(L616),L616&gt;MIN($L$2:$L$1001),COUNTIF($L$2:$L$1001,L616-1)=0,COUNTIF($L$2:$L$1001,L616-2)&lt;2),"⚠ Missing serial "&amp;(L616-1),IF(AND(MAX(K$1:K615)&gt;0,N(K616)-MAX(K$1:K615)&gt;180),"⚠ Gap &gt; 3h",IF(C616-I616&gt;=0.99,"next day",IF(C616-I616&gt;0.4,"12h → 24h","")))))))))))</f>
        <v/>
      </c>
      <c r="H616" s="4" t="str">
        <f t="shared" si="45"/>
        <v/>
      </c>
      <c r="I616" s="5" t="str">
        <f t="shared" si="46"/>
        <v/>
      </c>
      <c r="J616" s="6">
        <f t="shared" si="47"/>
        <v>0</v>
      </c>
      <c r="K616" s="4" t="str">
        <f t="shared" si="48"/>
        <v/>
      </c>
      <c r="L616" s="4" t="str">
        <f t="shared" si="49"/>
        <v/>
      </c>
      <c r="M616" s="4" t="b" cm="1">
        <f t="array" ref="M616">IF(H616="",FALSE,SUMPRODUCT(--(H$1:H615=H616))&gt;0)</f>
        <v>0</v>
      </c>
    </row>
    <row r="617" spans="1:13" x14ac:dyDescent="0.25">
      <c r="A617" s="9" t="str">
        <f>IF(OR(B617="",M617,G617="— ignored"),"",MAX(A$1:A616)+1)</f>
        <v/>
      </c>
      <c r="B617" s="10"/>
      <c r="C617" s="11" t="str">
        <f>IF(I617="","",ROUND((I617+0.5*MAX(0,CEILING(ROUND((MAX(C$1:C616)-1/48-I617)/0.5,6),1)))*1440,0)/1440)</f>
        <v/>
      </c>
      <c r="D617" s="9" t="str" cm="1">
        <f t="array" ref="D617">IF(H617="","",IFERROR(INDEX(Log!$C$19:$G$19,VALUE(MID(H617,FIND("#",H617)+1,1))),""))</f>
        <v/>
      </c>
      <c r="E617" s="9" t="str" cm="1">
        <f t="array" ref="E617">IF(OR(H617="",M617),"",IFERROR(_xlfn.LET(_xlpm.t,SUBSTITUTE(UPPER(H617),"م","M"),_xlpm.u,SUBSTITUTE(_xlpm.t,"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17" s="12"/>
      <c r="G617" s="13" t="str">
        <f>IF(B617="","",IF(M617,"⚠ Duplicate (not counted)",IF(AND(I617="",D617="",E617=""),"— ignored",IF(C617="","⚠ Time",IF(D617="","⚠ Plant",IF(E617="","⚠ Quantity",IF(AND(ISNUMBER(L617),COUNTIF(L$1:L616,L617)&gt;0),"⚠ Same serial "&amp;L617,IF(AND(ISNUMBER(L617),L617&gt;MIN($L$2:$L$1001),COUNTIF($L$2:$L$1001,L617-1)=0,COUNTIF($L$2:$L$1001,L617-2)&lt;2),"⚠ Missing serial "&amp;(L617-1),IF(AND(MAX(K$1:K616)&gt;0,N(K617)-MAX(K$1:K616)&gt;180),"⚠ Gap &gt; 3h",IF(C617-I617&gt;=0.99,"next day",IF(C617-I617&gt;0.4,"12h → 24h","")))))))))))</f>
        <v/>
      </c>
      <c r="H617" s="4" t="str">
        <f t="shared" si="45"/>
        <v/>
      </c>
      <c r="I617" s="5" t="str">
        <f t="shared" si="46"/>
        <v/>
      </c>
      <c r="J617" s="6">
        <f t="shared" si="47"/>
        <v>0</v>
      </c>
      <c r="K617" s="4" t="str">
        <f t="shared" si="48"/>
        <v/>
      </c>
      <c r="L617" s="4" t="str">
        <f t="shared" si="49"/>
        <v/>
      </c>
      <c r="M617" s="4" t="b" cm="1">
        <f t="array" ref="M617">IF(H617="",FALSE,SUMPRODUCT(--(H$1:H616=H617))&gt;0)</f>
        <v>0</v>
      </c>
    </row>
    <row r="618" spans="1:13" x14ac:dyDescent="0.25">
      <c r="A618" s="9" t="str">
        <f>IF(OR(B618="",M618,G618="— ignored"),"",MAX(A$1:A617)+1)</f>
        <v/>
      </c>
      <c r="B618" s="10"/>
      <c r="C618" s="11" t="str">
        <f>IF(I618="","",ROUND((I618+0.5*MAX(0,CEILING(ROUND((MAX(C$1:C617)-1/48-I618)/0.5,6),1)))*1440,0)/1440)</f>
        <v/>
      </c>
      <c r="D618" s="9" t="str" cm="1">
        <f t="array" ref="D618">IF(H618="","",IFERROR(INDEX(Log!$C$19:$G$19,VALUE(MID(H618,FIND("#",H618)+1,1))),""))</f>
        <v/>
      </c>
      <c r="E618" s="9" t="str" cm="1">
        <f t="array" ref="E618">IF(OR(H618="",M618),"",IFERROR(_xlfn.LET(_xlpm.t,SUBSTITUTE(UPPER(H618),"م","M"),_xlpm.u,SUBSTITUTE(_xlpm.t,"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18" s="12"/>
      <c r="G618" s="13" t="str">
        <f>IF(B618="","",IF(M618,"⚠ Duplicate (not counted)",IF(AND(I618="",D618="",E618=""),"— ignored",IF(C618="","⚠ Time",IF(D618="","⚠ Plant",IF(E618="","⚠ Quantity",IF(AND(ISNUMBER(L618),COUNTIF(L$1:L617,L618)&gt;0),"⚠ Same serial "&amp;L618,IF(AND(ISNUMBER(L618),L618&gt;MIN($L$2:$L$1001),COUNTIF($L$2:$L$1001,L618-1)=0,COUNTIF($L$2:$L$1001,L618-2)&lt;2),"⚠ Missing serial "&amp;(L618-1),IF(AND(MAX(K$1:K617)&gt;0,N(K618)-MAX(K$1:K617)&gt;180),"⚠ Gap &gt; 3h",IF(C618-I618&gt;=0.99,"next day",IF(C618-I618&gt;0.4,"12h → 24h","")))))))))))</f>
        <v/>
      </c>
      <c r="H618" s="4" t="str">
        <f t="shared" si="45"/>
        <v/>
      </c>
      <c r="I618" s="5" t="str">
        <f t="shared" si="46"/>
        <v/>
      </c>
      <c r="J618" s="6">
        <f t="shared" si="47"/>
        <v>0</v>
      </c>
      <c r="K618" s="4" t="str">
        <f t="shared" si="48"/>
        <v/>
      </c>
      <c r="L618" s="4" t="str">
        <f t="shared" si="49"/>
        <v/>
      </c>
      <c r="M618" s="4" t="b" cm="1">
        <f t="array" ref="M618">IF(H618="",FALSE,SUMPRODUCT(--(H$1:H617=H618))&gt;0)</f>
        <v>0</v>
      </c>
    </row>
    <row r="619" spans="1:13" x14ac:dyDescent="0.25">
      <c r="A619" s="9" t="str">
        <f>IF(OR(B619="",M619,G619="— ignored"),"",MAX(A$1:A618)+1)</f>
        <v/>
      </c>
      <c r="B619" s="10"/>
      <c r="C619" s="11" t="str">
        <f>IF(I619="","",ROUND((I619+0.5*MAX(0,CEILING(ROUND((MAX(C$1:C618)-1/48-I619)/0.5,6),1)))*1440,0)/1440)</f>
        <v/>
      </c>
      <c r="D619" s="9" t="str" cm="1">
        <f t="array" ref="D619">IF(H619="","",IFERROR(INDEX(Log!$C$19:$G$19,VALUE(MID(H619,FIND("#",H619)+1,1))),""))</f>
        <v/>
      </c>
      <c r="E619" s="9" t="str" cm="1">
        <f t="array" ref="E619">IF(OR(H619="",M619),"",IFERROR(_xlfn.LET(_xlpm.t,SUBSTITUTE(UPPER(H619),"م","M"),_xlpm.u,SUBSTITUTE(_xlpm.t,"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19" s="12"/>
      <c r="G619" s="13" t="str">
        <f>IF(B619="","",IF(M619,"⚠ Duplicate (not counted)",IF(AND(I619="",D619="",E619=""),"— ignored",IF(C619="","⚠ Time",IF(D619="","⚠ Plant",IF(E619="","⚠ Quantity",IF(AND(ISNUMBER(L619),COUNTIF(L$1:L618,L619)&gt;0),"⚠ Same serial "&amp;L619,IF(AND(ISNUMBER(L619),L619&gt;MIN($L$2:$L$1001),COUNTIF($L$2:$L$1001,L619-1)=0,COUNTIF($L$2:$L$1001,L619-2)&lt;2),"⚠ Missing serial "&amp;(L619-1),IF(AND(MAX(K$1:K618)&gt;0,N(K619)-MAX(K$1:K618)&gt;180),"⚠ Gap &gt; 3h",IF(C619-I619&gt;=0.99,"next day",IF(C619-I619&gt;0.4,"12h → 24h","")))))))))))</f>
        <v/>
      </c>
      <c r="H619" s="4" t="str">
        <f t="shared" si="45"/>
        <v/>
      </c>
      <c r="I619" s="5" t="str">
        <f t="shared" si="46"/>
        <v/>
      </c>
      <c r="J619" s="6">
        <f t="shared" si="47"/>
        <v>0</v>
      </c>
      <c r="K619" s="4" t="str">
        <f t="shared" si="48"/>
        <v/>
      </c>
      <c r="L619" s="4" t="str">
        <f t="shared" si="49"/>
        <v/>
      </c>
      <c r="M619" s="4" t="b" cm="1">
        <f t="array" ref="M619">IF(H619="",FALSE,SUMPRODUCT(--(H$1:H618=H619))&gt;0)</f>
        <v>0</v>
      </c>
    </row>
    <row r="620" spans="1:13" x14ac:dyDescent="0.25">
      <c r="A620" s="9" t="str">
        <f>IF(OR(B620="",M620,G620="— ignored"),"",MAX(A$1:A619)+1)</f>
        <v/>
      </c>
      <c r="B620" s="10"/>
      <c r="C620" s="11" t="str">
        <f>IF(I620="","",ROUND((I620+0.5*MAX(0,CEILING(ROUND((MAX(C$1:C619)-1/48-I620)/0.5,6),1)))*1440,0)/1440)</f>
        <v/>
      </c>
      <c r="D620" s="9" t="str" cm="1">
        <f t="array" ref="D620">IF(H620="","",IFERROR(INDEX(Log!$C$19:$G$19,VALUE(MID(H620,FIND("#",H620)+1,1))),""))</f>
        <v/>
      </c>
      <c r="E620" s="9" t="str" cm="1">
        <f t="array" ref="E620">IF(OR(H620="",M620),"",IFERROR(_xlfn.LET(_xlpm.t,SUBSTITUTE(UPPER(H620),"م","M"),_xlpm.u,SUBSTITUTE(_xlpm.t,"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20" s="12"/>
      <c r="G620" s="13" t="str">
        <f>IF(B620="","",IF(M620,"⚠ Duplicate (not counted)",IF(AND(I620="",D620="",E620=""),"— ignored",IF(C620="","⚠ Time",IF(D620="","⚠ Plant",IF(E620="","⚠ Quantity",IF(AND(ISNUMBER(L620),COUNTIF(L$1:L619,L620)&gt;0),"⚠ Same serial "&amp;L620,IF(AND(ISNUMBER(L620),L620&gt;MIN($L$2:$L$1001),COUNTIF($L$2:$L$1001,L620-1)=0,COUNTIF($L$2:$L$1001,L620-2)&lt;2),"⚠ Missing serial "&amp;(L620-1),IF(AND(MAX(K$1:K619)&gt;0,N(K620)-MAX(K$1:K619)&gt;180),"⚠ Gap &gt; 3h",IF(C620-I620&gt;=0.99,"next day",IF(C620-I620&gt;0.4,"12h → 24h","")))))))))))</f>
        <v/>
      </c>
      <c r="H620" s="4" t="str">
        <f t="shared" si="45"/>
        <v/>
      </c>
      <c r="I620" s="5" t="str">
        <f t="shared" si="46"/>
        <v/>
      </c>
      <c r="J620" s="6">
        <f t="shared" si="47"/>
        <v>0</v>
      </c>
      <c r="K620" s="4" t="str">
        <f t="shared" si="48"/>
        <v/>
      </c>
      <c r="L620" s="4" t="str">
        <f t="shared" si="49"/>
        <v/>
      </c>
      <c r="M620" s="4" t="b" cm="1">
        <f t="array" ref="M620">IF(H620="",FALSE,SUMPRODUCT(--(H$1:H619=H620))&gt;0)</f>
        <v>0</v>
      </c>
    </row>
    <row r="621" spans="1:13" x14ac:dyDescent="0.25">
      <c r="A621" s="9" t="str">
        <f>IF(OR(B621="",M621,G621="— ignored"),"",MAX(A$1:A620)+1)</f>
        <v/>
      </c>
      <c r="B621" s="10"/>
      <c r="C621" s="11" t="str">
        <f>IF(I621="","",ROUND((I621+0.5*MAX(0,CEILING(ROUND((MAX(C$1:C620)-1/48-I621)/0.5,6),1)))*1440,0)/1440)</f>
        <v/>
      </c>
      <c r="D621" s="9" t="str" cm="1">
        <f t="array" ref="D621">IF(H621="","",IFERROR(INDEX(Log!$C$19:$G$19,VALUE(MID(H621,FIND("#",H621)+1,1))),""))</f>
        <v/>
      </c>
      <c r="E621" s="9" t="str" cm="1">
        <f t="array" ref="E621">IF(OR(H621="",M621),"",IFERROR(_xlfn.LET(_xlpm.t,SUBSTITUTE(UPPER(H621),"م","M"),_xlpm.u,SUBSTITUTE(_xlpm.t,"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21" s="12"/>
      <c r="G621" s="13" t="str">
        <f>IF(B621="","",IF(M621,"⚠ Duplicate (not counted)",IF(AND(I621="",D621="",E621=""),"— ignored",IF(C621="","⚠ Time",IF(D621="","⚠ Plant",IF(E621="","⚠ Quantity",IF(AND(ISNUMBER(L621),COUNTIF(L$1:L620,L621)&gt;0),"⚠ Same serial "&amp;L621,IF(AND(ISNUMBER(L621),L621&gt;MIN($L$2:$L$1001),COUNTIF($L$2:$L$1001,L621-1)=0,COUNTIF($L$2:$L$1001,L621-2)&lt;2),"⚠ Missing serial "&amp;(L621-1),IF(AND(MAX(K$1:K620)&gt;0,N(K621)-MAX(K$1:K620)&gt;180),"⚠ Gap &gt; 3h",IF(C621-I621&gt;=0.99,"next day",IF(C621-I621&gt;0.4,"12h → 24h","")))))))))))</f>
        <v/>
      </c>
      <c r="H621" s="4" t="str">
        <f t="shared" si="45"/>
        <v/>
      </c>
      <c r="I621" s="5" t="str">
        <f t="shared" si="46"/>
        <v/>
      </c>
      <c r="J621" s="6">
        <f t="shared" si="47"/>
        <v>0</v>
      </c>
      <c r="K621" s="4" t="str">
        <f t="shared" si="48"/>
        <v/>
      </c>
      <c r="L621" s="4" t="str">
        <f t="shared" si="49"/>
        <v/>
      </c>
      <c r="M621" s="4" t="b" cm="1">
        <f t="array" ref="M621">IF(H621="",FALSE,SUMPRODUCT(--(H$1:H620=H621))&gt;0)</f>
        <v>0</v>
      </c>
    </row>
    <row r="622" spans="1:13" x14ac:dyDescent="0.25">
      <c r="A622" s="9" t="str">
        <f>IF(OR(B622="",M622,G622="— ignored"),"",MAX(A$1:A621)+1)</f>
        <v/>
      </c>
      <c r="B622" s="10"/>
      <c r="C622" s="11" t="str">
        <f>IF(I622="","",ROUND((I622+0.5*MAX(0,CEILING(ROUND((MAX(C$1:C621)-1/48-I622)/0.5,6),1)))*1440,0)/1440)</f>
        <v/>
      </c>
      <c r="D622" s="9" t="str" cm="1">
        <f t="array" ref="D622">IF(H622="","",IFERROR(INDEX(Log!$C$19:$G$19,VALUE(MID(H622,FIND("#",H622)+1,1))),""))</f>
        <v/>
      </c>
      <c r="E622" s="9" t="str" cm="1">
        <f t="array" ref="E622">IF(OR(H622="",M622),"",IFERROR(_xlfn.LET(_xlpm.t,SUBSTITUTE(UPPER(H622),"م","M"),_xlpm.u,SUBSTITUTE(_xlpm.t,"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22" s="12"/>
      <c r="G622" s="13" t="str">
        <f>IF(B622="","",IF(M622,"⚠ Duplicate (not counted)",IF(AND(I622="",D622="",E622=""),"— ignored",IF(C622="","⚠ Time",IF(D622="","⚠ Plant",IF(E622="","⚠ Quantity",IF(AND(ISNUMBER(L622),COUNTIF(L$1:L621,L622)&gt;0),"⚠ Same serial "&amp;L622,IF(AND(ISNUMBER(L622),L622&gt;MIN($L$2:$L$1001),COUNTIF($L$2:$L$1001,L622-1)=0,COUNTIF($L$2:$L$1001,L622-2)&lt;2),"⚠ Missing serial "&amp;(L622-1),IF(AND(MAX(K$1:K621)&gt;0,N(K622)-MAX(K$1:K621)&gt;180),"⚠ Gap &gt; 3h",IF(C622-I622&gt;=0.99,"next day",IF(C622-I622&gt;0.4,"12h → 24h","")))))))))))</f>
        <v/>
      </c>
      <c r="H622" s="4" t="str">
        <f t="shared" si="45"/>
        <v/>
      </c>
      <c r="I622" s="5" t="str">
        <f t="shared" si="46"/>
        <v/>
      </c>
      <c r="J622" s="6">
        <f t="shared" si="47"/>
        <v>0</v>
      </c>
      <c r="K622" s="4" t="str">
        <f t="shared" si="48"/>
        <v/>
      </c>
      <c r="L622" s="4" t="str">
        <f t="shared" si="49"/>
        <v/>
      </c>
      <c r="M622" s="4" t="b" cm="1">
        <f t="array" ref="M622">IF(H622="",FALSE,SUMPRODUCT(--(H$1:H621=H622))&gt;0)</f>
        <v>0</v>
      </c>
    </row>
    <row r="623" spans="1:13" x14ac:dyDescent="0.25">
      <c r="A623" s="9" t="str">
        <f>IF(OR(B623="",M623,G623="— ignored"),"",MAX(A$1:A622)+1)</f>
        <v/>
      </c>
      <c r="B623" s="10"/>
      <c r="C623" s="11" t="str">
        <f>IF(I623="","",ROUND((I623+0.5*MAX(0,CEILING(ROUND((MAX(C$1:C622)-1/48-I623)/0.5,6),1)))*1440,0)/1440)</f>
        <v/>
      </c>
      <c r="D623" s="9" t="str" cm="1">
        <f t="array" ref="D623">IF(H623="","",IFERROR(INDEX(Log!$C$19:$G$19,VALUE(MID(H623,FIND("#",H623)+1,1))),""))</f>
        <v/>
      </c>
      <c r="E623" s="9" t="str" cm="1">
        <f t="array" ref="E623">IF(OR(H623="",M623),"",IFERROR(_xlfn.LET(_xlpm.t,SUBSTITUTE(UPPER(H623),"م","M"),_xlpm.u,SUBSTITUTE(_xlpm.t,"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23" s="12"/>
      <c r="G623" s="13" t="str">
        <f>IF(B623="","",IF(M623,"⚠ Duplicate (not counted)",IF(AND(I623="",D623="",E623=""),"— ignored",IF(C623="","⚠ Time",IF(D623="","⚠ Plant",IF(E623="","⚠ Quantity",IF(AND(ISNUMBER(L623),COUNTIF(L$1:L622,L623)&gt;0),"⚠ Same serial "&amp;L623,IF(AND(ISNUMBER(L623),L623&gt;MIN($L$2:$L$1001),COUNTIF($L$2:$L$1001,L623-1)=0,COUNTIF($L$2:$L$1001,L623-2)&lt;2),"⚠ Missing serial "&amp;(L623-1),IF(AND(MAX(K$1:K622)&gt;0,N(K623)-MAX(K$1:K622)&gt;180),"⚠ Gap &gt; 3h",IF(C623-I623&gt;=0.99,"next day",IF(C623-I623&gt;0.4,"12h → 24h","")))))))))))</f>
        <v/>
      </c>
      <c r="H623" s="4" t="str">
        <f t="shared" si="45"/>
        <v/>
      </c>
      <c r="I623" s="5" t="str">
        <f t="shared" si="46"/>
        <v/>
      </c>
      <c r="J623" s="6">
        <f t="shared" si="47"/>
        <v>0</v>
      </c>
      <c r="K623" s="4" t="str">
        <f t="shared" si="48"/>
        <v/>
      </c>
      <c r="L623" s="4" t="str">
        <f t="shared" si="49"/>
        <v/>
      </c>
      <c r="M623" s="4" t="b" cm="1">
        <f t="array" ref="M623">IF(H623="",FALSE,SUMPRODUCT(--(H$1:H622=H623))&gt;0)</f>
        <v>0</v>
      </c>
    </row>
    <row r="624" spans="1:13" x14ac:dyDescent="0.25">
      <c r="A624" s="9" t="str">
        <f>IF(OR(B624="",M624,G624="— ignored"),"",MAX(A$1:A623)+1)</f>
        <v/>
      </c>
      <c r="B624" s="10"/>
      <c r="C624" s="11" t="str">
        <f>IF(I624="","",ROUND((I624+0.5*MAX(0,CEILING(ROUND((MAX(C$1:C623)-1/48-I624)/0.5,6),1)))*1440,0)/1440)</f>
        <v/>
      </c>
      <c r="D624" s="9" t="str" cm="1">
        <f t="array" ref="D624">IF(H624="","",IFERROR(INDEX(Log!$C$19:$G$19,VALUE(MID(H624,FIND("#",H624)+1,1))),""))</f>
        <v/>
      </c>
      <c r="E624" s="9" t="str" cm="1">
        <f t="array" ref="E624">IF(OR(H624="",M624),"",IFERROR(_xlfn.LET(_xlpm.t,SUBSTITUTE(UPPER(H624),"م","M"),_xlpm.u,SUBSTITUTE(_xlpm.t,"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24" s="12"/>
      <c r="G624" s="13" t="str">
        <f>IF(B624="","",IF(M624,"⚠ Duplicate (not counted)",IF(AND(I624="",D624="",E624=""),"— ignored",IF(C624="","⚠ Time",IF(D624="","⚠ Plant",IF(E624="","⚠ Quantity",IF(AND(ISNUMBER(L624),COUNTIF(L$1:L623,L624)&gt;0),"⚠ Same serial "&amp;L624,IF(AND(ISNUMBER(L624),L624&gt;MIN($L$2:$L$1001),COUNTIF($L$2:$L$1001,L624-1)=0,COUNTIF($L$2:$L$1001,L624-2)&lt;2),"⚠ Missing serial "&amp;(L624-1),IF(AND(MAX(K$1:K623)&gt;0,N(K624)-MAX(K$1:K623)&gt;180),"⚠ Gap &gt; 3h",IF(C624-I624&gt;=0.99,"next day",IF(C624-I624&gt;0.4,"12h → 24h","")))))))))))</f>
        <v/>
      </c>
      <c r="H624" s="4" t="str">
        <f t="shared" si="45"/>
        <v/>
      </c>
      <c r="I624" s="5" t="str">
        <f t="shared" si="46"/>
        <v/>
      </c>
      <c r="J624" s="6">
        <f t="shared" si="47"/>
        <v>0</v>
      </c>
      <c r="K624" s="4" t="str">
        <f t="shared" si="48"/>
        <v/>
      </c>
      <c r="L624" s="4" t="str">
        <f t="shared" si="49"/>
        <v/>
      </c>
      <c r="M624" s="4" t="b" cm="1">
        <f t="array" ref="M624">IF(H624="",FALSE,SUMPRODUCT(--(H$1:H623=H624))&gt;0)</f>
        <v>0</v>
      </c>
    </row>
    <row r="625" spans="1:13" x14ac:dyDescent="0.25">
      <c r="A625" s="9" t="str">
        <f>IF(OR(B625="",M625,G625="— ignored"),"",MAX(A$1:A624)+1)</f>
        <v/>
      </c>
      <c r="B625" s="10"/>
      <c r="C625" s="11" t="str">
        <f>IF(I625="","",ROUND((I625+0.5*MAX(0,CEILING(ROUND((MAX(C$1:C624)-1/48-I625)/0.5,6),1)))*1440,0)/1440)</f>
        <v/>
      </c>
      <c r="D625" s="9" t="str" cm="1">
        <f t="array" ref="D625">IF(H625="","",IFERROR(INDEX(Log!$C$19:$G$19,VALUE(MID(H625,FIND("#",H625)+1,1))),""))</f>
        <v/>
      </c>
      <c r="E625" s="9" t="str" cm="1">
        <f t="array" ref="E625">IF(OR(H625="",M625),"",IFERROR(_xlfn.LET(_xlpm.t,SUBSTITUTE(UPPER(H625),"م","M"),_xlpm.u,SUBSTITUTE(_xlpm.t,"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25" s="12"/>
      <c r="G625" s="13" t="str">
        <f>IF(B625="","",IF(M625,"⚠ Duplicate (not counted)",IF(AND(I625="",D625="",E625=""),"— ignored",IF(C625="","⚠ Time",IF(D625="","⚠ Plant",IF(E625="","⚠ Quantity",IF(AND(ISNUMBER(L625),COUNTIF(L$1:L624,L625)&gt;0),"⚠ Same serial "&amp;L625,IF(AND(ISNUMBER(L625),L625&gt;MIN($L$2:$L$1001),COUNTIF($L$2:$L$1001,L625-1)=0,COUNTIF($L$2:$L$1001,L625-2)&lt;2),"⚠ Missing serial "&amp;(L625-1),IF(AND(MAX(K$1:K624)&gt;0,N(K625)-MAX(K$1:K624)&gt;180),"⚠ Gap &gt; 3h",IF(C625-I625&gt;=0.99,"next day",IF(C625-I625&gt;0.4,"12h → 24h","")))))))))))</f>
        <v/>
      </c>
      <c r="H625" s="4" t="str">
        <f t="shared" si="45"/>
        <v/>
      </c>
      <c r="I625" s="5" t="str">
        <f t="shared" si="46"/>
        <v/>
      </c>
      <c r="J625" s="6">
        <f t="shared" si="47"/>
        <v>0</v>
      </c>
      <c r="K625" s="4" t="str">
        <f t="shared" si="48"/>
        <v/>
      </c>
      <c r="L625" s="4" t="str">
        <f t="shared" si="49"/>
        <v/>
      </c>
      <c r="M625" s="4" t="b" cm="1">
        <f t="array" ref="M625">IF(H625="",FALSE,SUMPRODUCT(--(H$1:H624=H625))&gt;0)</f>
        <v>0</v>
      </c>
    </row>
    <row r="626" spans="1:13" x14ac:dyDescent="0.25">
      <c r="A626" s="9" t="str">
        <f>IF(OR(B626="",M626,G626="— ignored"),"",MAX(A$1:A625)+1)</f>
        <v/>
      </c>
      <c r="B626" s="10"/>
      <c r="C626" s="11" t="str">
        <f>IF(I626="","",ROUND((I626+0.5*MAX(0,CEILING(ROUND((MAX(C$1:C625)-1/48-I626)/0.5,6),1)))*1440,0)/1440)</f>
        <v/>
      </c>
      <c r="D626" s="9" t="str" cm="1">
        <f t="array" ref="D626">IF(H626="","",IFERROR(INDEX(Log!$C$19:$G$19,VALUE(MID(H626,FIND("#",H626)+1,1))),""))</f>
        <v/>
      </c>
      <c r="E626" s="9" t="str" cm="1">
        <f t="array" ref="E626">IF(OR(H626="",M626),"",IFERROR(_xlfn.LET(_xlpm.t,SUBSTITUTE(UPPER(H626),"م","M"),_xlpm.u,SUBSTITUTE(_xlpm.t,"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26" s="12"/>
      <c r="G626" s="13" t="str">
        <f>IF(B626="","",IF(M626,"⚠ Duplicate (not counted)",IF(AND(I626="",D626="",E626=""),"— ignored",IF(C626="","⚠ Time",IF(D626="","⚠ Plant",IF(E626="","⚠ Quantity",IF(AND(ISNUMBER(L626),COUNTIF(L$1:L625,L626)&gt;0),"⚠ Same serial "&amp;L626,IF(AND(ISNUMBER(L626),L626&gt;MIN($L$2:$L$1001),COUNTIF($L$2:$L$1001,L626-1)=0,COUNTIF($L$2:$L$1001,L626-2)&lt;2),"⚠ Missing serial "&amp;(L626-1),IF(AND(MAX(K$1:K625)&gt;0,N(K626)-MAX(K$1:K625)&gt;180),"⚠ Gap &gt; 3h",IF(C626-I626&gt;=0.99,"next day",IF(C626-I626&gt;0.4,"12h → 24h","")))))))))))</f>
        <v/>
      </c>
      <c r="H626" s="4" t="str">
        <f t="shared" si="45"/>
        <v/>
      </c>
      <c r="I626" s="5" t="str">
        <f t="shared" si="46"/>
        <v/>
      </c>
      <c r="J626" s="6">
        <f t="shared" si="47"/>
        <v>0</v>
      </c>
      <c r="K626" s="4" t="str">
        <f t="shared" si="48"/>
        <v/>
      </c>
      <c r="L626" s="4" t="str">
        <f t="shared" si="49"/>
        <v/>
      </c>
      <c r="M626" s="4" t="b" cm="1">
        <f t="array" ref="M626">IF(H626="",FALSE,SUMPRODUCT(--(H$1:H625=H626))&gt;0)</f>
        <v>0</v>
      </c>
    </row>
    <row r="627" spans="1:13" x14ac:dyDescent="0.25">
      <c r="A627" s="9" t="str">
        <f>IF(OR(B627="",M627,G627="— ignored"),"",MAX(A$1:A626)+1)</f>
        <v/>
      </c>
      <c r="B627" s="10"/>
      <c r="C627" s="11" t="str">
        <f>IF(I627="","",ROUND((I627+0.5*MAX(0,CEILING(ROUND((MAX(C$1:C626)-1/48-I627)/0.5,6),1)))*1440,0)/1440)</f>
        <v/>
      </c>
      <c r="D627" s="9" t="str" cm="1">
        <f t="array" ref="D627">IF(H627="","",IFERROR(INDEX(Log!$C$19:$G$19,VALUE(MID(H627,FIND("#",H627)+1,1))),""))</f>
        <v/>
      </c>
      <c r="E627" s="9" t="str" cm="1">
        <f t="array" ref="E627">IF(OR(H627="",M627),"",IFERROR(_xlfn.LET(_xlpm.t,SUBSTITUTE(UPPER(H627),"م","M"),_xlpm.u,SUBSTITUTE(_xlpm.t,"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27" s="12"/>
      <c r="G627" s="13" t="str">
        <f>IF(B627="","",IF(M627,"⚠ Duplicate (not counted)",IF(AND(I627="",D627="",E627=""),"— ignored",IF(C627="","⚠ Time",IF(D627="","⚠ Plant",IF(E627="","⚠ Quantity",IF(AND(ISNUMBER(L627),COUNTIF(L$1:L626,L627)&gt;0),"⚠ Same serial "&amp;L627,IF(AND(ISNUMBER(L627),L627&gt;MIN($L$2:$L$1001),COUNTIF($L$2:$L$1001,L627-1)=0,COUNTIF($L$2:$L$1001,L627-2)&lt;2),"⚠ Missing serial "&amp;(L627-1),IF(AND(MAX(K$1:K626)&gt;0,N(K627)-MAX(K$1:K626)&gt;180),"⚠ Gap &gt; 3h",IF(C627-I627&gt;=0.99,"next day",IF(C627-I627&gt;0.4,"12h → 24h","")))))))))))</f>
        <v/>
      </c>
      <c r="H627" s="4" t="str">
        <f t="shared" si="45"/>
        <v/>
      </c>
      <c r="I627" s="5" t="str">
        <f t="shared" si="46"/>
        <v/>
      </c>
      <c r="J627" s="6">
        <f t="shared" si="47"/>
        <v>0</v>
      </c>
      <c r="K627" s="4" t="str">
        <f t="shared" si="48"/>
        <v/>
      </c>
      <c r="L627" s="4" t="str">
        <f t="shared" si="49"/>
        <v/>
      </c>
      <c r="M627" s="4" t="b" cm="1">
        <f t="array" ref="M627">IF(H627="",FALSE,SUMPRODUCT(--(H$1:H626=H627))&gt;0)</f>
        <v>0</v>
      </c>
    </row>
    <row r="628" spans="1:13" x14ac:dyDescent="0.25">
      <c r="A628" s="9" t="str">
        <f>IF(OR(B628="",M628,G628="— ignored"),"",MAX(A$1:A627)+1)</f>
        <v/>
      </c>
      <c r="B628" s="10"/>
      <c r="C628" s="11" t="str">
        <f>IF(I628="","",ROUND((I628+0.5*MAX(0,CEILING(ROUND((MAX(C$1:C627)-1/48-I628)/0.5,6),1)))*1440,0)/1440)</f>
        <v/>
      </c>
      <c r="D628" s="9" t="str" cm="1">
        <f t="array" ref="D628">IF(H628="","",IFERROR(INDEX(Log!$C$19:$G$19,VALUE(MID(H628,FIND("#",H628)+1,1))),""))</f>
        <v/>
      </c>
      <c r="E628" s="9" t="str" cm="1">
        <f t="array" ref="E628">IF(OR(H628="",M628),"",IFERROR(_xlfn.LET(_xlpm.t,SUBSTITUTE(UPPER(H628),"م","M"),_xlpm.u,SUBSTITUTE(_xlpm.t,"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28" s="12"/>
      <c r="G628" s="13" t="str">
        <f>IF(B628="","",IF(M628,"⚠ Duplicate (not counted)",IF(AND(I628="",D628="",E628=""),"— ignored",IF(C628="","⚠ Time",IF(D628="","⚠ Plant",IF(E628="","⚠ Quantity",IF(AND(ISNUMBER(L628),COUNTIF(L$1:L627,L628)&gt;0),"⚠ Same serial "&amp;L628,IF(AND(ISNUMBER(L628),L628&gt;MIN($L$2:$L$1001),COUNTIF($L$2:$L$1001,L628-1)=0,COUNTIF($L$2:$L$1001,L628-2)&lt;2),"⚠ Missing serial "&amp;(L628-1),IF(AND(MAX(K$1:K627)&gt;0,N(K628)-MAX(K$1:K627)&gt;180),"⚠ Gap &gt; 3h",IF(C628-I628&gt;=0.99,"next day",IF(C628-I628&gt;0.4,"12h → 24h","")))))))))))</f>
        <v/>
      </c>
      <c r="H628" s="4" t="str">
        <f t="shared" si="45"/>
        <v/>
      </c>
      <c r="I628" s="5" t="str">
        <f t="shared" si="46"/>
        <v/>
      </c>
      <c r="J628" s="6">
        <f t="shared" si="47"/>
        <v>0</v>
      </c>
      <c r="K628" s="4" t="str">
        <f t="shared" si="48"/>
        <v/>
      </c>
      <c r="L628" s="4" t="str">
        <f t="shared" si="49"/>
        <v/>
      </c>
      <c r="M628" s="4" t="b" cm="1">
        <f t="array" ref="M628">IF(H628="",FALSE,SUMPRODUCT(--(H$1:H627=H628))&gt;0)</f>
        <v>0</v>
      </c>
    </row>
    <row r="629" spans="1:13" x14ac:dyDescent="0.25">
      <c r="A629" s="9" t="str">
        <f>IF(OR(B629="",M629,G629="— ignored"),"",MAX(A$1:A628)+1)</f>
        <v/>
      </c>
      <c r="B629" s="10"/>
      <c r="C629" s="11" t="str">
        <f>IF(I629="","",ROUND((I629+0.5*MAX(0,CEILING(ROUND((MAX(C$1:C628)-1/48-I629)/0.5,6),1)))*1440,0)/1440)</f>
        <v/>
      </c>
      <c r="D629" s="9" t="str" cm="1">
        <f t="array" ref="D629">IF(H629="","",IFERROR(INDEX(Log!$C$19:$G$19,VALUE(MID(H629,FIND("#",H629)+1,1))),""))</f>
        <v/>
      </c>
      <c r="E629" s="9" t="str" cm="1">
        <f t="array" ref="E629">IF(OR(H629="",M629),"",IFERROR(_xlfn.LET(_xlpm.t,SUBSTITUTE(UPPER(H629),"م","M"),_xlpm.u,SUBSTITUTE(_xlpm.t,"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29" s="12"/>
      <c r="G629" s="13" t="str">
        <f>IF(B629="","",IF(M629,"⚠ Duplicate (not counted)",IF(AND(I629="",D629="",E629=""),"— ignored",IF(C629="","⚠ Time",IF(D629="","⚠ Plant",IF(E629="","⚠ Quantity",IF(AND(ISNUMBER(L629),COUNTIF(L$1:L628,L629)&gt;0),"⚠ Same serial "&amp;L629,IF(AND(ISNUMBER(L629),L629&gt;MIN($L$2:$L$1001),COUNTIF($L$2:$L$1001,L629-1)=0,COUNTIF($L$2:$L$1001,L629-2)&lt;2),"⚠ Missing serial "&amp;(L629-1),IF(AND(MAX(K$1:K628)&gt;0,N(K629)-MAX(K$1:K628)&gt;180),"⚠ Gap &gt; 3h",IF(C629-I629&gt;=0.99,"next day",IF(C629-I629&gt;0.4,"12h → 24h","")))))))))))</f>
        <v/>
      </c>
      <c r="H629" s="4" t="str">
        <f t="shared" si="45"/>
        <v/>
      </c>
      <c r="I629" s="5" t="str">
        <f t="shared" si="46"/>
        <v/>
      </c>
      <c r="J629" s="6">
        <f t="shared" si="47"/>
        <v>0</v>
      </c>
      <c r="K629" s="4" t="str">
        <f t="shared" si="48"/>
        <v/>
      </c>
      <c r="L629" s="4" t="str">
        <f t="shared" si="49"/>
        <v/>
      </c>
      <c r="M629" s="4" t="b" cm="1">
        <f t="array" ref="M629">IF(H629="",FALSE,SUMPRODUCT(--(H$1:H628=H629))&gt;0)</f>
        <v>0</v>
      </c>
    </row>
    <row r="630" spans="1:13" x14ac:dyDescent="0.25">
      <c r="A630" s="9" t="str">
        <f>IF(OR(B630="",M630,G630="— ignored"),"",MAX(A$1:A629)+1)</f>
        <v/>
      </c>
      <c r="B630" s="10"/>
      <c r="C630" s="11" t="str">
        <f>IF(I630="","",ROUND((I630+0.5*MAX(0,CEILING(ROUND((MAX(C$1:C629)-1/48-I630)/0.5,6),1)))*1440,0)/1440)</f>
        <v/>
      </c>
      <c r="D630" s="9" t="str" cm="1">
        <f t="array" ref="D630">IF(H630="","",IFERROR(INDEX(Log!$C$19:$G$19,VALUE(MID(H630,FIND("#",H630)+1,1))),""))</f>
        <v/>
      </c>
      <c r="E630" s="9" t="str" cm="1">
        <f t="array" ref="E630">IF(OR(H630="",M630),"",IFERROR(_xlfn.LET(_xlpm.t,SUBSTITUTE(UPPER(H630),"م","M"),_xlpm.u,SUBSTITUTE(_xlpm.t,"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30" s="12"/>
      <c r="G630" s="13" t="str">
        <f>IF(B630="","",IF(M630,"⚠ Duplicate (not counted)",IF(AND(I630="",D630="",E630=""),"— ignored",IF(C630="","⚠ Time",IF(D630="","⚠ Plant",IF(E630="","⚠ Quantity",IF(AND(ISNUMBER(L630),COUNTIF(L$1:L629,L630)&gt;0),"⚠ Same serial "&amp;L630,IF(AND(ISNUMBER(L630),L630&gt;MIN($L$2:$L$1001),COUNTIF($L$2:$L$1001,L630-1)=0,COUNTIF($L$2:$L$1001,L630-2)&lt;2),"⚠ Missing serial "&amp;(L630-1),IF(AND(MAX(K$1:K629)&gt;0,N(K630)-MAX(K$1:K629)&gt;180),"⚠ Gap &gt; 3h",IF(C630-I630&gt;=0.99,"next day",IF(C630-I630&gt;0.4,"12h → 24h","")))))))))))</f>
        <v/>
      </c>
      <c r="H630" s="4" t="str">
        <f t="shared" si="45"/>
        <v/>
      </c>
      <c r="I630" s="5" t="str">
        <f t="shared" si="46"/>
        <v/>
      </c>
      <c r="J630" s="6">
        <f t="shared" si="47"/>
        <v>0</v>
      </c>
      <c r="K630" s="4" t="str">
        <f t="shared" si="48"/>
        <v/>
      </c>
      <c r="L630" s="4" t="str">
        <f t="shared" si="49"/>
        <v/>
      </c>
      <c r="M630" s="4" t="b" cm="1">
        <f t="array" ref="M630">IF(H630="",FALSE,SUMPRODUCT(--(H$1:H629=H630))&gt;0)</f>
        <v>0</v>
      </c>
    </row>
    <row r="631" spans="1:13" x14ac:dyDescent="0.25">
      <c r="A631" s="9" t="str">
        <f>IF(OR(B631="",M631,G631="— ignored"),"",MAX(A$1:A630)+1)</f>
        <v/>
      </c>
      <c r="B631" s="10"/>
      <c r="C631" s="11" t="str">
        <f>IF(I631="","",ROUND((I631+0.5*MAX(0,CEILING(ROUND((MAX(C$1:C630)-1/48-I631)/0.5,6),1)))*1440,0)/1440)</f>
        <v/>
      </c>
      <c r="D631" s="9" t="str" cm="1">
        <f t="array" ref="D631">IF(H631="","",IFERROR(INDEX(Log!$C$19:$G$19,VALUE(MID(H631,FIND("#",H631)+1,1))),""))</f>
        <v/>
      </c>
      <c r="E631" s="9" t="str" cm="1">
        <f t="array" ref="E631">IF(OR(H631="",M631),"",IFERROR(_xlfn.LET(_xlpm.t,SUBSTITUTE(UPPER(H631),"م","M"),_xlpm.u,SUBSTITUTE(_xlpm.t,"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31" s="12"/>
      <c r="G631" s="13" t="str">
        <f>IF(B631="","",IF(M631,"⚠ Duplicate (not counted)",IF(AND(I631="",D631="",E631=""),"— ignored",IF(C631="","⚠ Time",IF(D631="","⚠ Plant",IF(E631="","⚠ Quantity",IF(AND(ISNUMBER(L631),COUNTIF(L$1:L630,L631)&gt;0),"⚠ Same serial "&amp;L631,IF(AND(ISNUMBER(L631),L631&gt;MIN($L$2:$L$1001),COUNTIF($L$2:$L$1001,L631-1)=0,COUNTIF($L$2:$L$1001,L631-2)&lt;2),"⚠ Missing serial "&amp;(L631-1),IF(AND(MAX(K$1:K630)&gt;0,N(K631)-MAX(K$1:K630)&gt;180),"⚠ Gap &gt; 3h",IF(C631-I631&gt;=0.99,"next day",IF(C631-I631&gt;0.4,"12h → 24h","")))))))))))</f>
        <v/>
      </c>
      <c r="H631" s="4" t="str">
        <f t="shared" si="45"/>
        <v/>
      </c>
      <c r="I631" s="5" t="str">
        <f t="shared" si="46"/>
        <v/>
      </c>
      <c r="J631" s="6">
        <f t="shared" si="47"/>
        <v>0</v>
      </c>
      <c r="K631" s="4" t="str">
        <f t="shared" si="48"/>
        <v/>
      </c>
      <c r="L631" s="4" t="str">
        <f t="shared" si="49"/>
        <v/>
      </c>
      <c r="M631" s="4" t="b" cm="1">
        <f t="array" ref="M631">IF(H631="",FALSE,SUMPRODUCT(--(H$1:H630=H631))&gt;0)</f>
        <v>0</v>
      </c>
    </row>
    <row r="632" spans="1:13" x14ac:dyDescent="0.25">
      <c r="A632" s="9" t="str">
        <f>IF(OR(B632="",M632,G632="— ignored"),"",MAX(A$1:A631)+1)</f>
        <v/>
      </c>
      <c r="B632" s="10"/>
      <c r="C632" s="11" t="str">
        <f>IF(I632="","",ROUND((I632+0.5*MAX(0,CEILING(ROUND((MAX(C$1:C631)-1/48-I632)/0.5,6),1)))*1440,0)/1440)</f>
        <v/>
      </c>
      <c r="D632" s="9" t="str" cm="1">
        <f t="array" ref="D632">IF(H632="","",IFERROR(INDEX(Log!$C$19:$G$19,VALUE(MID(H632,FIND("#",H632)+1,1))),""))</f>
        <v/>
      </c>
      <c r="E632" s="9" t="str" cm="1">
        <f t="array" ref="E632">IF(OR(H632="",M632),"",IFERROR(_xlfn.LET(_xlpm.t,SUBSTITUTE(UPPER(H632),"م","M"),_xlpm.u,SUBSTITUTE(_xlpm.t,"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32" s="12"/>
      <c r="G632" s="13" t="str">
        <f>IF(B632="","",IF(M632,"⚠ Duplicate (not counted)",IF(AND(I632="",D632="",E632=""),"— ignored",IF(C632="","⚠ Time",IF(D632="","⚠ Plant",IF(E632="","⚠ Quantity",IF(AND(ISNUMBER(L632),COUNTIF(L$1:L631,L632)&gt;0),"⚠ Same serial "&amp;L632,IF(AND(ISNUMBER(L632),L632&gt;MIN($L$2:$L$1001),COUNTIF($L$2:$L$1001,L632-1)=0,COUNTIF($L$2:$L$1001,L632-2)&lt;2),"⚠ Missing serial "&amp;(L632-1),IF(AND(MAX(K$1:K631)&gt;0,N(K632)-MAX(K$1:K631)&gt;180),"⚠ Gap &gt; 3h",IF(C632-I632&gt;=0.99,"next day",IF(C632-I632&gt;0.4,"12h → 24h","")))))))))))</f>
        <v/>
      </c>
      <c r="H632" s="4" t="str">
        <f t="shared" si="45"/>
        <v/>
      </c>
      <c r="I632" s="5" t="str">
        <f t="shared" si="46"/>
        <v/>
      </c>
      <c r="J632" s="6">
        <f t="shared" si="47"/>
        <v>0</v>
      </c>
      <c r="K632" s="4" t="str">
        <f t="shared" si="48"/>
        <v/>
      </c>
      <c r="L632" s="4" t="str">
        <f t="shared" si="49"/>
        <v/>
      </c>
      <c r="M632" s="4" t="b" cm="1">
        <f t="array" ref="M632">IF(H632="",FALSE,SUMPRODUCT(--(H$1:H631=H632))&gt;0)</f>
        <v>0</v>
      </c>
    </row>
    <row r="633" spans="1:13" x14ac:dyDescent="0.25">
      <c r="A633" s="9" t="str">
        <f>IF(OR(B633="",M633,G633="— ignored"),"",MAX(A$1:A632)+1)</f>
        <v/>
      </c>
      <c r="B633" s="10"/>
      <c r="C633" s="11" t="str">
        <f>IF(I633="","",ROUND((I633+0.5*MAX(0,CEILING(ROUND((MAX(C$1:C632)-1/48-I633)/0.5,6),1)))*1440,0)/1440)</f>
        <v/>
      </c>
      <c r="D633" s="9" t="str" cm="1">
        <f t="array" ref="D633">IF(H633="","",IFERROR(INDEX(Log!$C$19:$G$19,VALUE(MID(H633,FIND("#",H633)+1,1))),""))</f>
        <v/>
      </c>
      <c r="E633" s="9" t="str" cm="1">
        <f t="array" ref="E633">IF(OR(H633="",M633),"",IFERROR(_xlfn.LET(_xlpm.t,SUBSTITUTE(UPPER(H633),"م","M"),_xlpm.u,SUBSTITUTE(_xlpm.t,"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33" s="12"/>
      <c r="G633" s="13" t="str">
        <f>IF(B633="","",IF(M633,"⚠ Duplicate (not counted)",IF(AND(I633="",D633="",E633=""),"— ignored",IF(C633="","⚠ Time",IF(D633="","⚠ Plant",IF(E633="","⚠ Quantity",IF(AND(ISNUMBER(L633),COUNTIF(L$1:L632,L633)&gt;0),"⚠ Same serial "&amp;L633,IF(AND(ISNUMBER(L633),L633&gt;MIN($L$2:$L$1001),COUNTIF($L$2:$L$1001,L633-1)=0,COUNTIF($L$2:$L$1001,L633-2)&lt;2),"⚠ Missing serial "&amp;(L633-1),IF(AND(MAX(K$1:K632)&gt;0,N(K633)-MAX(K$1:K632)&gt;180),"⚠ Gap &gt; 3h",IF(C633-I633&gt;=0.99,"next day",IF(C633-I633&gt;0.4,"12h → 24h","")))))))))))</f>
        <v/>
      </c>
      <c r="H633" s="4" t="str">
        <f t="shared" si="45"/>
        <v/>
      </c>
      <c r="I633" s="5" t="str">
        <f t="shared" si="46"/>
        <v/>
      </c>
      <c r="J633" s="6">
        <f t="shared" si="47"/>
        <v>0</v>
      </c>
      <c r="K633" s="4" t="str">
        <f t="shared" si="48"/>
        <v/>
      </c>
      <c r="L633" s="4" t="str">
        <f t="shared" si="49"/>
        <v/>
      </c>
      <c r="M633" s="4" t="b" cm="1">
        <f t="array" ref="M633">IF(H633="",FALSE,SUMPRODUCT(--(H$1:H632=H633))&gt;0)</f>
        <v>0</v>
      </c>
    </row>
    <row r="634" spans="1:13" x14ac:dyDescent="0.25">
      <c r="A634" s="9" t="str">
        <f>IF(OR(B634="",M634,G634="— ignored"),"",MAX(A$1:A633)+1)</f>
        <v/>
      </c>
      <c r="B634" s="10"/>
      <c r="C634" s="11" t="str">
        <f>IF(I634="","",ROUND((I634+0.5*MAX(0,CEILING(ROUND((MAX(C$1:C633)-1/48-I634)/0.5,6),1)))*1440,0)/1440)</f>
        <v/>
      </c>
      <c r="D634" s="9" t="str" cm="1">
        <f t="array" ref="D634">IF(H634="","",IFERROR(INDEX(Log!$C$19:$G$19,VALUE(MID(H634,FIND("#",H634)+1,1))),""))</f>
        <v/>
      </c>
      <c r="E634" s="9" t="str" cm="1">
        <f t="array" ref="E634">IF(OR(H634="",M634),"",IFERROR(_xlfn.LET(_xlpm.t,SUBSTITUTE(UPPER(H634),"م","M"),_xlpm.u,SUBSTITUTE(_xlpm.t,"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34" s="12"/>
      <c r="G634" s="13" t="str">
        <f>IF(B634="","",IF(M634,"⚠ Duplicate (not counted)",IF(AND(I634="",D634="",E634=""),"— ignored",IF(C634="","⚠ Time",IF(D634="","⚠ Plant",IF(E634="","⚠ Quantity",IF(AND(ISNUMBER(L634),COUNTIF(L$1:L633,L634)&gt;0),"⚠ Same serial "&amp;L634,IF(AND(ISNUMBER(L634),L634&gt;MIN($L$2:$L$1001),COUNTIF($L$2:$L$1001,L634-1)=0,COUNTIF($L$2:$L$1001,L634-2)&lt;2),"⚠ Missing serial "&amp;(L634-1),IF(AND(MAX(K$1:K633)&gt;0,N(K634)-MAX(K$1:K633)&gt;180),"⚠ Gap &gt; 3h",IF(C634-I634&gt;=0.99,"next day",IF(C634-I634&gt;0.4,"12h → 24h","")))))))))))</f>
        <v/>
      </c>
      <c r="H634" s="4" t="str">
        <f t="shared" si="45"/>
        <v/>
      </c>
      <c r="I634" s="5" t="str">
        <f t="shared" si="46"/>
        <v/>
      </c>
      <c r="J634" s="6">
        <f t="shared" si="47"/>
        <v>0</v>
      </c>
      <c r="K634" s="4" t="str">
        <f t="shared" si="48"/>
        <v/>
      </c>
      <c r="L634" s="4" t="str">
        <f t="shared" si="49"/>
        <v/>
      </c>
      <c r="M634" s="4" t="b" cm="1">
        <f t="array" ref="M634">IF(H634="",FALSE,SUMPRODUCT(--(H$1:H633=H634))&gt;0)</f>
        <v>0</v>
      </c>
    </row>
    <row r="635" spans="1:13" x14ac:dyDescent="0.25">
      <c r="A635" s="9" t="str">
        <f>IF(OR(B635="",M635,G635="— ignored"),"",MAX(A$1:A634)+1)</f>
        <v/>
      </c>
      <c r="B635" s="10"/>
      <c r="C635" s="11" t="str">
        <f>IF(I635="","",ROUND((I635+0.5*MAX(0,CEILING(ROUND((MAX(C$1:C634)-1/48-I635)/0.5,6),1)))*1440,0)/1440)</f>
        <v/>
      </c>
      <c r="D635" s="9" t="str" cm="1">
        <f t="array" ref="D635">IF(H635="","",IFERROR(INDEX(Log!$C$19:$G$19,VALUE(MID(H635,FIND("#",H635)+1,1))),""))</f>
        <v/>
      </c>
      <c r="E635" s="9" t="str" cm="1">
        <f t="array" ref="E635">IF(OR(H635="",M635),"",IFERROR(_xlfn.LET(_xlpm.t,SUBSTITUTE(UPPER(H635),"م","M"),_xlpm.u,SUBSTITUTE(_xlpm.t,"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35" s="12"/>
      <c r="G635" s="13" t="str">
        <f>IF(B635="","",IF(M635,"⚠ Duplicate (not counted)",IF(AND(I635="",D635="",E635=""),"— ignored",IF(C635="","⚠ Time",IF(D635="","⚠ Plant",IF(E635="","⚠ Quantity",IF(AND(ISNUMBER(L635),COUNTIF(L$1:L634,L635)&gt;0),"⚠ Same serial "&amp;L635,IF(AND(ISNUMBER(L635),L635&gt;MIN($L$2:$L$1001),COUNTIF($L$2:$L$1001,L635-1)=0,COUNTIF($L$2:$L$1001,L635-2)&lt;2),"⚠ Missing serial "&amp;(L635-1),IF(AND(MAX(K$1:K634)&gt;0,N(K635)-MAX(K$1:K634)&gt;180),"⚠ Gap &gt; 3h",IF(C635-I635&gt;=0.99,"next day",IF(C635-I635&gt;0.4,"12h → 24h","")))))))))))</f>
        <v/>
      </c>
      <c r="H635" s="4" t="str">
        <f t="shared" si="45"/>
        <v/>
      </c>
      <c r="I635" s="5" t="str">
        <f t="shared" si="46"/>
        <v/>
      </c>
      <c r="J635" s="6">
        <f t="shared" si="47"/>
        <v>0</v>
      </c>
      <c r="K635" s="4" t="str">
        <f t="shared" si="48"/>
        <v/>
      </c>
      <c r="L635" s="4" t="str">
        <f t="shared" si="49"/>
        <v/>
      </c>
      <c r="M635" s="4" t="b" cm="1">
        <f t="array" ref="M635">IF(H635="",FALSE,SUMPRODUCT(--(H$1:H634=H635))&gt;0)</f>
        <v>0</v>
      </c>
    </row>
    <row r="636" spans="1:13" x14ac:dyDescent="0.25">
      <c r="A636" s="9" t="str">
        <f>IF(OR(B636="",M636,G636="— ignored"),"",MAX(A$1:A635)+1)</f>
        <v/>
      </c>
      <c r="B636" s="10"/>
      <c r="C636" s="11" t="str">
        <f>IF(I636="","",ROUND((I636+0.5*MAX(0,CEILING(ROUND((MAX(C$1:C635)-1/48-I636)/0.5,6),1)))*1440,0)/1440)</f>
        <v/>
      </c>
      <c r="D636" s="9" t="str" cm="1">
        <f t="array" ref="D636">IF(H636="","",IFERROR(INDEX(Log!$C$19:$G$19,VALUE(MID(H636,FIND("#",H636)+1,1))),""))</f>
        <v/>
      </c>
      <c r="E636" s="9" t="str" cm="1">
        <f t="array" ref="E636">IF(OR(H636="",M636),"",IFERROR(_xlfn.LET(_xlpm.t,SUBSTITUTE(UPPER(H636),"م","M"),_xlpm.u,SUBSTITUTE(_xlpm.t,"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36" s="12"/>
      <c r="G636" s="13" t="str">
        <f>IF(B636="","",IF(M636,"⚠ Duplicate (not counted)",IF(AND(I636="",D636="",E636=""),"— ignored",IF(C636="","⚠ Time",IF(D636="","⚠ Plant",IF(E636="","⚠ Quantity",IF(AND(ISNUMBER(L636),COUNTIF(L$1:L635,L636)&gt;0),"⚠ Same serial "&amp;L636,IF(AND(ISNUMBER(L636),L636&gt;MIN($L$2:$L$1001),COUNTIF($L$2:$L$1001,L636-1)=0,COUNTIF($L$2:$L$1001,L636-2)&lt;2),"⚠ Missing serial "&amp;(L636-1),IF(AND(MAX(K$1:K635)&gt;0,N(K636)-MAX(K$1:K635)&gt;180),"⚠ Gap &gt; 3h",IF(C636-I636&gt;=0.99,"next day",IF(C636-I636&gt;0.4,"12h → 24h","")))))))))))</f>
        <v/>
      </c>
      <c r="H636" s="4" t="str">
        <f t="shared" si="45"/>
        <v/>
      </c>
      <c r="I636" s="5" t="str">
        <f t="shared" si="46"/>
        <v/>
      </c>
      <c r="J636" s="6">
        <f t="shared" si="47"/>
        <v>0</v>
      </c>
      <c r="K636" s="4" t="str">
        <f t="shared" si="48"/>
        <v/>
      </c>
      <c r="L636" s="4" t="str">
        <f t="shared" si="49"/>
        <v/>
      </c>
      <c r="M636" s="4" t="b" cm="1">
        <f t="array" ref="M636">IF(H636="",FALSE,SUMPRODUCT(--(H$1:H635=H636))&gt;0)</f>
        <v>0</v>
      </c>
    </row>
    <row r="637" spans="1:13" x14ac:dyDescent="0.25">
      <c r="A637" s="9" t="str">
        <f>IF(OR(B637="",M637,G637="— ignored"),"",MAX(A$1:A636)+1)</f>
        <v/>
      </c>
      <c r="B637" s="10"/>
      <c r="C637" s="11" t="str">
        <f>IF(I637="","",ROUND((I637+0.5*MAX(0,CEILING(ROUND((MAX(C$1:C636)-1/48-I637)/0.5,6),1)))*1440,0)/1440)</f>
        <v/>
      </c>
      <c r="D637" s="9" t="str" cm="1">
        <f t="array" ref="D637">IF(H637="","",IFERROR(INDEX(Log!$C$19:$G$19,VALUE(MID(H637,FIND("#",H637)+1,1))),""))</f>
        <v/>
      </c>
      <c r="E637" s="9" t="str" cm="1">
        <f t="array" ref="E637">IF(OR(H637="",M637),"",IFERROR(_xlfn.LET(_xlpm.t,SUBSTITUTE(UPPER(H637),"م","M"),_xlpm.u,SUBSTITUTE(_xlpm.t,"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37" s="12"/>
      <c r="G637" s="13" t="str">
        <f>IF(B637="","",IF(M637,"⚠ Duplicate (not counted)",IF(AND(I637="",D637="",E637=""),"— ignored",IF(C637="","⚠ Time",IF(D637="","⚠ Plant",IF(E637="","⚠ Quantity",IF(AND(ISNUMBER(L637),COUNTIF(L$1:L636,L637)&gt;0),"⚠ Same serial "&amp;L637,IF(AND(ISNUMBER(L637),L637&gt;MIN($L$2:$L$1001),COUNTIF($L$2:$L$1001,L637-1)=0,COUNTIF($L$2:$L$1001,L637-2)&lt;2),"⚠ Missing serial "&amp;(L637-1),IF(AND(MAX(K$1:K636)&gt;0,N(K637)-MAX(K$1:K636)&gt;180),"⚠ Gap &gt; 3h",IF(C637-I637&gt;=0.99,"next day",IF(C637-I637&gt;0.4,"12h → 24h","")))))))))))</f>
        <v/>
      </c>
      <c r="H637" s="4" t="str">
        <f t="shared" si="45"/>
        <v/>
      </c>
      <c r="I637" s="5" t="str">
        <f t="shared" si="46"/>
        <v/>
      </c>
      <c r="J637" s="6">
        <f t="shared" si="47"/>
        <v>0</v>
      </c>
      <c r="K637" s="4" t="str">
        <f t="shared" si="48"/>
        <v/>
      </c>
      <c r="L637" s="4" t="str">
        <f t="shared" si="49"/>
        <v/>
      </c>
      <c r="M637" s="4" t="b" cm="1">
        <f t="array" ref="M637">IF(H637="",FALSE,SUMPRODUCT(--(H$1:H636=H637))&gt;0)</f>
        <v>0</v>
      </c>
    </row>
    <row r="638" spans="1:13" x14ac:dyDescent="0.25">
      <c r="A638" s="9" t="str">
        <f>IF(OR(B638="",M638,G638="— ignored"),"",MAX(A$1:A637)+1)</f>
        <v/>
      </c>
      <c r="B638" s="10"/>
      <c r="C638" s="11" t="str">
        <f>IF(I638="","",ROUND((I638+0.5*MAX(0,CEILING(ROUND((MAX(C$1:C637)-1/48-I638)/0.5,6),1)))*1440,0)/1440)</f>
        <v/>
      </c>
      <c r="D638" s="9" t="str" cm="1">
        <f t="array" ref="D638">IF(H638="","",IFERROR(INDEX(Log!$C$19:$G$19,VALUE(MID(H638,FIND("#",H638)+1,1))),""))</f>
        <v/>
      </c>
      <c r="E638" s="9" t="str" cm="1">
        <f t="array" ref="E638">IF(OR(H638="",M638),"",IFERROR(_xlfn.LET(_xlpm.t,SUBSTITUTE(UPPER(H638),"م","M"),_xlpm.u,SUBSTITUTE(_xlpm.t,"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38" s="12"/>
      <c r="G638" s="13" t="str">
        <f>IF(B638="","",IF(M638,"⚠ Duplicate (not counted)",IF(AND(I638="",D638="",E638=""),"— ignored",IF(C638="","⚠ Time",IF(D638="","⚠ Plant",IF(E638="","⚠ Quantity",IF(AND(ISNUMBER(L638),COUNTIF(L$1:L637,L638)&gt;0),"⚠ Same serial "&amp;L638,IF(AND(ISNUMBER(L638),L638&gt;MIN($L$2:$L$1001),COUNTIF($L$2:$L$1001,L638-1)=0,COUNTIF($L$2:$L$1001,L638-2)&lt;2),"⚠ Missing serial "&amp;(L638-1),IF(AND(MAX(K$1:K637)&gt;0,N(K638)-MAX(K$1:K637)&gt;180),"⚠ Gap &gt; 3h",IF(C638-I638&gt;=0.99,"next day",IF(C638-I638&gt;0.4,"12h → 24h","")))))))))))</f>
        <v/>
      </c>
      <c r="H638" s="4" t="str">
        <f t="shared" si="45"/>
        <v/>
      </c>
      <c r="I638" s="5" t="str">
        <f t="shared" si="46"/>
        <v/>
      </c>
      <c r="J638" s="6">
        <f t="shared" si="47"/>
        <v>0</v>
      </c>
      <c r="K638" s="4" t="str">
        <f t="shared" si="48"/>
        <v/>
      </c>
      <c r="L638" s="4" t="str">
        <f t="shared" si="49"/>
        <v/>
      </c>
      <c r="M638" s="4" t="b" cm="1">
        <f t="array" ref="M638">IF(H638="",FALSE,SUMPRODUCT(--(H$1:H637=H638))&gt;0)</f>
        <v>0</v>
      </c>
    </row>
    <row r="639" spans="1:13" x14ac:dyDescent="0.25">
      <c r="A639" s="9" t="str">
        <f>IF(OR(B639="",M639,G639="— ignored"),"",MAX(A$1:A638)+1)</f>
        <v/>
      </c>
      <c r="B639" s="10"/>
      <c r="C639" s="11" t="str">
        <f>IF(I639="","",ROUND((I639+0.5*MAX(0,CEILING(ROUND((MAX(C$1:C638)-1/48-I639)/0.5,6),1)))*1440,0)/1440)</f>
        <v/>
      </c>
      <c r="D639" s="9" t="str" cm="1">
        <f t="array" ref="D639">IF(H639="","",IFERROR(INDEX(Log!$C$19:$G$19,VALUE(MID(H639,FIND("#",H639)+1,1))),""))</f>
        <v/>
      </c>
      <c r="E639" s="9" t="str" cm="1">
        <f t="array" ref="E639">IF(OR(H639="",M639),"",IFERROR(_xlfn.LET(_xlpm.t,SUBSTITUTE(UPPER(H639),"م","M"),_xlpm.u,SUBSTITUTE(_xlpm.t,"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39" s="12"/>
      <c r="G639" s="13" t="str">
        <f>IF(B639="","",IF(M639,"⚠ Duplicate (not counted)",IF(AND(I639="",D639="",E639=""),"— ignored",IF(C639="","⚠ Time",IF(D639="","⚠ Plant",IF(E639="","⚠ Quantity",IF(AND(ISNUMBER(L639),COUNTIF(L$1:L638,L639)&gt;0),"⚠ Same serial "&amp;L639,IF(AND(ISNUMBER(L639),L639&gt;MIN($L$2:$L$1001),COUNTIF($L$2:$L$1001,L639-1)=0,COUNTIF($L$2:$L$1001,L639-2)&lt;2),"⚠ Missing serial "&amp;(L639-1),IF(AND(MAX(K$1:K638)&gt;0,N(K639)-MAX(K$1:K638)&gt;180),"⚠ Gap &gt; 3h",IF(C639-I639&gt;=0.99,"next day",IF(C639-I639&gt;0.4,"12h → 24h","")))))))))))</f>
        <v/>
      </c>
      <c r="H639" s="4" t="str">
        <f t="shared" si="45"/>
        <v/>
      </c>
      <c r="I639" s="5" t="str">
        <f t="shared" si="46"/>
        <v/>
      </c>
      <c r="J639" s="6">
        <f t="shared" si="47"/>
        <v>0</v>
      </c>
      <c r="K639" s="4" t="str">
        <f t="shared" si="48"/>
        <v/>
      </c>
      <c r="L639" s="4" t="str">
        <f t="shared" si="49"/>
        <v/>
      </c>
      <c r="M639" s="4" t="b" cm="1">
        <f t="array" ref="M639">IF(H639="",FALSE,SUMPRODUCT(--(H$1:H638=H639))&gt;0)</f>
        <v>0</v>
      </c>
    </row>
    <row r="640" spans="1:13" x14ac:dyDescent="0.25">
      <c r="A640" s="9" t="str">
        <f>IF(OR(B640="",M640,G640="— ignored"),"",MAX(A$1:A639)+1)</f>
        <v/>
      </c>
      <c r="B640" s="10"/>
      <c r="C640" s="11" t="str">
        <f>IF(I640="","",ROUND((I640+0.5*MAX(0,CEILING(ROUND((MAX(C$1:C639)-1/48-I640)/0.5,6),1)))*1440,0)/1440)</f>
        <v/>
      </c>
      <c r="D640" s="9" t="str" cm="1">
        <f t="array" ref="D640">IF(H640="","",IFERROR(INDEX(Log!$C$19:$G$19,VALUE(MID(H640,FIND("#",H640)+1,1))),""))</f>
        <v/>
      </c>
      <c r="E640" s="9" t="str" cm="1">
        <f t="array" ref="E640">IF(OR(H640="",M640),"",IFERROR(_xlfn.LET(_xlpm.t,SUBSTITUTE(UPPER(H640),"م","M"),_xlpm.u,SUBSTITUTE(_xlpm.t,"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40" s="12"/>
      <c r="G640" s="13" t="str">
        <f>IF(B640="","",IF(M640,"⚠ Duplicate (not counted)",IF(AND(I640="",D640="",E640=""),"— ignored",IF(C640="","⚠ Time",IF(D640="","⚠ Plant",IF(E640="","⚠ Quantity",IF(AND(ISNUMBER(L640),COUNTIF(L$1:L639,L640)&gt;0),"⚠ Same serial "&amp;L640,IF(AND(ISNUMBER(L640),L640&gt;MIN($L$2:$L$1001),COUNTIF($L$2:$L$1001,L640-1)=0,COUNTIF($L$2:$L$1001,L640-2)&lt;2),"⚠ Missing serial "&amp;(L640-1),IF(AND(MAX(K$1:K639)&gt;0,N(K640)-MAX(K$1:K639)&gt;180),"⚠ Gap &gt; 3h",IF(C640-I640&gt;=0.99,"next day",IF(C640-I640&gt;0.4,"12h → 24h","")))))))))))</f>
        <v/>
      </c>
      <c r="H640" s="4" t="str">
        <f t="shared" si="45"/>
        <v/>
      </c>
      <c r="I640" s="5" t="str">
        <f t="shared" si="46"/>
        <v/>
      </c>
      <c r="J640" s="6">
        <f t="shared" si="47"/>
        <v>0</v>
      </c>
      <c r="K640" s="4" t="str">
        <f t="shared" si="48"/>
        <v/>
      </c>
      <c r="L640" s="4" t="str">
        <f t="shared" si="49"/>
        <v/>
      </c>
      <c r="M640" s="4" t="b" cm="1">
        <f t="array" ref="M640">IF(H640="",FALSE,SUMPRODUCT(--(H$1:H639=H640))&gt;0)</f>
        <v>0</v>
      </c>
    </row>
    <row r="641" spans="1:13" x14ac:dyDescent="0.25">
      <c r="A641" s="9" t="str">
        <f>IF(OR(B641="",M641,G641="— ignored"),"",MAX(A$1:A640)+1)</f>
        <v/>
      </c>
      <c r="B641" s="10"/>
      <c r="C641" s="11" t="str">
        <f>IF(I641="","",ROUND((I641+0.5*MAX(0,CEILING(ROUND((MAX(C$1:C640)-1/48-I641)/0.5,6),1)))*1440,0)/1440)</f>
        <v/>
      </c>
      <c r="D641" s="9" t="str" cm="1">
        <f t="array" ref="D641">IF(H641="","",IFERROR(INDEX(Log!$C$19:$G$19,VALUE(MID(H641,FIND("#",H641)+1,1))),""))</f>
        <v/>
      </c>
      <c r="E641" s="9" t="str" cm="1">
        <f t="array" ref="E641">IF(OR(H641="",M641),"",IFERROR(_xlfn.LET(_xlpm.t,SUBSTITUTE(UPPER(H641),"م","M"),_xlpm.u,SUBSTITUTE(_xlpm.t,"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41" s="12"/>
      <c r="G641" s="13" t="str">
        <f>IF(B641="","",IF(M641,"⚠ Duplicate (not counted)",IF(AND(I641="",D641="",E641=""),"— ignored",IF(C641="","⚠ Time",IF(D641="","⚠ Plant",IF(E641="","⚠ Quantity",IF(AND(ISNUMBER(L641),COUNTIF(L$1:L640,L641)&gt;0),"⚠ Same serial "&amp;L641,IF(AND(ISNUMBER(L641),L641&gt;MIN($L$2:$L$1001),COUNTIF($L$2:$L$1001,L641-1)=0,COUNTIF($L$2:$L$1001,L641-2)&lt;2),"⚠ Missing serial "&amp;(L641-1),IF(AND(MAX(K$1:K640)&gt;0,N(K641)-MAX(K$1:K640)&gt;180),"⚠ Gap &gt; 3h",IF(C641-I641&gt;=0.99,"next day",IF(C641-I641&gt;0.4,"12h → 24h","")))))))))))</f>
        <v/>
      </c>
      <c r="H641" s="4" t="str">
        <f t="shared" si="45"/>
        <v/>
      </c>
      <c r="I641" s="5" t="str">
        <f t="shared" si="46"/>
        <v/>
      </c>
      <c r="J641" s="6">
        <f t="shared" si="47"/>
        <v>0</v>
      </c>
      <c r="K641" s="4" t="str">
        <f t="shared" si="48"/>
        <v/>
      </c>
      <c r="L641" s="4" t="str">
        <f t="shared" si="49"/>
        <v/>
      </c>
      <c r="M641" s="4" t="b" cm="1">
        <f t="array" ref="M641">IF(H641="",FALSE,SUMPRODUCT(--(H$1:H640=H641))&gt;0)</f>
        <v>0</v>
      </c>
    </row>
    <row r="642" spans="1:13" x14ac:dyDescent="0.25">
      <c r="A642" s="9" t="str">
        <f>IF(OR(B642="",M642,G642="— ignored"),"",MAX(A$1:A641)+1)</f>
        <v/>
      </c>
      <c r="B642" s="10"/>
      <c r="C642" s="11" t="str">
        <f>IF(I642="","",ROUND((I642+0.5*MAX(0,CEILING(ROUND((MAX(C$1:C641)-1/48-I642)/0.5,6),1)))*1440,0)/1440)</f>
        <v/>
      </c>
      <c r="D642" s="9" t="str" cm="1">
        <f t="array" ref="D642">IF(H642="","",IFERROR(INDEX(Log!$C$19:$G$19,VALUE(MID(H642,FIND("#",H642)+1,1))),""))</f>
        <v/>
      </c>
      <c r="E642" s="9" t="str" cm="1">
        <f t="array" ref="E642">IF(OR(H642="",M642),"",IFERROR(_xlfn.LET(_xlpm.t,SUBSTITUTE(UPPER(H642),"م","M"),_xlpm.u,SUBSTITUTE(_xlpm.t,"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42" s="12"/>
      <c r="G642" s="13" t="str">
        <f>IF(B642="","",IF(M642,"⚠ Duplicate (not counted)",IF(AND(I642="",D642="",E642=""),"— ignored",IF(C642="","⚠ Time",IF(D642="","⚠ Plant",IF(E642="","⚠ Quantity",IF(AND(ISNUMBER(L642),COUNTIF(L$1:L641,L642)&gt;0),"⚠ Same serial "&amp;L642,IF(AND(ISNUMBER(L642),L642&gt;MIN($L$2:$L$1001),COUNTIF($L$2:$L$1001,L642-1)=0,COUNTIF($L$2:$L$1001,L642-2)&lt;2),"⚠ Missing serial "&amp;(L642-1),IF(AND(MAX(K$1:K641)&gt;0,N(K642)-MAX(K$1:K641)&gt;180),"⚠ Gap &gt; 3h",IF(C642-I642&gt;=0.99,"next day",IF(C642-I642&gt;0.4,"12h → 24h","")))))))))))</f>
        <v/>
      </c>
      <c r="H642" s="4" t="str">
        <f t="shared" ref="H642:H705" si="50">IF(B642="","",_xlfn.LET(_xlpm.t,TRIM(B642),IF(LEFT(_xlpm.t,1)="[",IFERROR(TRIM(MID(_xlpm.t,FIND(": ",_xlpm.t,FIND("]",_xlpm.t))+2,500)),_xlpm.t),_xlpm.t)))</f>
        <v/>
      </c>
      <c r="I642" s="5" t="str">
        <f t="shared" ref="I642:I705" si="51">IF(H642="","",IFERROR(TIMEVALUE(TRIM(SUBSTITUTE(SUBSTITUTE(MID(H642,SEARCH(":",H642)-2,5),".",""),"*",""))),""))</f>
        <v/>
      </c>
      <c r="J642" s="6">
        <f t="shared" ref="J642:J705" si="52">IF(OR(B642="",F642="",M642),0,IF(ISNUMBER(F642),F642,N(E642)))</f>
        <v>0</v>
      </c>
      <c r="K642" s="4" t="str">
        <f t="shared" ref="K642:K705" si="53">IF(OR(C642="",M642),"",ROUND(C642*1440,0))</f>
        <v/>
      </c>
      <c r="L642" s="4" t="str">
        <f t="shared" ref="L642:L705" si="54">IF(OR(H642="",AND(I642="",D642="")),"",IFERROR(_xlfn.LET(_xlpm.t,TRIM(SUBSTITUTE(SUBSTITUTE(H642,"*",""),"_","")),VALUE(SUBSTITUTE(LEFT(_xlpm.t,FIND(" ",_xlpm.t&amp;" ")-1),".",""))),""))</f>
        <v/>
      </c>
      <c r="M642" s="4" t="b" cm="1">
        <f t="array" ref="M642">IF(H642="",FALSE,SUMPRODUCT(--(H$1:H641=H642))&gt;0)</f>
        <v>0</v>
      </c>
    </row>
    <row r="643" spans="1:13" x14ac:dyDescent="0.25">
      <c r="A643" s="9" t="str">
        <f>IF(OR(B643="",M643,G643="— ignored"),"",MAX(A$1:A642)+1)</f>
        <v/>
      </c>
      <c r="B643" s="10"/>
      <c r="C643" s="11" t="str">
        <f>IF(I643="","",ROUND((I643+0.5*MAX(0,CEILING(ROUND((MAX(C$1:C642)-1/48-I643)/0.5,6),1)))*1440,0)/1440)</f>
        <v/>
      </c>
      <c r="D643" s="9" t="str" cm="1">
        <f t="array" ref="D643">IF(H643="","",IFERROR(INDEX(Log!$C$19:$G$19,VALUE(MID(H643,FIND("#",H643)+1,1))),""))</f>
        <v/>
      </c>
      <c r="E643" s="9" t="str" cm="1">
        <f t="array" ref="E643">IF(OR(H643="",M643),"",IFERROR(_xlfn.LET(_xlpm.t,SUBSTITUTE(UPPER(H643),"م","M"),_xlpm.u,SUBSTITUTE(_xlpm.t,"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43" s="12"/>
      <c r="G643" s="13" t="str">
        <f>IF(B643="","",IF(M643,"⚠ Duplicate (not counted)",IF(AND(I643="",D643="",E643=""),"— ignored",IF(C643="","⚠ Time",IF(D643="","⚠ Plant",IF(E643="","⚠ Quantity",IF(AND(ISNUMBER(L643),COUNTIF(L$1:L642,L643)&gt;0),"⚠ Same serial "&amp;L643,IF(AND(ISNUMBER(L643),L643&gt;MIN($L$2:$L$1001),COUNTIF($L$2:$L$1001,L643-1)=0,COUNTIF($L$2:$L$1001,L643-2)&lt;2),"⚠ Missing serial "&amp;(L643-1),IF(AND(MAX(K$1:K642)&gt;0,N(K643)-MAX(K$1:K642)&gt;180),"⚠ Gap &gt; 3h",IF(C643-I643&gt;=0.99,"next day",IF(C643-I643&gt;0.4,"12h → 24h","")))))))))))</f>
        <v/>
      </c>
      <c r="H643" s="4" t="str">
        <f t="shared" si="50"/>
        <v/>
      </c>
      <c r="I643" s="5" t="str">
        <f t="shared" si="51"/>
        <v/>
      </c>
      <c r="J643" s="6">
        <f t="shared" si="52"/>
        <v>0</v>
      </c>
      <c r="K643" s="4" t="str">
        <f t="shared" si="53"/>
        <v/>
      </c>
      <c r="L643" s="4" t="str">
        <f t="shared" si="54"/>
        <v/>
      </c>
      <c r="M643" s="4" t="b" cm="1">
        <f t="array" ref="M643">IF(H643="",FALSE,SUMPRODUCT(--(H$1:H642=H643))&gt;0)</f>
        <v>0</v>
      </c>
    </row>
    <row r="644" spans="1:13" x14ac:dyDescent="0.25">
      <c r="A644" s="9" t="str">
        <f>IF(OR(B644="",M644,G644="— ignored"),"",MAX(A$1:A643)+1)</f>
        <v/>
      </c>
      <c r="B644" s="10"/>
      <c r="C644" s="11" t="str">
        <f>IF(I644="","",ROUND((I644+0.5*MAX(0,CEILING(ROUND((MAX(C$1:C643)-1/48-I644)/0.5,6),1)))*1440,0)/1440)</f>
        <v/>
      </c>
      <c r="D644" s="9" t="str" cm="1">
        <f t="array" ref="D644">IF(H644="","",IFERROR(INDEX(Log!$C$19:$G$19,VALUE(MID(H644,FIND("#",H644)+1,1))),""))</f>
        <v/>
      </c>
      <c r="E644" s="9" t="str" cm="1">
        <f t="array" ref="E644">IF(OR(H644="",M644),"",IFERROR(_xlfn.LET(_xlpm.t,SUBSTITUTE(UPPER(H644),"م","M"),_xlpm.u,SUBSTITUTE(_xlpm.t,"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44" s="12"/>
      <c r="G644" s="13" t="str">
        <f>IF(B644="","",IF(M644,"⚠ Duplicate (not counted)",IF(AND(I644="",D644="",E644=""),"— ignored",IF(C644="","⚠ Time",IF(D644="","⚠ Plant",IF(E644="","⚠ Quantity",IF(AND(ISNUMBER(L644),COUNTIF(L$1:L643,L644)&gt;0),"⚠ Same serial "&amp;L644,IF(AND(ISNUMBER(L644),L644&gt;MIN($L$2:$L$1001),COUNTIF($L$2:$L$1001,L644-1)=0,COUNTIF($L$2:$L$1001,L644-2)&lt;2),"⚠ Missing serial "&amp;(L644-1),IF(AND(MAX(K$1:K643)&gt;0,N(K644)-MAX(K$1:K643)&gt;180),"⚠ Gap &gt; 3h",IF(C644-I644&gt;=0.99,"next day",IF(C644-I644&gt;0.4,"12h → 24h","")))))))))))</f>
        <v/>
      </c>
      <c r="H644" s="4" t="str">
        <f t="shared" si="50"/>
        <v/>
      </c>
      <c r="I644" s="5" t="str">
        <f t="shared" si="51"/>
        <v/>
      </c>
      <c r="J644" s="6">
        <f t="shared" si="52"/>
        <v>0</v>
      </c>
      <c r="K644" s="4" t="str">
        <f t="shared" si="53"/>
        <v/>
      </c>
      <c r="L644" s="4" t="str">
        <f t="shared" si="54"/>
        <v/>
      </c>
      <c r="M644" s="4" t="b" cm="1">
        <f t="array" ref="M644">IF(H644="",FALSE,SUMPRODUCT(--(H$1:H643=H644))&gt;0)</f>
        <v>0</v>
      </c>
    </row>
    <row r="645" spans="1:13" x14ac:dyDescent="0.25">
      <c r="A645" s="9" t="str">
        <f>IF(OR(B645="",M645,G645="— ignored"),"",MAX(A$1:A644)+1)</f>
        <v/>
      </c>
      <c r="B645" s="10"/>
      <c r="C645" s="11" t="str">
        <f>IF(I645="","",ROUND((I645+0.5*MAX(0,CEILING(ROUND((MAX(C$1:C644)-1/48-I645)/0.5,6),1)))*1440,0)/1440)</f>
        <v/>
      </c>
      <c r="D645" s="9" t="str" cm="1">
        <f t="array" ref="D645">IF(H645="","",IFERROR(INDEX(Log!$C$19:$G$19,VALUE(MID(H645,FIND("#",H645)+1,1))),""))</f>
        <v/>
      </c>
      <c r="E645" s="9" t="str" cm="1">
        <f t="array" ref="E645">IF(OR(H645="",M645),"",IFERROR(_xlfn.LET(_xlpm.t,SUBSTITUTE(UPPER(H645),"م","M"),_xlpm.u,SUBSTITUTE(_xlpm.t,"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45" s="12"/>
      <c r="G645" s="13" t="str">
        <f>IF(B645="","",IF(M645,"⚠ Duplicate (not counted)",IF(AND(I645="",D645="",E645=""),"— ignored",IF(C645="","⚠ Time",IF(D645="","⚠ Plant",IF(E645="","⚠ Quantity",IF(AND(ISNUMBER(L645),COUNTIF(L$1:L644,L645)&gt;0),"⚠ Same serial "&amp;L645,IF(AND(ISNUMBER(L645),L645&gt;MIN($L$2:$L$1001),COUNTIF($L$2:$L$1001,L645-1)=0,COUNTIF($L$2:$L$1001,L645-2)&lt;2),"⚠ Missing serial "&amp;(L645-1),IF(AND(MAX(K$1:K644)&gt;0,N(K645)-MAX(K$1:K644)&gt;180),"⚠ Gap &gt; 3h",IF(C645-I645&gt;=0.99,"next day",IF(C645-I645&gt;0.4,"12h → 24h","")))))))))))</f>
        <v/>
      </c>
      <c r="H645" s="4" t="str">
        <f t="shared" si="50"/>
        <v/>
      </c>
      <c r="I645" s="5" t="str">
        <f t="shared" si="51"/>
        <v/>
      </c>
      <c r="J645" s="6">
        <f t="shared" si="52"/>
        <v>0</v>
      </c>
      <c r="K645" s="4" t="str">
        <f t="shared" si="53"/>
        <v/>
      </c>
      <c r="L645" s="4" t="str">
        <f t="shared" si="54"/>
        <v/>
      </c>
      <c r="M645" s="4" t="b" cm="1">
        <f t="array" ref="M645">IF(H645="",FALSE,SUMPRODUCT(--(H$1:H644=H645))&gt;0)</f>
        <v>0</v>
      </c>
    </row>
    <row r="646" spans="1:13" x14ac:dyDescent="0.25">
      <c r="A646" s="9" t="str">
        <f>IF(OR(B646="",M646,G646="— ignored"),"",MAX(A$1:A645)+1)</f>
        <v/>
      </c>
      <c r="B646" s="10"/>
      <c r="C646" s="11" t="str">
        <f>IF(I646="","",ROUND((I646+0.5*MAX(0,CEILING(ROUND((MAX(C$1:C645)-1/48-I646)/0.5,6),1)))*1440,0)/1440)</f>
        <v/>
      </c>
      <c r="D646" s="9" t="str" cm="1">
        <f t="array" ref="D646">IF(H646="","",IFERROR(INDEX(Log!$C$19:$G$19,VALUE(MID(H646,FIND("#",H646)+1,1))),""))</f>
        <v/>
      </c>
      <c r="E646" s="9" t="str" cm="1">
        <f t="array" ref="E646">IF(OR(H646="",M646),"",IFERROR(_xlfn.LET(_xlpm.t,SUBSTITUTE(UPPER(H646),"م","M"),_xlpm.u,SUBSTITUTE(_xlpm.t,"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46" s="12"/>
      <c r="G646" s="13" t="str">
        <f>IF(B646="","",IF(M646,"⚠ Duplicate (not counted)",IF(AND(I646="",D646="",E646=""),"— ignored",IF(C646="","⚠ Time",IF(D646="","⚠ Plant",IF(E646="","⚠ Quantity",IF(AND(ISNUMBER(L646),COUNTIF(L$1:L645,L646)&gt;0),"⚠ Same serial "&amp;L646,IF(AND(ISNUMBER(L646),L646&gt;MIN($L$2:$L$1001),COUNTIF($L$2:$L$1001,L646-1)=0,COUNTIF($L$2:$L$1001,L646-2)&lt;2),"⚠ Missing serial "&amp;(L646-1),IF(AND(MAX(K$1:K645)&gt;0,N(K646)-MAX(K$1:K645)&gt;180),"⚠ Gap &gt; 3h",IF(C646-I646&gt;=0.99,"next day",IF(C646-I646&gt;0.4,"12h → 24h","")))))))))))</f>
        <v/>
      </c>
      <c r="H646" s="4" t="str">
        <f t="shared" si="50"/>
        <v/>
      </c>
      <c r="I646" s="5" t="str">
        <f t="shared" si="51"/>
        <v/>
      </c>
      <c r="J646" s="6">
        <f t="shared" si="52"/>
        <v>0</v>
      </c>
      <c r="K646" s="4" t="str">
        <f t="shared" si="53"/>
        <v/>
      </c>
      <c r="L646" s="4" t="str">
        <f t="shared" si="54"/>
        <v/>
      </c>
      <c r="M646" s="4" t="b" cm="1">
        <f t="array" ref="M646">IF(H646="",FALSE,SUMPRODUCT(--(H$1:H645=H646))&gt;0)</f>
        <v>0</v>
      </c>
    </row>
    <row r="647" spans="1:13" x14ac:dyDescent="0.25">
      <c r="A647" s="9" t="str">
        <f>IF(OR(B647="",M647,G647="— ignored"),"",MAX(A$1:A646)+1)</f>
        <v/>
      </c>
      <c r="B647" s="10"/>
      <c r="C647" s="11" t="str">
        <f>IF(I647="","",ROUND((I647+0.5*MAX(0,CEILING(ROUND((MAX(C$1:C646)-1/48-I647)/0.5,6),1)))*1440,0)/1440)</f>
        <v/>
      </c>
      <c r="D647" s="9" t="str" cm="1">
        <f t="array" ref="D647">IF(H647="","",IFERROR(INDEX(Log!$C$19:$G$19,VALUE(MID(H647,FIND("#",H647)+1,1))),""))</f>
        <v/>
      </c>
      <c r="E647" s="9" t="str" cm="1">
        <f t="array" ref="E647">IF(OR(H647="",M647),"",IFERROR(_xlfn.LET(_xlpm.t,SUBSTITUTE(UPPER(H647),"م","M"),_xlpm.u,SUBSTITUTE(_xlpm.t,"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47" s="12"/>
      <c r="G647" s="13" t="str">
        <f>IF(B647="","",IF(M647,"⚠ Duplicate (not counted)",IF(AND(I647="",D647="",E647=""),"— ignored",IF(C647="","⚠ Time",IF(D647="","⚠ Plant",IF(E647="","⚠ Quantity",IF(AND(ISNUMBER(L647),COUNTIF(L$1:L646,L647)&gt;0),"⚠ Same serial "&amp;L647,IF(AND(ISNUMBER(L647),L647&gt;MIN($L$2:$L$1001),COUNTIF($L$2:$L$1001,L647-1)=0,COUNTIF($L$2:$L$1001,L647-2)&lt;2),"⚠ Missing serial "&amp;(L647-1),IF(AND(MAX(K$1:K646)&gt;0,N(K647)-MAX(K$1:K646)&gt;180),"⚠ Gap &gt; 3h",IF(C647-I647&gt;=0.99,"next day",IF(C647-I647&gt;0.4,"12h → 24h","")))))))))))</f>
        <v/>
      </c>
      <c r="H647" s="4" t="str">
        <f t="shared" si="50"/>
        <v/>
      </c>
      <c r="I647" s="5" t="str">
        <f t="shared" si="51"/>
        <v/>
      </c>
      <c r="J647" s="6">
        <f t="shared" si="52"/>
        <v>0</v>
      </c>
      <c r="K647" s="4" t="str">
        <f t="shared" si="53"/>
        <v/>
      </c>
      <c r="L647" s="4" t="str">
        <f t="shared" si="54"/>
        <v/>
      </c>
      <c r="M647" s="4" t="b" cm="1">
        <f t="array" ref="M647">IF(H647="",FALSE,SUMPRODUCT(--(H$1:H646=H647))&gt;0)</f>
        <v>0</v>
      </c>
    </row>
    <row r="648" spans="1:13" x14ac:dyDescent="0.25">
      <c r="A648" s="9" t="str">
        <f>IF(OR(B648="",M648,G648="— ignored"),"",MAX(A$1:A647)+1)</f>
        <v/>
      </c>
      <c r="B648" s="10"/>
      <c r="C648" s="11" t="str">
        <f>IF(I648="","",ROUND((I648+0.5*MAX(0,CEILING(ROUND((MAX(C$1:C647)-1/48-I648)/0.5,6),1)))*1440,0)/1440)</f>
        <v/>
      </c>
      <c r="D648" s="9" t="str" cm="1">
        <f t="array" ref="D648">IF(H648="","",IFERROR(INDEX(Log!$C$19:$G$19,VALUE(MID(H648,FIND("#",H648)+1,1))),""))</f>
        <v/>
      </c>
      <c r="E648" s="9" t="str" cm="1">
        <f t="array" ref="E648">IF(OR(H648="",M648),"",IFERROR(_xlfn.LET(_xlpm.t,SUBSTITUTE(UPPER(H648),"م","M"),_xlpm.u,SUBSTITUTE(_xlpm.t,"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48" s="12"/>
      <c r="G648" s="13" t="str">
        <f>IF(B648="","",IF(M648,"⚠ Duplicate (not counted)",IF(AND(I648="",D648="",E648=""),"— ignored",IF(C648="","⚠ Time",IF(D648="","⚠ Plant",IF(E648="","⚠ Quantity",IF(AND(ISNUMBER(L648),COUNTIF(L$1:L647,L648)&gt;0),"⚠ Same serial "&amp;L648,IF(AND(ISNUMBER(L648),L648&gt;MIN($L$2:$L$1001),COUNTIF($L$2:$L$1001,L648-1)=0,COUNTIF($L$2:$L$1001,L648-2)&lt;2),"⚠ Missing serial "&amp;(L648-1),IF(AND(MAX(K$1:K647)&gt;0,N(K648)-MAX(K$1:K647)&gt;180),"⚠ Gap &gt; 3h",IF(C648-I648&gt;=0.99,"next day",IF(C648-I648&gt;0.4,"12h → 24h","")))))))))))</f>
        <v/>
      </c>
      <c r="H648" s="4" t="str">
        <f t="shared" si="50"/>
        <v/>
      </c>
      <c r="I648" s="5" t="str">
        <f t="shared" si="51"/>
        <v/>
      </c>
      <c r="J648" s="6">
        <f t="shared" si="52"/>
        <v>0</v>
      </c>
      <c r="K648" s="4" t="str">
        <f t="shared" si="53"/>
        <v/>
      </c>
      <c r="L648" s="4" t="str">
        <f t="shared" si="54"/>
        <v/>
      </c>
      <c r="M648" s="4" t="b" cm="1">
        <f t="array" ref="M648">IF(H648="",FALSE,SUMPRODUCT(--(H$1:H647=H648))&gt;0)</f>
        <v>0</v>
      </c>
    </row>
    <row r="649" spans="1:13" x14ac:dyDescent="0.25">
      <c r="A649" s="9" t="str">
        <f>IF(OR(B649="",M649,G649="— ignored"),"",MAX(A$1:A648)+1)</f>
        <v/>
      </c>
      <c r="B649" s="10"/>
      <c r="C649" s="11" t="str">
        <f>IF(I649="","",ROUND((I649+0.5*MAX(0,CEILING(ROUND((MAX(C$1:C648)-1/48-I649)/0.5,6),1)))*1440,0)/1440)</f>
        <v/>
      </c>
      <c r="D649" s="9" t="str" cm="1">
        <f t="array" ref="D649">IF(H649="","",IFERROR(INDEX(Log!$C$19:$G$19,VALUE(MID(H649,FIND("#",H649)+1,1))),""))</f>
        <v/>
      </c>
      <c r="E649" s="9" t="str" cm="1">
        <f t="array" ref="E649">IF(OR(H649="",M649),"",IFERROR(_xlfn.LET(_xlpm.t,SUBSTITUTE(UPPER(H649),"م","M"),_xlpm.u,SUBSTITUTE(_xlpm.t,"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49" s="12"/>
      <c r="G649" s="13" t="str">
        <f>IF(B649="","",IF(M649,"⚠ Duplicate (not counted)",IF(AND(I649="",D649="",E649=""),"— ignored",IF(C649="","⚠ Time",IF(D649="","⚠ Plant",IF(E649="","⚠ Quantity",IF(AND(ISNUMBER(L649),COUNTIF(L$1:L648,L649)&gt;0),"⚠ Same serial "&amp;L649,IF(AND(ISNUMBER(L649),L649&gt;MIN($L$2:$L$1001),COUNTIF($L$2:$L$1001,L649-1)=0,COUNTIF($L$2:$L$1001,L649-2)&lt;2),"⚠ Missing serial "&amp;(L649-1),IF(AND(MAX(K$1:K648)&gt;0,N(K649)-MAX(K$1:K648)&gt;180),"⚠ Gap &gt; 3h",IF(C649-I649&gt;=0.99,"next day",IF(C649-I649&gt;0.4,"12h → 24h","")))))))))))</f>
        <v/>
      </c>
      <c r="H649" s="4" t="str">
        <f t="shared" si="50"/>
        <v/>
      </c>
      <c r="I649" s="5" t="str">
        <f t="shared" si="51"/>
        <v/>
      </c>
      <c r="J649" s="6">
        <f t="shared" si="52"/>
        <v>0</v>
      </c>
      <c r="K649" s="4" t="str">
        <f t="shared" si="53"/>
        <v/>
      </c>
      <c r="L649" s="4" t="str">
        <f t="shared" si="54"/>
        <v/>
      </c>
      <c r="M649" s="4" t="b" cm="1">
        <f t="array" ref="M649">IF(H649="",FALSE,SUMPRODUCT(--(H$1:H648=H649))&gt;0)</f>
        <v>0</v>
      </c>
    </row>
    <row r="650" spans="1:13" x14ac:dyDescent="0.25">
      <c r="A650" s="9" t="str">
        <f>IF(OR(B650="",M650,G650="— ignored"),"",MAX(A$1:A649)+1)</f>
        <v/>
      </c>
      <c r="B650" s="10"/>
      <c r="C650" s="11" t="str">
        <f>IF(I650="","",ROUND((I650+0.5*MAX(0,CEILING(ROUND((MAX(C$1:C649)-1/48-I650)/0.5,6),1)))*1440,0)/1440)</f>
        <v/>
      </c>
      <c r="D650" s="9" t="str" cm="1">
        <f t="array" ref="D650">IF(H650="","",IFERROR(INDEX(Log!$C$19:$G$19,VALUE(MID(H650,FIND("#",H650)+1,1))),""))</f>
        <v/>
      </c>
      <c r="E650" s="9" t="str" cm="1">
        <f t="array" ref="E650">IF(OR(H650="",M650),"",IFERROR(_xlfn.LET(_xlpm.t,SUBSTITUTE(UPPER(H650),"م","M"),_xlpm.u,SUBSTITUTE(_xlpm.t,"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50" s="12"/>
      <c r="G650" s="13" t="str">
        <f>IF(B650="","",IF(M650,"⚠ Duplicate (not counted)",IF(AND(I650="",D650="",E650=""),"— ignored",IF(C650="","⚠ Time",IF(D650="","⚠ Plant",IF(E650="","⚠ Quantity",IF(AND(ISNUMBER(L650),COUNTIF(L$1:L649,L650)&gt;0),"⚠ Same serial "&amp;L650,IF(AND(ISNUMBER(L650),L650&gt;MIN($L$2:$L$1001),COUNTIF($L$2:$L$1001,L650-1)=0,COUNTIF($L$2:$L$1001,L650-2)&lt;2),"⚠ Missing serial "&amp;(L650-1),IF(AND(MAX(K$1:K649)&gt;0,N(K650)-MAX(K$1:K649)&gt;180),"⚠ Gap &gt; 3h",IF(C650-I650&gt;=0.99,"next day",IF(C650-I650&gt;0.4,"12h → 24h","")))))))))))</f>
        <v/>
      </c>
      <c r="H650" s="4" t="str">
        <f t="shared" si="50"/>
        <v/>
      </c>
      <c r="I650" s="5" t="str">
        <f t="shared" si="51"/>
        <v/>
      </c>
      <c r="J650" s="6">
        <f t="shared" si="52"/>
        <v>0</v>
      </c>
      <c r="K650" s="4" t="str">
        <f t="shared" si="53"/>
        <v/>
      </c>
      <c r="L650" s="4" t="str">
        <f t="shared" si="54"/>
        <v/>
      </c>
      <c r="M650" s="4" t="b" cm="1">
        <f t="array" ref="M650">IF(H650="",FALSE,SUMPRODUCT(--(H$1:H649=H650))&gt;0)</f>
        <v>0</v>
      </c>
    </row>
    <row r="651" spans="1:13" x14ac:dyDescent="0.25">
      <c r="A651" s="9" t="str">
        <f>IF(OR(B651="",M651,G651="— ignored"),"",MAX(A$1:A650)+1)</f>
        <v/>
      </c>
      <c r="B651" s="10"/>
      <c r="C651" s="11" t="str">
        <f>IF(I651="","",ROUND((I651+0.5*MAX(0,CEILING(ROUND((MAX(C$1:C650)-1/48-I651)/0.5,6),1)))*1440,0)/1440)</f>
        <v/>
      </c>
      <c r="D651" s="9" t="str" cm="1">
        <f t="array" ref="D651">IF(H651="","",IFERROR(INDEX(Log!$C$19:$G$19,VALUE(MID(H651,FIND("#",H651)+1,1))),""))</f>
        <v/>
      </c>
      <c r="E651" s="9" t="str" cm="1">
        <f t="array" ref="E651">IF(OR(H651="",M651),"",IFERROR(_xlfn.LET(_xlpm.t,SUBSTITUTE(UPPER(H651),"م","M"),_xlpm.u,SUBSTITUTE(_xlpm.t,"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51" s="12"/>
      <c r="G651" s="13" t="str">
        <f>IF(B651="","",IF(M651,"⚠ Duplicate (not counted)",IF(AND(I651="",D651="",E651=""),"— ignored",IF(C651="","⚠ Time",IF(D651="","⚠ Plant",IF(E651="","⚠ Quantity",IF(AND(ISNUMBER(L651),COUNTIF(L$1:L650,L651)&gt;0),"⚠ Same serial "&amp;L651,IF(AND(ISNUMBER(L651),L651&gt;MIN($L$2:$L$1001),COUNTIF($L$2:$L$1001,L651-1)=0,COUNTIF($L$2:$L$1001,L651-2)&lt;2),"⚠ Missing serial "&amp;(L651-1),IF(AND(MAX(K$1:K650)&gt;0,N(K651)-MAX(K$1:K650)&gt;180),"⚠ Gap &gt; 3h",IF(C651-I651&gt;=0.99,"next day",IF(C651-I651&gt;0.4,"12h → 24h","")))))))))))</f>
        <v/>
      </c>
      <c r="H651" s="4" t="str">
        <f t="shared" si="50"/>
        <v/>
      </c>
      <c r="I651" s="5" t="str">
        <f t="shared" si="51"/>
        <v/>
      </c>
      <c r="J651" s="6">
        <f t="shared" si="52"/>
        <v>0</v>
      </c>
      <c r="K651" s="4" t="str">
        <f t="shared" si="53"/>
        <v/>
      </c>
      <c r="L651" s="4" t="str">
        <f t="shared" si="54"/>
        <v/>
      </c>
      <c r="M651" s="4" t="b" cm="1">
        <f t="array" ref="M651">IF(H651="",FALSE,SUMPRODUCT(--(H$1:H650=H651))&gt;0)</f>
        <v>0</v>
      </c>
    </row>
    <row r="652" spans="1:13" x14ac:dyDescent="0.25">
      <c r="A652" s="9" t="str">
        <f>IF(OR(B652="",M652,G652="— ignored"),"",MAX(A$1:A651)+1)</f>
        <v/>
      </c>
      <c r="B652" s="10"/>
      <c r="C652" s="11" t="str">
        <f>IF(I652="","",ROUND((I652+0.5*MAX(0,CEILING(ROUND((MAX(C$1:C651)-1/48-I652)/0.5,6),1)))*1440,0)/1440)</f>
        <v/>
      </c>
      <c r="D652" s="9" t="str" cm="1">
        <f t="array" ref="D652">IF(H652="","",IFERROR(INDEX(Log!$C$19:$G$19,VALUE(MID(H652,FIND("#",H652)+1,1))),""))</f>
        <v/>
      </c>
      <c r="E652" s="9" t="str" cm="1">
        <f t="array" ref="E652">IF(OR(H652="",M652),"",IFERROR(_xlfn.LET(_xlpm.t,SUBSTITUTE(UPPER(H652),"م","M"),_xlpm.u,SUBSTITUTE(_xlpm.t,"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52" s="12"/>
      <c r="G652" s="13" t="str">
        <f>IF(B652="","",IF(M652,"⚠ Duplicate (not counted)",IF(AND(I652="",D652="",E652=""),"— ignored",IF(C652="","⚠ Time",IF(D652="","⚠ Plant",IF(E652="","⚠ Quantity",IF(AND(ISNUMBER(L652),COUNTIF(L$1:L651,L652)&gt;0),"⚠ Same serial "&amp;L652,IF(AND(ISNUMBER(L652),L652&gt;MIN($L$2:$L$1001),COUNTIF($L$2:$L$1001,L652-1)=0,COUNTIF($L$2:$L$1001,L652-2)&lt;2),"⚠ Missing serial "&amp;(L652-1),IF(AND(MAX(K$1:K651)&gt;0,N(K652)-MAX(K$1:K651)&gt;180),"⚠ Gap &gt; 3h",IF(C652-I652&gt;=0.99,"next day",IF(C652-I652&gt;0.4,"12h → 24h","")))))))))))</f>
        <v/>
      </c>
      <c r="H652" s="4" t="str">
        <f t="shared" si="50"/>
        <v/>
      </c>
      <c r="I652" s="5" t="str">
        <f t="shared" si="51"/>
        <v/>
      </c>
      <c r="J652" s="6">
        <f t="shared" si="52"/>
        <v>0</v>
      </c>
      <c r="K652" s="4" t="str">
        <f t="shared" si="53"/>
        <v/>
      </c>
      <c r="L652" s="4" t="str">
        <f t="shared" si="54"/>
        <v/>
      </c>
      <c r="M652" s="4" t="b" cm="1">
        <f t="array" ref="M652">IF(H652="",FALSE,SUMPRODUCT(--(H$1:H651=H652))&gt;0)</f>
        <v>0</v>
      </c>
    </row>
    <row r="653" spans="1:13" x14ac:dyDescent="0.25">
      <c r="A653" s="9" t="str">
        <f>IF(OR(B653="",M653,G653="— ignored"),"",MAX(A$1:A652)+1)</f>
        <v/>
      </c>
      <c r="B653" s="10"/>
      <c r="C653" s="11" t="str">
        <f>IF(I653="","",ROUND((I653+0.5*MAX(0,CEILING(ROUND((MAX(C$1:C652)-1/48-I653)/0.5,6),1)))*1440,0)/1440)</f>
        <v/>
      </c>
      <c r="D653" s="9" t="str" cm="1">
        <f t="array" ref="D653">IF(H653="","",IFERROR(INDEX(Log!$C$19:$G$19,VALUE(MID(H653,FIND("#",H653)+1,1))),""))</f>
        <v/>
      </c>
      <c r="E653" s="9" t="str" cm="1">
        <f t="array" ref="E653">IF(OR(H653="",M653),"",IFERROR(_xlfn.LET(_xlpm.t,SUBSTITUTE(UPPER(H653),"م","M"),_xlpm.u,SUBSTITUTE(_xlpm.t,"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53" s="12"/>
      <c r="G653" s="13" t="str">
        <f>IF(B653="","",IF(M653,"⚠ Duplicate (not counted)",IF(AND(I653="",D653="",E653=""),"— ignored",IF(C653="","⚠ Time",IF(D653="","⚠ Plant",IF(E653="","⚠ Quantity",IF(AND(ISNUMBER(L653),COUNTIF(L$1:L652,L653)&gt;0),"⚠ Same serial "&amp;L653,IF(AND(ISNUMBER(L653),L653&gt;MIN($L$2:$L$1001),COUNTIF($L$2:$L$1001,L653-1)=0,COUNTIF($L$2:$L$1001,L653-2)&lt;2),"⚠ Missing serial "&amp;(L653-1),IF(AND(MAX(K$1:K652)&gt;0,N(K653)-MAX(K$1:K652)&gt;180),"⚠ Gap &gt; 3h",IF(C653-I653&gt;=0.99,"next day",IF(C653-I653&gt;0.4,"12h → 24h","")))))))))))</f>
        <v/>
      </c>
      <c r="H653" s="4" t="str">
        <f t="shared" si="50"/>
        <v/>
      </c>
      <c r="I653" s="5" t="str">
        <f t="shared" si="51"/>
        <v/>
      </c>
      <c r="J653" s="6">
        <f t="shared" si="52"/>
        <v>0</v>
      </c>
      <c r="K653" s="4" t="str">
        <f t="shared" si="53"/>
        <v/>
      </c>
      <c r="L653" s="4" t="str">
        <f t="shared" si="54"/>
        <v/>
      </c>
      <c r="M653" s="4" t="b" cm="1">
        <f t="array" ref="M653">IF(H653="",FALSE,SUMPRODUCT(--(H$1:H652=H653))&gt;0)</f>
        <v>0</v>
      </c>
    </row>
    <row r="654" spans="1:13" x14ac:dyDescent="0.25">
      <c r="A654" s="9" t="str">
        <f>IF(OR(B654="",M654,G654="— ignored"),"",MAX(A$1:A653)+1)</f>
        <v/>
      </c>
      <c r="B654" s="10"/>
      <c r="C654" s="11" t="str">
        <f>IF(I654="","",ROUND((I654+0.5*MAX(0,CEILING(ROUND((MAX(C$1:C653)-1/48-I654)/0.5,6),1)))*1440,0)/1440)</f>
        <v/>
      </c>
      <c r="D654" s="9" t="str" cm="1">
        <f t="array" ref="D654">IF(H654="","",IFERROR(INDEX(Log!$C$19:$G$19,VALUE(MID(H654,FIND("#",H654)+1,1))),""))</f>
        <v/>
      </c>
      <c r="E654" s="9" t="str" cm="1">
        <f t="array" ref="E654">IF(OR(H654="",M654),"",IFERROR(_xlfn.LET(_xlpm.t,SUBSTITUTE(UPPER(H654),"م","M"),_xlpm.u,SUBSTITUTE(_xlpm.t,"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54" s="12"/>
      <c r="G654" s="13" t="str">
        <f>IF(B654="","",IF(M654,"⚠ Duplicate (not counted)",IF(AND(I654="",D654="",E654=""),"— ignored",IF(C654="","⚠ Time",IF(D654="","⚠ Plant",IF(E654="","⚠ Quantity",IF(AND(ISNUMBER(L654),COUNTIF(L$1:L653,L654)&gt;0),"⚠ Same serial "&amp;L654,IF(AND(ISNUMBER(L654),L654&gt;MIN($L$2:$L$1001),COUNTIF($L$2:$L$1001,L654-1)=0,COUNTIF($L$2:$L$1001,L654-2)&lt;2),"⚠ Missing serial "&amp;(L654-1),IF(AND(MAX(K$1:K653)&gt;0,N(K654)-MAX(K$1:K653)&gt;180),"⚠ Gap &gt; 3h",IF(C654-I654&gt;=0.99,"next day",IF(C654-I654&gt;0.4,"12h → 24h","")))))))))))</f>
        <v/>
      </c>
      <c r="H654" s="4" t="str">
        <f t="shared" si="50"/>
        <v/>
      </c>
      <c r="I654" s="5" t="str">
        <f t="shared" si="51"/>
        <v/>
      </c>
      <c r="J654" s="6">
        <f t="shared" si="52"/>
        <v>0</v>
      </c>
      <c r="K654" s="4" t="str">
        <f t="shared" si="53"/>
        <v/>
      </c>
      <c r="L654" s="4" t="str">
        <f t="shared" si="54"/>
        <v/>
      </c>
      <c r="M654" s="4" t="b" cm="1">
        <f t="array" ref="M654">IF(H654="",FALSE,SUMPRODUCT(--(H$1:H653=H654))&gt;0)</f>
        <v>0</v>
      </c>
    </row>
    <row r="655" spans="1:13" x14ac:dyDescent="0.25">
      <c r="A655" s="9" t="str">
        <f>IF(OR(B655="",M655,G655="— ignored"),"",MAX(A$1:A654)+1)</f>
        <v/>
      </c>
      <c r="B655" s="10"/>
      <c r="C655" s="11" t="str">
        <f>IF(I655="","",ROUND((I655+0.5*MAX(0,CEILING(ROUND((MAX(C$1:C654)-1/48-I655)/0.5,6),1)))*1440,0)/1440)</f>
        <v/>
      </c>
      <c r="D655" s="9" t="str" cm="1">
        <f t="array" ref="D655">IF(H655="","",IFERROR(INDEX(Log!$C$19:$G$19,VALUE(MID(H655,FIND("#",H655)+1,1))),""))</f>
        <v/>
      </c>
      <c r="E655" s="9" t="str" cm="1">
        <f t="array" ref="E655">IF(OR(H655="",M655),"",IFERROR(_xlfn.LET(_xlpm.t,SUBSTITUTE(UPPER(H655),"م","M"),_xlpm.u,SUBSTITUTE(_xlpm.t,"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55" s="12"/>
      <c r="G655" s="13" t="str">
        <f>IF(B655="","",IF(M655,"⚠ Duplicate (not counted)",IF(AND(I655="",D655="",E655=""),"— ignored",IF(C655="","⚠ Time",IF(D655="","⚠ Plant",IF(E655="","⚠ Quantity",IF(AND(ISNUMBER(L655),COUNTIF(L$1:L654,L655)&gt;0),"⚠ Same serial "&amp;L655,IF(AND(ISNUMBER(L655),L655&gt;MIN($L$2:$L$1001),COUNTIF($L$2:$L$1001,L655-1)=0,COUNTIF($L$2:$L$1001,L655-2)&lt;2),"⚠ Missing serial "&amp;(L655-1),IF(AND(MAX(K$1:K654)&gt;0,N(K655)-MAX(K$1:K654)&gt;180),"⚠ Gap &gt; 3h",IF(C655-I655&gt;=0.99,"next day",IF(C655-I655&gt;0.4,"12h → 24h","")))))))))))</f>
        <v/>
      </c>
      <c r="H655" s="4" t="str">
        <f t="shared" si="50"/>
        <v/>
      </c>
      <c r="I655" s="5" t="str">
        <f t="shared" si="51"/>
        <v/>
      </c>
      <c r="J655" s="6">
        <f t="shared" si="52"/>
        <v>0</v>
      </c>
      <c r="K655" s="4" t="str">
        <f t="shared" si="53"/>
        <v/>
      </c>
      <c r="L655" s="4" t="str">
        <f t="shared" si="54"/>
        <v/>
      </c>
      <c r="M655" s="4" t="b" cm="1">
        <f t="array" ref="M655">IF(H655="",FALSE,SUMPRODUCT(--(H$1:H654=H655))&gt;0)</f>
        <v>0</v>
      </c>
    </row>
    <row r="656" spans="1:13" x14ac:dyDescent="0.25">
      <c r="A656" s="9" t="str">
        <f>IF(OR(B656="",M656,G656="— ignored"),"",MAX(A$1:A655)+1)</f>
        <v/>
      </c>
      <c r="B656" s="10"/>
      <c r="C656" s="11" t="str">
        <f>IF(I656="","",ROUND((I656+0.5*MAX(0,CEILING(ROUND((MAX(C$1:C655)-1/48-I656)/0.5,6),1)))*1440,0)/1440)</f>
        <v/>
      </c>
      <c r="D656" s="9" t="str" cm="1">
        <f t="array" ref="D656">IF(H656="","",IFERROR(INDEX(Log!$C$19:$G$19,VALUE(MID(H656,FIND("#",H656)+1,1))),""))</f>
        <v/>
      </c>
      <c r="E656" s="9" t="str" cm="1">
        <f t="array" ref="E656">IF(OR(H656="",M656),"",IFERROR(_xlfn.LET(_xlpm.t,SUBSTITUTE(UPPER(H656),"م","M"),_xlpm.u,SUBSTITUTE(_xlpm.t,"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56" s="12"/>
      <c r="G656" s="13" t="str">
        <f>IF(B656="","",IF(M656,"⚠ Duplicate (not counted)",IF(AND(I656="",D656="",E656=""),"— ignored",IF(C656="","⚠ Time",IF(D656="","⚠ Plant",IF(E656="","⚠ Quantity",IF(AND(ISNUMBER(L656),COUNTIF(L$1:L655,L656)&gt;0),"⚠ Same serial "&amp;L656,IF(AND(ISNUMBER(L656),L656&gt;MIN($L$2:$L$1001),COUNTIF($L$2:$L$1001,L656-1)=0,COUNTIF($L$2:$L$1001,L656-2)&lt;2),"⚠ Missing serial "&amp;(L656-1),IF(AND(MAX(K$1:K655)&gt;0,N(K656)-MAX(K$1:K655)&gt;180),"⚠ Gap &gt; 3h",IF(C656-I656&gt;=0.99,"next day",IF(C656-I656&gt;0.4,"12h → 24h","")))))))))))</f>
        <v/>
      </c>
      <c r="H656" s="4" t="str">
        <f t="shared" si="50"/>
        <v/>
      </c>
      <c r="I656" s="5" t="str">
        <f t="shared" si="51"/>
        <v/>
      </c>
      <c r="J656" s="6">
        <f t="shared" si="52"/>
        <v>0</v>
      </c>
      <c r="K656" s="4" t="str">
        <f t="shared" si="53"/>
        <v/>
      </c>
      <c r="L656" s="4" t="str">
        <f t="shared" si="54"/>
        <v/>
      </c>
      <c r="M656" s="4" t="b" cm="1">
        <f t="array" ref="M656">IF(H656="",FALSE,SUMPRODUCT(--(H$1:H655=H656))&gt;0)</f>
        <v>0</v>
      </c>
    </row>
    <row r="657" spans="1:13" x14ac:dyDescent="0.25">
      <c r="A657" s="9" t="str">
        <f>IF(OR(B657="",M657,G657="— ignored"),"",MAX(A$1:A656)+1)</f>
        <v/>
      </c>
      <c r="B657" s="10"/>
      <c r="C657" s="11" t="str">
        <f>IF(I657="","",ROUND((I657+0.5*MAX(0,CEILING(ROUND((MAX(C$1:C656)-1/48-I657)/0.5,6),1)))*1440,0)/1440)</f>
        <v/>
      </c>
      <c r="D657" s="9" t="str" cm="1">
        <f t="array" ref="D657">IF(H657="","",IFERROR(INDEX(Log!$C$19:$G$19,VALUE(MID(H657,FIND("#",H657)+1,1))),""))</f>
        <v/>
      </c>
      <c r="E657" s="9" t="str" cm="1">
        <f t="array" ref="E657">IF(OR(H657="",M657),"",IFERROR(_xlfn.LET(_xlpm.t,SUBSTITUTE(UPPER(H657),"م","M"),_xlpm.u,SUBSTITUTE(_xlpm.t,"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57" s="12"/>
      <c r="G657" s="13" t="str">
        <f>IF(B657="","",IF(M657,"⚠ Duplicate (not counted)",IF(AND(I657="",D657="",E657=""),"— ignored",IF(C657="","⚠ Time",IF(D657="","⚠ Plant",IF(E657="","⚠ Quantity",IF(AND(ISNUMBER(L657),COUNTIF(L$1:L656,L657)&gt;0),"⚠ Same serial "&amp;L657,IF(AND(ISNUMBER(L657),L657&gt;MIN($L$2:$L$1001),COUNTIF($L$2:$L$1001,L657-1)=0,COUNTIF($L$2:$L$1001,L657-2)&lt;2),"⚠ Missing serial "&amp;(L657-1),IF(AND(MAX(K$1:K656)&gt;0,N(K657)-MAX(K$1:K656)&gt;180),"⚠ Gap &gt; 3h",IF(C657-I657&gt;=0.99,"next day",IF(C657-I657&gt;0.4,"12h → 24h","")))))))))))</f>
        <v/>
      </c>
      <c r="H657" s="4" t="str">
        <f t="shared" si="50"/>
        <v/>
      </c>
      <c r="I657" s="5" t="str">
        <f t="shared" si="51"/>
        <v/>
      </c>
      <c r="J657" s="6">
        <f t="shared" si="52"/>
        <v>0</v>
      </c>
      <c r="K657" s="4" t="str">
        <f t="shared" si="53"/>
        <v/>
      </c>
      <c r="L657" s="4" t="str">
        <f t="shared" si="54"/>
        <v/>
      </c>
      <c r="M657" s="4" t="b" cm="1">
        <f t="array" ref="M657">IF(H657="",FALSE,SUMPRODUCT(--(H$1:H656=H657))&gt;0)</f>
        <v>0</v>
      </c>
    </row>
    <row r="658" spans="1:13" x14ac:dyDescent="0.25">
      <c r="A658" s="9" t="str">
        <f>IF(OR(B658="",M658,G658="— ignored"),"",MAX(A$1:A657)+1)</f>
        <v/>
      </c>
      <c r="B658" s="10"/>
      <c r="C658" s="11" t="str">
        <f>IF(I658="","",ROUND((I658+0.5*MAX(0,CEILING(ROUND((MAX(C$1:C657)-1/48-I658)/0.5,6),1)))*1440,0)/1440)</f>
        <v/>
      </c>
      <c r="D658" s="9" t="str" cm="1">
        <f t="array" ref="D658">IF(H658="","",IFERROR(INDEX(Log!$C$19:$G$19,VALUE(MID(H658,FIND("#",H658)+1,1))),""))</f>
        <v/>
      </c>
      <c r="E658" s="9" t="str" cm="1">
        <f t="array" ref="E658">IF(OR(H658="",M658),"",IFERROR(_xlfn.LET(_xlpm.t,SUBSTITUTE(UPPER(H658),"م","M"),_xlpm.u,SUBSTITUTE(_xlpm.t,"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58" s="12"/>
      <c r="G658" s="13" t="str">
        <f>IF(B658="","",IF(M658,"⚠ Duplicate (not counted)",IF(AND(I658="",D658="",E658=""),"— ignored",IF(C658="","⚠ Time",IF(D658="","⚠ Plant",IF(E658="","⚠ Quantity",IF(AND(ISNUMBER(L658),COUNTIF(L$1:L657,L658)&gt;0),"⚠ Same serial "&amp;L658,IF(AND(ISNUMBER(L658),L658&gt;MIN($L$2:$L$1001),COUNTIF($L$2:$L$1001,L658-1)=0,COUNTIF($L$2:$L$1001,L658-2)&lt;2),"⚠ Missing serial "&amp;(L658-1),IF(AND(MAX(K$1:K657)&gt;0,N(K658)-MAX(K$1:K657)&gt;180),"⚠ Gap &gt; 3h",IF(C658-I658&gt;=0.99,"next day",IF(C658-I658&gt;0.4,"12h → 24h","")))))))))))</f>
        <v/>
      </c>
      <c r="H658" s="4" t="str">
        <f t="shared" si="50"/>
        <v/>
      </c>
      <c r="I658" s="5" t="str">
        <f t="shared" si="51"/>
        <v/>
      </c>
      <c r="J658" s="6">
        <f t="shared" si="52"/>
        <v>0</v>
      </c>
      <c r="K658" s="4" t="str">
        <f t="shared" si="53"/>
        <v/>
      </c>
      <c r="L658" s="4" t="str">
        <f t="shared" si="54"/>
        <v/>
      </c>
      <c r="M658" s="4" t="b" cm="1">
        <f t="array" ref="M658">IF(H658="",FALSE,SUMPRODUCT(--(H$1:H657=H658))&gt;0)</f>
        <v>0</v>
      </c>
    </row>
    <row r="659" spans="1:13" x14ac:dyDescent="0.25">
      <c r="A659" s="9" t="str">
        <f>IF(OR(B659="",M659,G659="— ignored"),"",MAX(A$1:A658)+1)</f>
        <v/>
      </c>
      <c r="B659" s="10"/>
      <c r="C659" s="11" t="str">
        <f>IF(I659="","",ROUND((I659+0.5*MAX(0,CEILING(ROUND((MAX(C$1:C658)-1/48-I659)/0.5,6),1)))*1440,0)/1440)</f>
        <v/>
      </c>
      <c r="D659" s="9" t="str" cm="1">
        <f t="array" ref="D659">IF(H659="","",IFERROR(INDEX(Log!$C$19:$G$19,VALUE(MID(H659,FIND("#",H659)+1,1))),""))</f>
        <v/>
      </c>
      <c r="E659" s="9" t="str" cm="1">
        <f t="array" ref="E659">IF(OR(H659="",M659),"",IFERROR(_xlfn.LET(_xlpm.t,SUBSTITUTE(UPPER(H659),"م","M"),_xlpm.u,SUBSTITUTE(_xlpm.t,"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59" s="12"/>
      <c r="G659" s="13" t="str">
        <f>IF(B659="","",IF(M659,"⚠ Duplicate (not counted)",IF(AND(I659="",D659="",E659=""),"— ignored",IF(C659="","⚠ Time",IF(D659="","⚠ Plant",IF(E659="","⚠ Quantity",IF(AND(ISNUMBER(L659),COUNTIF(L$1:L658,L659)&gt;0),"⚠ Same serial "&amp;L659,IF(AND(ISNUMBER(L659),L659&gt;MIN($L$2:$L$1001),COUNTIF($L$2:$L$1001,L659-1)=0,COUNTIF($L$2:$L$1001,L659-2)&lt;2),"⚠ Missing serial "&amp;(L659-1),IF(AND(MAX(K$1:K658)&gt;0,N(K659)-MAX(K$1:K658)&gt;180),"⚠ Gap &gt; 3h",IF(C659-I659&gt;=0.99,"next day",IF(C659-I659&gt;0.4,"12h → 24h","")))))))))))</f>
        <v/>
      </c>
      <c r="H659" s="4" t="str">
        <f t="shared" si="50"/>
        <v/>
      </c>
      <c r="I659" s="5" t="str">
        <f t="shared" si="51"/>
        <v/>
      </c>
      <c r="J659" s="6">
        <f t="shared" si="52"/>
        <v>0</v>
      </c>
      <c r="K659" s="4" t="str">
        <f t="shared" si="53"/>
        <v/>
      </c>
      <c r="L659" s="4" t="str">
        <f t="shared" si="54"/>
        <v/>
      </c>
      <c r="M659" s="4" t="b" cm="1">
        <f t="array" ref="M659">IF(H659="",FALSE,SUMPRODUCT(--(H$1:H658=H659))&gt;0)</f>
        <v>0</v>
      </c>
    </row>
    <row r="660" spans="1:13" x14ac:dyDescent="0.25">
      <c r="A660" s="9" t="str">
        <f>IF(OR(B660="",M660,G660="— ignored"),"",MAX(A$1:A659)+1)</f>
        <v/>
      </c>
      <c r="B660" s="10"/>
      <c r="C660" s="11" t="str">
        <f>IF(I660="","",ROUND((I660+0.5*MAX(0,CEILING(ROUND((MAX(C$1:C659)-1/48-I660)/0.5,6),1)))*1440,0)/1440)</f>
        <v/>
      </c>
      <c r="D660" s="9" t="str" cm="1">
        <f t="array" ref="D660">IF(H660="","",IFERROR(INDEX(Log!$C$19:$G$19,VALUE(MID(H660,FIND("#",H660)+1,1))),""))</f>
        <v/>
      </c>
      <c r="E660" s="9" t="str" cm="1">
        <f t="array" ref="E660">IF(OR(H660="",M660),"",IFERROR(_xlfn.LET(_xlpm.t,SUBSTITUTE(UPPER(H660),"م","M"),_xlpm.u,SUBSTITUTE(_xlpm.t,"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60" s="12"/>
      <c r="G660" s="13" t="str">
        <f>IF(B660="","",IF(M660,"⚠ Duplicate (not counted)",IF(AND(I660="",D660="",E660=""),"— ignored",IF(C660="","⚠ Time",IF(D660="","⚠ Plant",IF(E660="","⚠ Quantity",IF(AND(ISNUMBER(L660),COUNTIF(L$1:L659,L660)&gt;0),"⚠ Same serial "&amp;L660,IF(AND(ISNUMBER(L660),L660&gt;MIN($L$2:$L$1001),COUNTIF($L$2:$L$1001,L660-1)=0,COUNTIF($L$2:$L$1001,L660-2)&lt;2),"⚠ Missing serial "&amp;(L660-1),IF(AND(MAX(K$1:K659)&gt;0,N(K660)-MAX(K$1:K659)&gt;180),"⚠ Gap &gt; 3h",IF(C660-I660&gt;=0.99,"next day",IF(C660-I660&gt;0.4,"12h → 24h","")))))))))))</f>
        <v/>
      </c>
      <c r="H660" s="4" t="str">
        <f t="shared" si="50"/>
        <v/>
      </c>
      <c r="I660" s="5" t="str">
        <f t="shared" si="51"/>
        <v/>
      </c>
      <c r="J660" s="6">
        <f t="shared" si="52"/>
        <v>0</v>
      </c>
      <c r="K660" s="4" t="str">
        <f t="shared" si="53"/>
        <v/>
      </c>
      <c r="L660" s="4" t="str">
        <f t="shared" si="54"/>
        <v/>
      </c>
      <c r="M660" s="4" t="b" cm="1">
        <f t="array" ref="M660">IF(H660="",FALSE,SUMPRODUCT(--(H$1:H659=H660))&gt;0)</f>
        <v>0</v>
      </c>
    </row>
    <row r="661" spans="1:13" x14ac:dyDescent="0.25">
      <c r="A661" s="9" t="str">
        <f>IF(OR(B661="",M661,G661="— ignored"),"",MAX(A$1:A660)+1)</f>
        <v/>
      </c>
      <c r="B661" s="10"/>
      <c r="C661" s="11" t="str">
        <f>IF(I661="","",ROUND((I661+0.5*MAX(0,CEILING(ROUND((MAX(C$1:C660)-1/48-I661)/0.5,6),1)))*1440,0)/1440)</f>
        <v/>
      </c>
      <c r="D661" s="9" t="str" cm="1">
        <f t="array" ref="D661">IF(H661="","",IFERROR(INDEX(Log!$C$19:$G$19,VALUE(MID(H661,FIND("#",H661)+1,1))),""))</f>
        <v/>
      </c>
      <c r="E661" s="9" t="str" cm="1">
        <f t="array" ref="E661">IF(OR(H661="",M661),"",IFERROR(_xlfn.LET(_xlpm.t,SUBSTITUTE(UPPER(H661),"م","M"),_xlpm.u,SUBSTITUTE(_xlpm.t,"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61" s="12"/>
      <c r="G661" s="13" t="str">
        <f>IF(B661="","",IF(M661,"⚠ Duplicate (not counted)",IF(AND(I661="",D661="",E661=""),"— ignored",IF(C661="","⚠ Time",IF(D661="","⚠ Plant",IF(E661="","⚠ Quantity",IF(AND(ISNUMBER(L661),COUNTIF(L$1:L660,L661)&gt;0),"⚠ Same serial "&amp;L661,IF(AND(ISNUMBER(L661),L661&gt;MIN($L$2:$L$1001),COUNTIF($L$2:$L$1001,L661-1)=0,COUNTIF($L$2:$L$1001,L661-2)&lt;2),"⚠ Missing serial "&amp;(L661-1),IF(AND(MAX(K$1:K660)&gt;0,N(K661)-MAX(K$1:K660)&gt;180),"⚠ Gap &gt; 3h",IF(C661-I661&gt;=0.99,"next day",IF(C661-I661&gt;0.4,"12h → 24h","")))))))))))</f>
        <v/>
      </c>
      <c r="H661" s="4" t="str">
        <f t="shared" si="50"/>
        <v/>
      </c>
      <c r="I661" s="5" t="str">
        <f t="shared" si="51"/>
        <v/>
      </c>
      <c r="J661" s="6">
        <f t="shared" si="52"/>
        <v>0</v>
      </c>
      <c r="K661" s="4" t="str">
        <f t="shared" si="53"/>
        <v/>
      </c>
      <c r="L661" s="4" t="str">
        <f t="shared" si="54"/>
        <v/>
      </c>
      <c r="M661" s="4" t="b" cm="1">
        <f t="array" ref="M661">IF(H661="",FALSE,SUMPRODUCT(--(H$1:H660=H661))&gt;0)</f>
        <v>0</v>
      </c>
    </row>
    <row r="662" spans="1:13" x14ac:dyDescent="0.25">
      <c r="A662" s="9" t="str">
        <f>IF(OR(B662="",M662,G662="— ignored"),"",MAX(A$1:A661)+1)</f>
        <v/>
      </c>
      <c r="B662" s="10"/>
      <c r="C662" s="11" t="str">
        <f>IF(I662="","",ROUND((I662+0.5*MAX(0,CEILING(ROUND((MAX(C$1:C661)-1/48-I662)/0.5,6),1)))*1440,0)/1440)</f>
        <v/>
      </c>
      <c r="D662" s="9" t="str" cm="1">
        <f t="array" ref="D662">IF(H662="","",IFERROR(INDEX(Log!$C$19:$G$19,VALUE(MID(H662,FIND("#",H662)+1,1))),""))</f>
        <v/>
      </c>
      <c r="E662" s="9" t="str" cm="1">
        <f t="array" ref="E662">IF(OR(H662="",M662),"",IFERROR(_xlfn.LET(_xlpm.t,SUBSTITUTE(UPPER(H662),"م","M"),_xlpm.u,SUBSTITUTE(_xlpm.t,"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62" s="12"/>
      <c r="G662" s="13" t="str">
        <f>IF(B662="","",IF(M662,"⚠ Duplicate (not counted)",IF(AND(I662="",D662="",E662=""),"— ignored",IF(C662="","⚠ Time",IF(D662="","⚠ Plant",IF(E662="","⚠ Quantity",IF(AND(ISNUMBER(L662),COUNTIF(L$1:L661,L662)&gt;0),"⚠ Same serial "&amp;L662,IF(AND(ISNUMBER(L662),L662&gt;MIN($L$2:$L$1001),COUNTIF($L$2:$L$1001,L662-1)=0,COUNTIF($L$2:$L$1001,L662-2)&lt;2),"⚠ Missing serial "&amp;(L662-1),IF(AND(MAX(K$1:K661)&gt;0,N(K662)-MAX(K$1:K661)&gt;180),"⚠ Gap &gt; 3h",IF(C662-I662&gt;=0.99,"next day",IF(C662-I662&gt;0.4,"12h → 24h","")))))))))))</f>
        <v/>
      </c>
      <c r="H662" s="4" t="str">
        <f t="shared" si="50"/>
        <v/>
      </c>
      <c r="I662" s="5" t="str">
        <f t="shared" si="51"/>
        <v/>
      </c>
      <c r="J662" s="6">
        <f t="shared" si="52"/>
        <v>0</v>
      </c>
      <c r="K662" s="4" t="str">
        <f t="shared" si="53"/>
        <v/>
      </c>
      <c r="L662" s="4" t="str">
        <f t="shared" si="54"/>
        <v/>
      </c>
      <c r="M662" s="4" t="b" cm="1">
        <f t="array" ref="M662">IF(H662="",FALSE,SUMPRODUCT(--(H$1:H661=H662))&gt;0)</f>
        <v>0</v>
      </c>
    </row>
    <row r="663" spans="1:13" x14ac:dyDescent="0.25">
      <c r="A663" s="9" t="str">
        <f>IF(OR(B663="",M663,G663="— ignored"),"",MAX(A$1:A662)+1)</f>
        <v/>
      </c>
      <c r="B663" s="10"/>
      <c r="C663" s="11" t="str">
        <f>IF(I663="","",ROUND((I663+0.5*MAX(0,CEILING(ROUND((MAX(C$1:C662)-1/48-I663)/0.5,6),1)))*1440,0)/1440)</f>
        <v/>
      </c>
      <c r="D663" s="9" t="str" cm="1">
        <f t="array" ref="D663">IF(H663="","",IFERROR(INDEX(Log!$C$19:$G$19,VALUE(MID(H663,FIND("#",H663)+1,1))),""))</f>
        <v/>
      </c>
      <c r="E663" s="9" t="str" cm="1">
        <f t="array" ref="E663">IF(OR(H663="",M663),"",IFERROR(_xlfn.LET(_xlpm.t,SUBSTITUTE(UPPER(H663),"م","M"),_xlpm.u,SUBSTITUTE(_xlpm.t,"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63" s="12"/>
      <c r="G663" s="13" t="str">
        <f>IF(B663="","",IF(M663,"⚠ Duplicate (not counted)",IF(AND(I663="",D663="",E663=""),"— ignored",IF(C663="","⚠ Time",IF(D663="","⚠ Plant",IF(E663="","⚠ Quantity",IF(AND(ISNUMBER(L663),COUNTIF(L$1:L662,L663)&gt;0),"⚠ Same serial "&amp;L663,IF(AND(ISNUMBER(L663),L663&gt;MIN($L$2:$L$1001),COUNTIF($L$2:$L$1001,L663-1)=0,COUNTIF($L$2:$L$1001,L663-2)&lt;2),"⚠ Missing serial "&amp;(L663-1),IF(AND(MAX(K$1:K662)&gt;0,N(K663)-MAX(K$1:K662)&gt;180),"⚠ Gap &gt; 3h",IF(C663-I663&gt;=0.99,"next day",IF(C663-I663&gt;0.4,"12h → 24h","")))))))))))</f>
        <v/>
      </c>
      <c r="H663" s="4" t="str">
        <f t="shared" si="50"/>
        <v/>
      </c>
      <c r="I663" s="5" t="str">
        <f t="shared" si="51"/>
        <v/>
      </c>
      <c r="J663" s="6">
        <f t="shared" si="52"/>
        <v>0</v>
      </c>
      <c r="K663" s="4" t="str">
        <f t="shared" si="53"/>
        <v/>
      </c>
      <c r="L663" s="4" t="str">
        <f t="shared" si="54"/>
        <v/>
      </c>
      <c r="M663" s="4" t="b" cm="1">
        <f t="array" ref="M663">IF(H663="",FALSE,SUMPRODUCT(--(H$1:H662=H663))&gt;0)</f>
        <v>0</v>
      </c>
    </row>
    <row r="664" spans="1:13" x14ac:dyDescent="0.25">
      <c r="A664" s="9" t="str">
        <f>IF(OR(B664="",M664,G664="— ignored"),"",MAX(A$1:A663)+1)</f>
        <v/>
      </c>
      <c r="B664" s="10"/>
      <c r="C664" s="11" t="str">
        <f>IF(I664="","",ROUND((I664+0.5*MAX(0,CEILING(ROUND((MAX(C$1:C663)-1/48-I664)/0.5,6),1)))*1440,0)/1440)</f>
        <v/>
      </c>
      <c r="D664" s="9" t="str" cm="1">
        <f t="array" ref="D664">IF(H664="","",IFERROR(INDEX(Log!$C$19:$G$19,VALUE(MID(H664,FIND("#",H664)+1,1))),""))</f>
        <v/>
      </c>
      <c r="E664" s="9" t="str" cm="1">
        <f t="array" ref="E664">IF(OR(H664="",M664),"",IFERROR(_xlfn.LET(_xlpm.t,SUBSTITUTE(UPPER(H664),"م","M"),_xlpm.u,SUBSTITUTE(_xlpm.t,"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64" s="12"/>
      <c r="G664" s="13" t="str">
        <f>IF(B664="","",IF(M664,"⚠ Duplicate (not counted)",IF(AND(I664="",D664="",E664=""),"— ignored",IF(C664="","⚠ Time",IF(D664="","⚠ Plant",IF(E664="","⚠ Quantity",IF(AND(ISNUMBER(L664),COUNTIF(L$1:L663,L664)&gt;0),"⚠ Same serial "&amp;L664,IF(AND(ISNUMBER(L664),L664&gt;MIN($L$2:$L$1001),COUNTIF($L$2:$L$1001,L664-1)=0,COUNTIF($L$2:$L$1001,L664-2)&lt;2),"⚠ Missing serial "&amp;(L664-1),IF(AND(MAX(K$1:K663)&gt;0,N(K664)-MAX(K$1:K663)&gt;180),"⚠ Gap &gt; 3h",IF(C664-I664&gt;=0.99,"next day",IF(C664-I664&gt;0.4,"12h → 24h","")))))))))))</f>
        <v/>
      </c>
      <c r="H664" s="4" t="str">
        <f t="shared" si="50"/>
        <v/>
      </c>
      <c r="I664" s="5" t="str">
        <f t="shared" si="51"/>
        <v/>
      </c>
      <c r="J664" s="6">
        <f t="shared" si="52"/>
        <v>0</v>
      </c>
      <c r="K664" s="4" t="str">
        <f t="shared" si="53"/>
        <v/>
      </c>
      <c r="L664" s="4" t="str">
        <f t="shared" si="54"/>
        <v/>
      </c>
      <c r="M664" s="4" t="b" cm="1">
        <f t="array" ref="M664">IF(H664="",FALSE,SUMPRODUCT(--(H$1:H663=H664))&gt;0)</f>
        <v>0</v>
      </c>
    </row>
    <row r="665" spans="1:13" x14ac:dyDescent="0.25">
      <c r="A665" s="9" t="str">
        <f>IF(OR(B665="",M665,G665="— ignored"),"",MAX(A$1:A664)+1)</f>
        <v/>
      </c>
      <c r="B665" s="10"/>
      <c r="C665" s="11" t="str">
        <f>IF(I665="","",ROUND((I665+0.5*MAX(0,CEILING(ROUND((MAX(C$1:C664)-1/48-I665)/0.5,6),1)))*1440,0)/1440)</f>
        <v/>
      </c>
      <c r="D665" s="9" t="str" cm="1">
        <f t="array" ref="D665">IF(H665="","",IFERROR(INDEX(Log!$C$19:$G$19,VALUE(MID(H665,FIND("#",H665)+1,1))),""))</f>
        <v/>
      </c>
      <c r="E665" s="9" t="str" cm="1">
        <f t="array" ref="E665">IF(OR(H665="",M665),"",IFERROR(_xlfn.LET(_xlpm.t,SUBSTITUTE(UPPER(H665),"م","M"),_xlpm.u,SUBSTITUTE(_xlpm.t,"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65" s="12"/>
      <c r="G665" s="13" t="str">
        <f>IF(B665="","",IF(M665,"⚠ Duplicate (not counted)",IF(AND(I665="",D665="",E665=""),"— ignored",IF(C665="","⚠ Time",IF(D665="","⚠ Plant",IF(E665="","⚠ Quantity",IF(AND(ISNUMBER(L665),COUNTIF(L$1:L664,L665)&gt;0),"⚠ Same serial "&amp;L665,IF(AND(ISNUMBER(L665),L665&gt;MIN($L$2:$L$1001),COUNTIF($L$2:$L$1001,L665-1)=0,COUNTIF($L$2:$L$1001,L665-2)&lt;2),"⚠ Missing serial "&amp;(L665-1),IF(AND(MAX(K$1:K664)&gt;0,N(K665)-MAX(K$1:K664)&gt;180),"⚠ Gap &gt; 3h",IF(C665-I665&gt;=0.99,"next day",IF(C665-I665&gt;0.4,"12h → 24h","")))))))))))</f>
        <v/>
      </c>
      <c r="H665" s="4" t="str">
        <f t="shared" si="50"/>
        <v/>
      </c>
      <c r="I665" s="5" t="str">
        <f t="shared" si="51"/>
        <v/>
      </c>
      <c r="J665" s="6">
        <f t="shared" si="52"/>
        <v>0</v>
      </c>
      <c r="K665" s="4" t="str">
        <f t="shared" si="53"/>
        <v/>
      </c>
      <c r="L665" s="4" t="str">
        <f t="shared" si="54"/>
        <v/>
      </c>
      <c r="M665" s="4" t="b" cm="1">
        <f t="array" ref="M665">IF(H665="",FALSE,SUMPRODUCT(--(H$1:H664=H665))&gt;0)</f>
        <v>0</v>
      </c>
    </row>
    <row r="666" spans="1:13" x14ac:dyDescent="0.25">
      <c r="A666" s="9" t="str">
        <f>IF(OR(B666="",M666,G666="— ignored"),"",MAX(A$1:A665)+1)</f>
        <v/>
      </c>
      <c r="B666" s="10"/>
      <c r="C666" s="11" t="str">
        <f>IF(I666="","",ROUND((I666+0.5*MAX(0,CEILING(ROUND((MAX(C$1:C665)-1/48-I666)/0.5,6),1)))*1440,0)/1440)</f>
        <v/>
      </c>
      <c r="D666" s="9" t="str" cm="1">
        <f t="array" ref="D666">IF(H666="","",IFERROR(INDEX(Log!$C$19:$G$19,VALUE(MID(H666,FIND("#",H666)+1,1))),""))</f>
        <v/>
      </c>
      <c r="E666" s="9" t="str" cm="1">
        <f t="array" ref="E666">IF(OR(H666="",M666),"",IFERROR(_xlfn.LET(_xlpm.t,SUBSTITUTE(UPPER(H666),"م","M"),_xlpm.u,SUBSTITUTE(_xlpm.t,"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66" s="12"/>
      <c r="G666" s="13" t="str">
        <f>IF(B666="","",IF(M666,"⚠ Duplicate (not counted)",IF(AND(I666="",D666="",E666=""),"— ignored",IF(C666="","⚠ Time",IF(D666="","⚠ Plant",IF(E666="","⚠ Quantity",IF(AND(ISNUMBER(L666),COUNTIF(L$1:L665,L666)&gt;0),"⚠ Same serial "&amp;L666,IF(AND(ISNUMBER(L666),L666&gt;MIN($L$2:$L$1001),COUNTIF($L$2:$L$1001,L666-1)=0,COUNTIF($L$2:$L$1001,L666-2)&lt;2),"⚠ Missing serial "&amp;(L666-1),IF(AND(MAX(K$1:K665)&gt;0,N(K666)-MAX(K$1:K665)&gt;180),"⚠ Gap &gt; 3h",IF(C666-I666&gt;=0.99,"next day",IF(C666-I666&gt;0.4,"12h → 24h","")))))))))))</f>
        <v/>
      </c>
      <c r="H666" s="4" t="str">
        <f t="shared" si="50"/>
        <v/>
      </c>
      <c r="I666" s="5" t="str">
        <f t="shared" si="51"/>
        <v/>
      </c>
      <c r="J666" s="6">
        <f t="shared" si="52"/>
        <v>0</v>
      </c>
      <c r="K666" s="4" t="str">
        <f t="shared" si="53"/>
        <v/>
      </c>
      <c r="L666" s="4" t="str">
        <f t="shared" si="54"/>
        <v/>
      </c>
      <c r="M666" s="4" t="b" cm="1">
        <f t="array" ref="M666">IF(H666="",FALSE,SUMPRODUCT(--(H$1:H665=H666))&gt;0)</f>
        <v>0</v>
      </c>
    </row>
    <row r="667" spans="1:13" x14ac:dyDescent="0.25">
      <c r="A667" s="9" t="str">
        <f>IF(OR(B667="",M667,G667="— ignored"),"",MAX(A$1:A666)+1)</f>
        <v/>
      </c>
      <c r="B667" s="10"/>
      <c r="C667" s="11" t="str">
        <f>IF(I667="","",ROUND((I667+0.5*MAX(0,CEILING(ROUND((MAX(C$1:C666)-1/48-I667)/0.5,6),1)))*1440,0)/1440)</f>
        <v/>
      </c>
      <c r="D667" s="9" t="str" cm="1">
        <f t="array" ref="D667">IF(H667="","",IFERROR(INDEX(Log!$C$19:$G$19,VALUE(MID(H667,FIND("#",H667)+1,1))),""))</f>
        <v/>
      </c>
      <c r="E667" s="9" t="str" cm="1">
        <f t="array" ref="E667">IF(OR(H667="",M667),"",IFERROR(_xlfn.LET(_xlpm.t,SUBSTITUTE(UPPER(H667),"م","M"),_xlpm.u,SUBSTITUTE(_xlpm.t,"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67" s="12"/>
      <c r="G667" s="13" t="str">
        <f>IF(B667="","",IF(M667,"⚠ Duplicate (not counted)",IF(AND(I667="",D667="",E667=""),"— ignored",IF(C667="","⚠ Time",IF(D667="","⚠ Plant",IF(E667="","⚠ Quantity",IF(AND(ISNUMBER(L667),COUNTIF(L$1:L666,L667)&gt;0),"⚠ Same serial "&amp;L667,IF(AND(ISNUMBER(L667),L667&gt;MIN($L$2:$L$1001),COUNTIF($L$2:$L$1001,L667-1)=0,COUNTIF($L$2:$L$1001,L667-2)&lt;2),"⚠ Missing serial "&amp;(L667-1),IF(AND(MAX(K$1:K666)&gt;0,N(K667)-MAX(K$1:K666)&gt;180),"⚠ Gap &gt; 3h",IF(C667-I667&gt;=0.99,"next day",IF(C667-I667&gt;0.4,"12h → 24h","")))))))))))</f>
        <v/>
      </c>
      <c r="H667" s="4" t="str">
        <f t="shared" si="50"/>
        <v/>
      </c>
      <c r="I667" s="5" t="str">
        <f t="shared" si="51"/>
        <v/>
      </c>
      <c r="J667" s="6">
        <f t="shared" si="52"/>
        <v>0</v>
      </c>
      <c r="K667" s="4" t="str">
        <f t="shared" si="53"/>
        <v/>
      </c>
      <c r="L667" s="4" t="str">
        <f t="shared" si="54"/>
        <v/>
      </c>
      <c r="M667" s="4" t="b" cm="1">
        <f t="array" ref="M667">IF(H667="",FALSE,SUMPRODUCT(--(H$1:H666=H667))&gt;0)</f>
        <v>0</v>
      </c>
    </row>
    <row r="668" spans="1:13" x14ac:dyDescent="0.25">
      <c r="A668" s="9" t="str">
        <f>IF(OR(B668="",M668,G668="— ignored"),"",MAX(A$1:A667)+1)</f>
        <v/>
      </c>
      <c r="B668" s="10"/>
      <c r="C668" s="11" t="str">
        <f>IF(I668="","",ROUND((I668+0.5*MAX(0,CEILING(ROUND((MAX(C$1:C667)-1/48-I668)/0.5,6),1)))*1440,0)/1440)</f>
        <v/>
      </c>
      <c r="D668" s="9" t="str" cm="1">
        <f t="array" ref="D668">IF(H668="","",IFERROR(INDEX(Log!$C$19:$G$19,VALUE(MID(H668,FIND("#",H668)+1,1))),""))</f>
        <v/>
      </c>
      <c r="E668" s="9" t="str" cm="1">
        <f t="array" ref="E668">IF(OR(H668="",M668),"",IFERROR(_xlfn.LET(_xlpm.t,SUBSTITUTE(UPPER(H668),"م","M"),_xlpm.u,SUBSTITUTE(_xlpm.t,"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68" s="12"/>
      <c r="G668" s="13" t="str">
        <f>IF(B668="","",IF(M668,"⚠ Duplicate (not counted)",IF(AND(I668="",D668="",E668=""),"— ignored",IF(C668="","⚠ Time",IF(D668="","⚠ Plant",IF(E668="","⚠ Quantity",IF(AND(ISNUMBER(L668),COUNTIF(L$1:L667,L668)&gt;0),"⚠ Same serial "&amp;L668,IF(AND(ISNUMBER(L668),L668&gt;MIN($L$2:$L$1001),COUNTIF($L$2:$L$1001,L668-1)=0,COUNTIF($L$2:$L$1001,L668-2)&lt;2),"⚠ Missing serial "&amp;(L668-1),IF(AND(MAX(K$1:K667)&gt;0,N(K668)-MAX(K$1:K667)&gt;180),"⚠ Gap &gt; 3h",IF(C668-I668&gt;=0.99,"next day",IF(C668-I668&gt;0.4,"12h → 24h","")))))))))))</f>
        <v/>
      </c>
      <c r="H668" s="4" t="str">
        <f t="shared" si="50"/>
        <v/>
      </c>
      <c r="I668" s="5" t="str">
        <f t="shared" si="51"/>
        <v/>
      </c>
      <c r="J668" s="6">
        <f t="shared" si="52"/>
        <v>0</v>
      </c>
      <c r="K668" s="4" t="str">
        <f t="shared" si="53"/>
        <v/>
      </c>
      <c r="L668" s="4" t="str">
        <f t="shared" si="54"/>
        <v/>
      </c>
      <c r="M668" s="4" t="b" cm="1">
        <f t="array" ref="M668">IF(H668="",FALSE,SUMPRODUCT(--(H$1:H667=H668))&gt;0)</f>
        <v>0</v>
      </c>
    </row>
    <row r="669" spans="1:13" x14ac:dyDescent="0.25">
      <c r="A669" s="9" t="str">
        <f>IF(OR(B669="",M669,G669="— ignored"),"",MAX(A$1:A668)+1)</f>
        <v/>
      </c>
      <c r="B669" s="10"/>
      <c r="C669" s="11" t="str">
        <f>IF(I669="","",ROUND((I669+0.5*MAX(0,CEILING(ROUND((MAX(C$1:C668)-1/48-I669)/0.5,6),1)))*1440,0)/1440)</f>
        <v/>
      </c>
      <c r="D669" s="9" t="str" cm="1">
        <f t="array" ref="D669">IF(H669="","",IFERROR(INDEX(Log!$C$19:$G$19,VALUE(MID(H669,FIND("#",H669)+1,1))),""))</f>
        <v/>
      </c>
      <c r="E669" s="9" t="str" cm="1">
        <f t="array" ref="E669">IF(OR(H669="",M669),"",IFERROR(_xlfn.LET(_xlpm.t,SUBSTITUTE(UPPER(H669),"م","M"),_xlpm.u,SUBSTITUTE(_xlpm.t,"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69" s="12"/>
      <c r="G669" s="13" t="str">
        <f>IF(B669="","",IF(M669,"⚠ Duplicate (not counted)",IF(AND(I669="",D669="",E669=""),"— ignored",IF(C669="","⚠ Time",IF(D669="","⚠ Plant",IF(E669="","⚠ Quantity",IF(AND(ISNUMBER(L669),COUNTIF(L$1:L668,L669)&gt;0),"⚠ Same serial "&amp;L669,IF(AND(ISNUMBER(L669),L669&gt;MIN($L$2:$L$1001),COUNTIF($L$2:$L$1001,L669-1)=0,COUNTIF($L$2:$L$1001,L669-2)&lt;2),"⚠ Missing serial "&amp;(L669-1),IF(AND(MAX(K$1:K668)&gt;0,N(K669)-MAX(K$1:K668)&gt;180),"⚠ Gap &gt; 3h",IF(C669-I669&gt;=0.99,"next day",IF(C669-I669&gt;0.4,"12h → 24h","")))))))))))</f>
        <v/>
      </c>
      <c r="H669" s="4" t="str">
        <f t="shared" si="50"/>
        <v/>
      </c>
      <c r="I669" s="5" t="str">
        <f t="shared" si="51"/>
        <v/>
      </c>
      <c r="J669" s="6">
        <f t="shared" si="52"/>
        <v>0</v>
      </c>
      <c r="K669" s="4" t="str">
        <f t="shared" si="53"/>
        <v/>
      </c>
      <c r="L669" s="4" t="str">
        <f t="shared" si="54"/>
        <v/>
      </c>
      <c r="M669" s="4" t="b" cm="1">
        <f t="array" ref="M669">IF(H669="",FALSE,SUMPRODUCT(--(H$1:H668=H669))&gt;0)</f>
        <v>0</v>
      </c>
    </row>
    <row r="670" spans="1:13" x14ac:dyDescent="0.25">
      <c r="A670" s="9" t="str">
        <f>IF(OR(B670="",M670,G670="— ignored"),"",MAX(A$1:A669)+1)</f>
        <v/>
      </c>
      <c r="B670" s="10"/>
      <c r="C670" s="11" t="str">
        <f>IF(I670="","",ROUND((I670+0.5*MAX(0,CEILING(ROUND((MAX(C$1:C669)-1/48-I670)/0.5,6),1)))*1440,0)/1440)</f>
        <v/>
      </c>
      <c r="D670" s="9" t="str" cm="1">
        <f t="array" ref="D670">IF(H670="","",IFERROR(INDEX(Log!$C$19:$G$19,VALUE(MID(H670,FIND("#",H670)+1,1))),""))</f>
        <v/>
      </c>
      <c r="E670" s="9" t="str" cm="1">
        <f t="array" ref="E670">IF(OR(H670="",M670),"",IFERROR(_xlfn.LET(_xlpm.t,SUBSTITUTE(UPPER(H670),"م","M"),_xlpm.u,SUBSTITUTE(_xlpm.t,"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70" s="12"/>
      <c r="G670" s="13" t="str">
        <f>IF(B670="","",IF(M670,"⚠ Duplicate (not counted)",IF(AND(I670="",D670="",E670=""),"— ignored",IF(C670="","⚠ Time",IF(D670="","⚠ Plant",IF(E670="","⚠ Quantity",IF(AND(ISNUMBER(L670),COUNTIF(L$1:L669,L670)&gt;0),"⚠ Same serial "&amp;L670,IF(AND(ISNUMBER(L670),L670&gt;MIN($L$2:$L$1001),COUNTIF($L$2:$L$1001,L670-1)=0,COUNTIF($L$2:$L$1001,L670-2)&lt;2),"⚠ Missing serial "&amp;(L670-1),IF(AND(MAX(K$1:K669)&gt;0,N(K670)-MAX(K$1:K669)&gt;180),"⚠ Gap &gt; 3h",IF(C670-I670&gt;=0.99,"next day",IF(C670-I670&gt;0.4,"12h → 24h","")))))))))))</f>
        <v/>
      </c>
      <c r="H670" s="4" t="str">
        <f t="shared" si="50"/>
        <v/>
      </c>
      <c r="I670" s="5" t="str">
        <f t="shared" si="51"/>
        <v/>
      </c>
      <c r="J670" s="6">
        <f t="shared" si="52"/>
        <v>0</v>
      </c>
      <c r="K670" s="4" t="str">
        <f t="shared" si="53"/>
        <v/>
      </c>
      <c r="L670" s="4" t="str">
        <f t="shared" si="54"/>
        <v/>
      </c>
      <c r="M670" s="4" t="b" cm="1">
        <f t="array" ref="M670">IF(H670="",FALSE,SUMPRODUCT(--(H$1:H669=H670))&gt;0)</f>
        <v>0</v>
      </c>
    </row>
    <row r="671" spans="1:13" x14ac:dyDescent="0.25">
      <c r="A671" s="9" t="str">
        <f>IF(OR(B671="",M671,G671="— ignored"),"",MAX(A$1:A670)+1)</f>
        <v/>
      </c>
      <c r="B671" s="10"/>
      <c r="C671" s="11" t="str">
        <f>IF(I671="","",ROUND((I671+0.5*MAX(0,CEILING(ROUND((MAX(C$1:C670)-1/48-I671)/0.5,6),1)))*1440,0)/1440)</f>
        <v/>
      </c>
      <c r="D671" s="9" t="str" cm="1">
        <f t="array" ref="D671">IF(H671="","",IFERROR(INDEX(Log!$C$19:$G$19,VALUE(MID(H671,FIND("#",H671)+1,1))),""))</f>
        <v/>
      </c>
      <c r="E671" s="9" t="str" cm="1">
        <f t="array" ref="E671">IF(OR(H671="",M671),"",IFERROR(_xlfn.LET(_xlpm.t,SUBSTITUTE(UPPER(H671),"م","M"),_xlpm.u,SUBSTITUTE(_xlpm.t,"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71" s="12"/>
      <c r="G671" s="13" t="str">
        <f>IF(B671="","",IF(M671,"⚠ Duplicate (not counted)",IF(AND(I671="",D671="",E671=""),"— ignored",IF(C671="","⚠ Time",IF(D671="","⚠ Plant",IF(E671="","⚠ Quantity",IF(AND(ISNUMBER(L671),COUNTIF(L$1:L670,L671)&gt;0),"⚠ Same serial "&amp;L671,IF(AND(ISNUMBER(L671),L671&gt;MIN($L$2:$L$1001),COUNTIF($L$2:$L$1001,L671-1)=0,COUNTIF($L$2:$L$1001,L671-2)&lt;2),"⚠ Missing serial "&amp;(L671-1),IF(AND(MAX(K$1:K670)&gt;0,N(K671)-MAX(K$1:K670)&gt;180),"⚠ Gap &gt; 3h",IF(C671-I671&gt;=0.99,"next day",IF(C671-I671&gt;0.4,"12h → 24h","")))))))))))</f>
        <v/>
      </c>
      <c r="H671" s="4" t="str">
        <f t="shared" si="50"/>
        <v/>
      </c>
      <c r="I671" s="5" t="str">
        <f t="shared" si="51"/>
        <v/>
      </c>
      <c r="J671" s="6">
        <f t="shared" si="52"/>
        <v>0</v>
      </c>
      <c r="K671" s="4" t="str">
        <f t="shared" si="53"/>
        <v/>
      </c>
      <c r="L671" s="4" t="str">
        <f t="shared" si="54"/>
        <v/>
      </c>
      <c r="M671" s="4" t="b" cm="1">
        <f t="array" ref="M671">IF(H671="",FALSE,SUMPRODUCT(--(H$1:H670=H671))&gt;0)</f>
        <v>0</v>
      </c>
    </row>
    <row r="672" spans="1:13" x14ac:dyDescent="0.25">
      <c r="A672" s="9" t="str">
        <f>IF(OR(B672="",M672,G672="— ignored"),"",MAX(A$1:A671)+1)</f>
        <v/>
      </c>
      <c r="B672" s="10"/>
      <c r="C672" s="11" t="str">
        <f>IF(I672="","",ROUND((I672+0.5*MAX(0,CEILING(ROUND((MAX(C$1:C671)-1/48-I672)/0.5,6),1)))*1440,0)/1440)</f>
        <v/>
      </c>
      <c r="D672" s="9" t="str" cm="1">
        <f t="array" ref="D672">IF(H672="","",IFERROR(INDEX(Log!$C$19:$G$19,VALUE(MID(H672,FIND("#",H672)+1,1))),""))</f>
        <v/>
      </c>
      <c r="E672" s="9" t="str" cm="1">
        <f t="array" ref="E672">IF(OR(H672="",M672),"",IFERROR(_xlfn.LET(_xlpm.t,SUBSTITUTE(UPPER(H672),"م","M"),_xlpm.u,SUBSTITUTE(_xlpm.t,"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72" s="12"/>
      <c r="G672" s="13" t="str">
        <f>IF(B672="","",IF(M672,"⚠ Duplicate (not counted)",IF(AND(I672="",D672="",E672=""),"— ignored",IF(C672="","⚠ Time",IF(D672="","⚠ Plant",IF(E672="","⚠ Quantity",IF(AND(ISNUMBER(L672),COUNTIF(L$1:L671,L672)&gt;0),"⚠ Same serial "&amp;L672,IF(AND(ISNUMBER(L672),L672&gt;MIN($L$2:$L$1001),COUNTIF($L$2:$L$1001,L672-1)=0,COUNTIF($L$2:$L$1001,L672-2)&lt;2),"⚠ Missing serial "&amp;(L672-1),IF(AND(MAX(K$1:K671)&gt;0,N(K672)-MAX(K$1:K671)&gt;180),"⚠ Gap &gt; 3h",IF(C672-I672&gt;=0.99,"next day",IF(C672-I672&gt;0.4,"12h → 24h","")))))))))))</f>
        <v/>
      </c>
      <c r="H672" s="4" t="str">
        <f t="shared" si="50"/>
        <v/>
      </c>
      <c r="I672" s="5" t="str">
        <f t="shared" si="51"/>
        <v/>
      </c>
      <c r="J672" s="6">
        <f t="shared" si="52"/>
        <v>0</v>
      </c>
      <c r="K672" s="4" t="str">
        <f t="shared" si="53"/>
        <v/>
      </c>
      <c r="L672" s="4" t="str">
        <f t="shared" si="54"/>
        <v/>
      </c>
      <c r="M672" s="4" t="b" cm="1">
        <f t="array" ref="M672">IF(H672="",FALSE,SUMPRODUCT(--(H$1:H671=H672))&gt;0)</f>
        <v>0</v>
      </c>
    </row>
    <row r="673" spans="1:13" x14ac:dyDescent="0.25">
      <c r="A673" s="9" t="str">
        <f>IF(OR(B673="",M673,G673="— ignored"),"",MAX(A$1:A672)+1)</f>
        <v/>
      </c>
      <c r="B673" s="10"/>
      <c r="C673" s="11" t="str">
        <f>IF(I673="","",ROUND((I673+0.5*MAX(0,CEILING(ROUND((MAX(C$1:C672)-1/48-I673)/0.5,6),1)))*1440,0)/1440)</f>
        <v/>
      </c>
      <c r="D673" s="9" t="str" cm="1">
        <f t="array" ref="D673">IF(H673="","",IFERROR(INDEX(Log!$C$19:$G$19,VALUE(MID(H673,FIND("#",H673)+1,1))),""))</f>
        <v/>
      </c>
      <c r="E673" s="9" t="str" cm="1">
        <f t="array" ref="E673">IF(OR(H673="",M673),"",IFERROR(_xlfn.LET(_xlpm.t,SUBSTITUTE(UPPER(H673),"م","M"),_xlpm.u,SUBSTITUTE(_xlpm.t,"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73" s="12"/>
      <c r="G673" s="13" t="str">
        <f>IF(B673="","",IF(M673,"⚠ Duplicate (not counted)",IF(AND(I673="",D673="",E673=""),"— ignored",IF(C673="","⚠ Time",IF(D673="","⚠ Plant",IF(E673="","⚠ Quantity",IF(AND(ISNUMBER(L673),COUNTIF(L$1:L672,L673)&gt;0),"⚠ Same serial "&amp;L673,IF(AND(ISNUMBER(L673),L673&gt;MIN($L$2:$L$1001),COUNTIF($L$2:$L$1001,L673-1)=0,COUNTIF($L$2:$L$1001,L673-2)&lt;2),"⚠ Missing serial "&amp;(L673-1),IF(AND(MAX(K$1:K672)&gt;0,N(K673)-MAX(K$1:K672)&gt;180),"⚠ Gap &gt; 3h",IF(C673-I673&gt;=0.99,"next day",IF(C673-I673&gt;0.4,"12h → 24h","")))))))))))</f>
        <v/>
      </c>
      <c r="H673" s="4" t="str">
        <f t="shared" si="50"/>
        <v/>
      </c>
      <c r="I673" s="5" t="str">
        <f t="shared" si="51"/>
        <v/>
      </c>
      <c r="J673" s="6">
        <f t="shared" si="52"/>
        <v>0</v>
      </c>
      <c r="K673" s="4" t="str">
        <f t="shared" si="53"/>
        <v/>
      </c>
      <c r="L673" s="4" t="str">
        <f t="shared" si="54"/>
        <v/>
      </c>
      <c r="M673" s="4" t="b" cm="1">
        <f t="array" ref="M673">IF(H673="",FALSE,SUMPRODUCT(--(H$1:H672=H673))&gt;0)</f>
        <v>0</v>
      </c>
    </row>
    <row r="674" spans="1:13" x14ac:dyDescent="0.25">
      <c r="A674" s="9" t="str">
        <f>IF(OR(B674="",M674,G674="— ignored"),"",MAX(A$1:A673)+1)</f>
        <v/>
      </c>
      <c r="B674" s="10"/>
      <c r="C674" s="11" t="str">
        <f>IF(I674="","",ROUND((I674+0.5*MAX(0,CEILING(ROUND((MAX(C$1:C673)-1/48-I674)/0.5,6),1)))*1440,0)/1440)</f>
        <v/>
      </c>
      <c r="D674" s="9" t="str" cm="1">
        <f t="array" ref="D674">IF(H674="","",IFERROR(INDEX(Log!$C$19:$G$19,VALUE(MID(H674,FIND("#",H674)+1,1))),""))</f>
        <v/>
      </c>
      <c r="E674" s="9" t="str" cm="1">
        <f t="array" ref="E674">IF(OR(H674="",M674),"",IFERROR(_xlfn.LET(_xlpm.t,SUBSTITUTE(UPPER(H674),"م","M"),_xlpm.u,SUBSTITUTE(_xlpm.t,"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74" s="12"/>
      <c r="G674" s="13" t="str">
        <f>IF(B674="","",IF(M674,"⚠ Duplicate (not counted)",IF(AND(I674="",D674="",E674=""),"— ignored",IF(C674="","⚠ Time",IF(D674="","⚠ Plant",IF(E674="","⚠ Quantity",IF(AND(ISNUMBER(L674),COUNTIF(L$1:L673,L674)&gt;0),"⚠ Same serial "&amp;L674,IF(AND(ISNUMBER(L674),L674&gt;MIN($L$2:$L$1001),COUNTIF($L$2:$L$1001,L674-1)=0,COUNTIF($L$2:$L$1001,L674-2)&lt;2),"⚠ Missing serial "&amp;(L674-1),IF(AND(MAX(K$1:K673)&gt;0,N(K674)-MAX(K$1:K673)&gt;180),"⚠ Gap &gt; 3h",IF(C674-I674&gt;=0.99,"next day",IF(C674-I674&gt;0.4,"12h → 24h","")))))))))))</f>
        <v/>
      </c>
      <c r="H674" s="4" t="str">
        <f t="shared" si="50"/>
        <v/>
      </c>
      <c r="I674" s="5" t="str">
        <f t="shared" si="51"/>
        <v/>
      </c>
      <c r="J674" s="6">
        <f t="shared" si="52"/>
        <v>0</v>
      </c>
      <c r="K674" s="4" t="str">
        <f t="shared" si="53"/>
        <v/>
      </c>
      <c r="L674" s="4" t="str">
        <f t="shared" si="54"/>
        <v/>
      </c>
      <c r="M674" s="4" t="b" cm="1">
        <f t="array" ref="M674">IF(H674="",FALSE,SUMPRODUCT(--(H$1:H673=H674))&gt;0)</f>
        <v>0</v>
      </c>
    </row>
    <row r="675" spans="1:13" x14ac:dyDescent="0.25">
      <c r="A675" s="9" t="str">
        <f>IF(OR(B675="",M675,G675="— ignored"),"",MAX(A$1:A674)+1)</f>
        <v/>
      </c>
      <c r="B675" s="10"/>
      <c r="C675" s="11" t="str">
        <f>IF(I675="","",ROUND((I675+0.5*MAX(0,CEILING(ROUND((MAX(C$1:C674)-1/48-I675)/0.5,6),1)))*1440,0)/1440)</f>
        <v/>
      </c>
      <c r="D675" s="9" t="str" cm="1">
        <f t="array" ref="D675">IF(H675="","",IFERROR(INDEX(Log!$C$19:$G$19,VALUE(MID(H675,FIND("#",H675)+1,1))),""))</f>
        <v/>
      </c>
      <c r="E675" s="9" t="str" cm="1">
        <f t="array" ref="E675">IF(OR(H675="",M675),"",IFERROR(_xlfn.LET(_xlpm.t,SUBSTITUTE(UPPER(H675),"م","M"),_xlpm.u,SUBSTITUTE(_xlpm.t,"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75" s="12"/>
      <c r="G675" s="13" t="str">
        <f>IF(B675="","",IF(M675,"⚠ Duplicate (not counted)",IF(AND(I675="",D675="",E675=""),"— ignored",IF(C675="","⚠ Time",IF(D675="","⚠ Plant",IF(E675="","⚠ Quantity",IF(AND(ISNUMBER(L675),COUNTIF(L$1:L674,L675)&gt;0),"⚠ Same serial "&amp;L675,IF(AND(ISNUMBER(L675),L675&gt;MIN($L$2:$L$1001),COUNTIF($L$2:$L$1001,L675-1)=0,COUNTIF($L$2:$L$1001,L675-2)&lt;2),"⚠ Missing serial "&amp;(L675-1),IF(AND(MAX(K$1:K674)&gt;0,N(K675)-MAX(K$1:K674)&gt;180),"⚠ Gap &gt; 3h",IF(C675-I675&gt;=0.99,"next day",IF(C675-I675&gt;0.4,"12h → 24h","")))))))))))</f>
        <v/>
      </c>
      <c r="H675" s="4" t="str">
        <f t="shared" si="50"/>
        <v/>
      </c>
      <c r="I675" s="5" t="str">
        <f t="shared" si="51"/>
        <v/>
      </c>
      <c r="J675" s="6">
        <f t="shared" si="52"/>
        <v>0</v>
      </c>
      <c r="K675" s="4" t="str">
        <f t="shared" si="53"/>
        <v/>
      </c>
      <c r="L675" s="4" t="str">
        <f t="shared" si="54"/>
        <v/>
      </c>
      <c r="M675" s="4" t="b" cm="1">
        <f t="array" ref="M675">IF(H675="",FALSE,SUMPRODUCT(--(H$1:H674=H675))&gt;0)</f>
        <v>0</v>
      </c>
    </row>
    <row r="676" spans="1:13" x14ac:dyDescent="0.25">
      <c r="A676" s="9" t="str">
        <f>IF(OR(B676="",M676,G676="— ignored"),"",MAX(A$1:A675)+1)</f>
        <v/>
      </c>
      <c r="B676" s="10"/>
      <c r="C676" s="11" t="str">
        <f>IF(I676="","",ROUND((I676+0.5*MAX(0,CEILING(ROUND((MAX(C$1:C675)-1/48-I676)/0.5,6),1)))*1440,0)/1440)</f>
        <v/>
      </c>
      <c r="D676" s="9" t="str" cm="1">
        <f t="array" ref="D676">IF(H676="","",IFERROR(INDEX(Log!$C$19:$G$19,VALUE(MID(H676,FIND("#",H676)+1,1))),""))</f>
        <v/>
      </c>
      <c r="E676" s="9" t="str" cm="1">
        <f t="array" ref="E676">IF(OR(H676="",M676),"",IFERROR(_xlfn.LET(_xlpm.t,SUBSTITUTE(UPPER(H676),"م","M"),_xlpm.u,SUBSTITUTE(_xlpm.t,"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76" s="12"/>
      <c r="G676" s="13" t="str">
        <f>IF(B676="","",IF(M676,"⚠ Duplicate (not counted)",IF(AND(I676="",D676="",E676=""),"— ignored",IF(C676="","⚠ Time",IF(D676="","⚠ Plant",IF(E676="","⚠ Quantity",IF(AND(ISNUMBER(L676),COUNTIF(L$1:L675,L676)&gt;0),"⚠ Same serial "&amp;L676,IF(AND(ISNUMBER(L676),L676&gt;MIN($L$2:$L$1001),COUNTIF($L$2:$L$1001,L676-1)=0,COUNTIF($L$2:$L$1001,L676-2)&lt;2),"⚠ Missing serial "&amp;(L676-1),IF(AND(MAX(K$1:K675)&gt;0,N(K676)-MAX(K$1:K675)&gt;180),"⚠ Gap &gt; 3h",IF(C676-I676&gt;=0.99,"next day",IF(C676-I676&gt;0.4,"12h → 24h","")))))))))))</f>
        <v/>
      </c>
      <c r="H676" s="4" t="str">
        <f t="shared" si="50"/>
        <v/>
      </c>
      <c r="I676" s="5" t="str">
        <f t="shared" si="51"/>
        <v/>
      </c>
      <c r="J676" s="6">
        <f t="shared" si="52"/>
        <v>0</v>
      </c>
      <c r="K676" s="4" t="str">
        <f t="shared" si="53"/>
        <v/>
      </c>
      <c r="L676" s="4" t="str">
        <f t="shared" si="54"/>
        <v/>
      </c>
      <c r="M676" s="4" t="b" cm="1">
        <f t="array" ref="M676">IF(H676="",FALSE,SUMPRODUCT(--(H$1:H675=H676))&gt;0)</f>
        <v>0</v>
      </c>
    </row>
    <row r="677" spans="1:13" x14ac:dyDescent="0.25">
      <c r="A677" s="9" t="str">
        <f>IF(OR(B677="",M677,G677="— ignored"),"",MAX(A$1:A676)+1)</f>
        <v/>
      </c>
      <c r="B677" s="10"/>
      <c r="C677" s="11" t="str">
        <f>IF(I677="","",ROUND((I677+0.5*MAX(0,CEILING(ROUND((MAX(C$1:C676)-1/48-I677)/0.5,6),1)))*1440,0)/1440)</f>
        <v/>
      </c>
      <c r="D677" s="9" t="str" cm="1">
        <f t="array" ref="D677">IF(H677="","",IFERROR(INDEX(Log!$C$19:$G$19,VALUE(MID(H677,FIND("#",H677)+1,1))),""))</f>
        <v/>
      </c>
      <c r="E677" s="9" t="str" cm="1">
        <f t="array" ref="E677">IF(OR(H677="",M677),"",IFERROR(_xlfn.LET(_xlpm.t,SUBSTITUTE(UPPER(H677),"م","M"),_xlpm.u,SUBSTITUTE(_xlpm.t,"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77" s="12"/>
      <c r="G677" s="13" t="str">
        <f>IF(B677="","",IF(M677,"⚠ Duplicate (not counted)",IF(AND(I677="",D677="",E677=""),"— ignored",IF(C677="","⚠ Time",IF(D677="","⚠ Plant",IF(E677="","⚠ Quantity",IF(AND(ISNUMBER(L677),COUNTIF(L$1:L676,L677)&gt;0),"⚠ Same serial "&amp;L677,IF(AND(ISNUMBER(L677),L677&gt;MIN($L$2:$L$1001),COUNTIF($L$2:$L$1001,L677-1)=0,COUNTIF($L$2:$L$1001,L677-2)&lt;2),"⚠ Missing serial "&amp;(L677-1),IF(AND(MAX(K$1:K676)&gt;0,N(K677)-MAX(K$1:K676)&gt;180),"⚠ Gap &gt; 3h",IF(C677-I677&gt;=0.99,"next day",IF(C677-I677&gt;0.4,"12h → 24h","")))))))))))</f>
        <v/>
      </c>
      <c r="H677" s="4" t="str">
        <f t="shared" si="50"/>
        <v/>
      </c>
      <c r="I677" s="5" t="str">
        <f t="shared" si="51"/>
        <v/>
      </c>
      <c r="J677" s="6">
        <f t="shared" si="52"/>
        <v>0</v>
      </c>
      <c r="K677" s="4" t="str">
        <f t="shared" si="53"/>
        <v/>
      </c>
      <c r="L677" s="4" t="str">
        <f t="shared" si="54"/>
        <v/>
      </c>
      <c r="M677" s="4" t="b" cm="1">
        <f t="array" ref="M677">IF(H677="",FALSE,SUMPRODUCT(--(H$1:H676=H677))&gt;0)</f>
        <v>0</v>
      </c>
    </row>
    <row r="678" spans="1:13" x14ac:dyDescent="0.25">
      <c r="A678" s="9" t="str">
        <f>IF(OR(B678="",M678,G678="— ignored"),"",MAX(A$1:A677)+1)</f>
        <v/>
      </c>
      <c r="B678" s="10"/>
      <c r="C678" s="11" t="str">
        <f>IF(I678="","",ROUND((I678+0.5*MAX(0,CEILING(ROUND((MAX(C$1:C677)-1/48-I678)/0.5,6),1)))*1440,0)/1440)</f>
        <v/>
      </c>
      <c r="D678" s="9" t="str" cm="1">
        <f t="array" ref="D678">IF(H678="","",IFERROR(INDEX(Log!$C$19:$G$19,VALUE(MID(H678,FIND("#",H678)+1,1))),""))</f>
        <v/>
      </c>
      <c r="E678" s="9" t="str" cm="1">
        <f t="array" ref="E678">IF(OR(H678="",M678),"",IFERROR(_xlfn.LET(_xlpm.t,SUBSTITUTE(UPPER(H678),"م","M"),_xlpm.u,SUBSTITUTE(_xlpm.t,"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78" s="12"/>
      <c r="G678" s="13" t="str">
        <f>IF(B678="","",IF(M678,"⚠ Duplicate (not counted)",IF(AND(I678="",D678="",E678=""),"— ignored",IF(C678="","⚠ Time",IF(D678="","⚠ Plant",IF(E678="","⚠ Quantity",IF(AND(ISNUMBER(L678),COUNTIF(L$1:L677,L678)&gt;0),"⚠ Same serial "&amp;L678,IF(AND(ISNUMBER(L678),L678&gt;MIN($L$2:$L$1001),COUNTIF($L$2:$L$1001,L678-1)=0,COUNTIF($L$2:$L$1001,L678-2)&lt;2),"⚠ Missing serial "&amp;(L678-1),IF(AND(MAX(K$1:K677)&gt;0,N(K678)-MAX(K$1:K677)&gt;180),"⚠ Gap &gt; 3h",IF(C678-I678&gt;=0.99,"next day",IF(C678-I678&gt;0.4,"12h → 24h","")))))))))))</f>
        <v/>
      </c>
      <c r="H678" s="4" t="str">
        <f t="shared" si="50"/>
        <v/>
      </c>
      <c r="I678" s="5" t="str">
        <f t="shared" si="51"/>
        <v/>
      </c>
      <c r="J678" s="6">
        <f t="shared" si="52"/>
        <v>0</v>
      </c>
      <c r="K678" s="4" t="str">
        <f t="shared" si="53"/>
        <v/>
      </c>
      <c r="L678" s="4" t="str">
        <f t="shared" si="54"/>
        <v/>
      </c>
      <c r="M678" s="4" t="b" cm="1">
        <f t="array" ref="M678">IF(H678="",FALSE,SUMPRODUCT(--(H$1:H677=H678))&gt;0)</f>
        <v>0</v>
      </c>
    </row>
    <row r="679" spans="1:13" x14ac:dyDescent="0.25">
      <c r="A679" s="9" t="str">
        <f>IF(OR(B679="",M679,G679="— ignored"),"",MAX(A$1:A678)+1)</f>
        <v/>
      </c>
      <c r="B679" s="10"/>
      <c r="C679" s="11" t="str">
        <f>IF(I679="","",ROUND((I679+0.5*MAX(0,CEILING(ROUND((MAX(C$1:C678)-1/48-I679)/0.5,6),1)))*1440,0)/1440)</f>
        <v/>
      </c>
      <c r="D679" s="9" t="str" cm="1">
        <f t="array" ref="D679">IF(H679="","",IFERROR(INDEX(Log!$C$19:$G$19,VALUE(MID(H679,FIND("#",H679)+1,1))),""))</f>
        <v/>
      </c>
      <c r="E679" s="9" t="str" cm="1">
        <f t="array" ref="E679">IF(OR(H679="",M679),"",IFERROR(_xlfn.LET(_xlpm.t,SUBSTITUTE(UPPER(H679),"م","M"),_xlpm.u,SUBSTITUTE(_xlpm.t,"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79" s="12"/>
      <c r="G679" s="13" t="str">
        <f>IF(B679="","",IF(M679,"⚠ Duplicate (not counted)",IF(AND(I679="",D679="",E679=""),"— ignored",IF(C679="","⚠ Time",IF(D679="","⚠ Plant",IF(E679="","⚠ Quantity",IF(AND(ISNUMBER(L679),COUNTIF(L$1:L678,L679)&gt;0),"⚠ Same serial "&amp;L679,IF(AND(ISNUMBER(L679),L679&gt;MIN($L$2:$L$1001),COUNTIF($L$2:$L$1001,L679-1)=0,COUNTIF($L$2:$L$1001,L679-2)&lt;2),"⚠ Missing serial "&amp;(L679-1),IF(AND(MAX(K$1:K678)&gt;0,N(K679)-MAX(K$1:K678)&gt;180),"⚠ Gap &gt; 3h",IF(C679-I679&gt;=0.99,"next day",IF(C679-I679&gt;0.4,"12h → 24h","")))))))))))</f>
        <v/>
      </c>
      <c r="H679" s="4" t="str">
        <f t="shared" si="50"/>
        <v/>
      </c>
      <c r="I679" s="5" t="str">
        <f t="shared" si="51"/>
        <v/>
      </c>
      <c r="J679" s="6">
        <f t="shared" si="52"/>
        <v>0</v>
      </c>
      <c r="K679" s="4" t="str">
        <f t="shared" si="53"/>
        <v/>
      </c>
      <c r="L679" s="4" t="str">
        <f t="shared" si="54"/>
        <v/>
      </c>
      <c r="M679" s="4" t="b" cm="1">
        <f t="array" ref="M679">IF(H679="",FALSE,SUMPRODUCT(--(H$1:H678=H679))&gt;0)</f>
        <v>0</v>
      </c>
    </row>
    <row r="680" spans="1:13" x14ac:dyDescent="0.25">
      <c r="A680" s="9" t="str">
        <f>IF(OR(B680="",M680,G680="— ignored"),"",MAX(A$1:A679)+1)</f>
        <v/>
      </c>
      <c r="B680" s="10"/>
      <c r="C680" s="11" t="str">
        <f>IF(I680="","",ROUND((I680+0.5*MAX(0,CEILING(ROUND((MAX(C$1:C679)-1/48-I680)/0.5,6),1)))*1440,0)/1440)</f>
        <v/>
      </c>
      <c r="D680" s="9" t="str" cm="1">
        <f t="array" ref="D680">IF(H680="","",IFERROR(INDEX(Log!$C$19:$G$19,VALUE(MID(H680,FIND("#",H680)+1,1))),""))</f>
        <v/>
      </c>
      <c r="E680" s="9" t="str" cm="1">
        <f t="array" ref="E680">IF(OR(H680="",M680),"",IFERROR(_xlfn.LET(_xlpm.t,SUBSTITUTE(UPPER(H680),"م","M"),_xlpm.u,SUBSTITUTE(_xlpm.t,"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80" s="12"/>
      <c r="G680" s="13" t="str">
        <f>IF(B680="","",IF(M680,"⚠ Duplicate (not counted)",IF(AND(I680="",D680="",E680=""),"— ignored",IF(C680="","⚠ Time",IF(D680="","⚠ Plant",IF(E680="","⚠ Quantity",IF(AND(ISNUMBER(L680),COUNTIF(L$1:L679,L680)&gt;0),"⚠ Same serial "&amp;L680,IF(AND(ISNUMBER(L680),L680&gt;MIN($L$2:$L$1001),COUNTIF($L$2:$L$1001,L680-1)=0,COUNTIF($L$2:$L$1001,L680-2)&lt;2),"⚠ Missing serial "&amp;(L680-1),IF(AND(MAX(K$1:K679)&gt;0,N(K680)-MAX(K$1:K679)&gt;180),"⚠ Gap &gt; 3h",IF(C680-I680&gt;=0.99,"next day",IF(C680-I680&gt;0.4,"12h → 24h","")))))))))))</f>
        <v/>
      </c>
      <c r="H680" s="4" t="str">
        <f t="shared" si="50"/>
        <v/>
      </c>
      <c r="I680" s="5" t="str">
        <f t="shared" si="51"/>
        <v/>
      </c>
      <c r="J680" s="6">
        <f t="shared" si="52"/>
        <v>0</v>
      </c>
      <c r="K680" s="4" t="str">
        <f t="shared" si="53"/>
        <v/>
      </c>
      <c r="L680" s="4" t="str">
        <f t="shared" si="54"/>
        <v/>
      </c>
      <c r="M680" s="4" t="b" cm="1">
        <f t="array" ref="M680">IF(H680="",FALSE,SUMPRODUCT(--(H$1:H679=H680))&gt;0)</f>
        <v>0</v>
      </c>
    </row>
    <row r="681" spans="1:13" x14ac:dyDescent="0.25">
      <c r="A681" s="9" t="str">
        <f>IF(OR(B681="",M681,G681="— ignored"),"",MAX(A$1:A680)+1)</f>
        <v/>
      </c>
      <c r="B681" s="10"/>
      <c r="C681" s="11" t="str">
        <f>IF(I681="","",ROUND((I681+0.5*MAX(0,CEILING(ROUND((MAX(C$1:C680)-1/48-I681)/0.5,6),1)))*1440,0)/1440)</f>
        <v/>
      </c>
      <c r="D681" s="9" t="str" cm="1">
        <f t="array" ref="D681">IF(H681="","",IFERROR(INDEX(Log!$C$19:$G$19,VALUE(MID(H681,FIND("#",H681)+1,1))),""))</f>
        <v/>
      </c>
      <c r="E681" s="9" t="str" cm="1">
        <f t="array" ref="E681">IF(OR(H681="",M681),"",IFERROR(_xlfn.LET(_xlpm.t,SUBSTITUTE(UPPER(H681),"م","M"),_xlpm.u,SUBSTITUTE(_xlpm.t,"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81" s="12"/>
      <c r="G681" s="13" t="str">
        <f>IF(B681="","",IF(M681,"⚠ Duplicate (not counted)",IF(AND(I681="",D681="",E681=""),"— ignored",IF(C681="","⚠ Time",IF(D681="","⚠ Plant",IF(E681="","⚠ Quantity",IF(AND(ISNUMBER(L681),COUNTIF(L$1:L680,L681)&gt;0),"⚠ Same serial "&amp;L681,IF(AND(ISNUMBER(L681),L681&gt;MIN($L$2:$L$1001),COUNTIF($L$2:$L$1001,L681-1)=0,COUNTIF($L$2:$L$1001,L681-2)&lt;2),"⚠ Missing serial "&amp;(L681-1),IF(AND(MAX(K$1:K680)&gt;0,N(K681)-MAX(K$1:K680)&gt;180),"⚠ Gap &gt; 3h",IF(C681-I681&gt;=0.99,"next day",IF(C681-I681&gt;0.4,"12h → 24h","")))))))))))</f>
        <v/>
      </c>
      <c r="H681" s="4" t="str">
        <f t="shared" si="50"/>
        <v/>
      </c>
      <c r="I681" s="5" t="str">
        <f t="shared" si="51"/>
        <v/>
      </c>
      <c r="J681" s="6">
        <f t="shared" si="52"/>
        <v>0</v>
      </c>
      <c r="K681" s="4" t="str">
        <f t="shared" si="53"/>
        <v/>
      </c>
      <c r="L681" s="4" t="str">
        <f t="shared" si="54"/>
        <v/>
      </c>
      <c r="M681" s="4" t="b" cm="1">
        <f t="array" ref="M681">IF(H681="",FALSE,SUMPRODUCT(--(H$1:H680=H681))&gt;0)</f>
        <v>0</v>
      </c>
    </row>
    <row r="682" spans="1:13" x14ac:dyDescent="0.25">
      <c r="A682" s="9" t="str">
        <f>IF(OR(B682="",M682,G682="— ignored"),"",MAX(A$1:A681)+1)</f>
        <v/>
      </c>
      <c r="B682" s="10"/>
      <c r="C682" s="11" t="str">
        <f>IF(I682="","",ROUND((I682+0.5*MAX(0,CEILING(ROUND((MAX(C$1:C681)-1/48-I682)/0.5,6),1)))*1440,0)/1440)</f>
        <v/>
      </c>
      <c r="D682" s="9" t="str" cm="1">
        <f t="array" ref="D682">IF(H682="","",IFERROR(INDEX(Log!$C$19:$G$19,VALUE(MID(H682,FIND("#",H682)+1,1))),""))</f>
        <v/>
      </c>
      <c r="E682" s="9" t="str" cm="1">
        <f t="array" ref="E682">IF(OR(H682="",M682),"",IFERROR(_xlfn.LET(_xlpm.t,SUBSTITUTE(UPPER(H682),"م","M"),_xlpm.u,SUBSTITUTE(_xlpm.t,"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82" s="12"/>
      <c r="G682" s="13" t="str">
        <f>IF(B682="","",IF(M682,"⚠ Duplicate (not counted)",IF(AND(I682="",D682="",E682=""),"— ignored",IF(C682="","⚠ Time",IF(D682="","⚠ Plant",IF(E682="","⚠ Quantity",IF(AND(ISNUMBER(L682),COUNTIF(L$1:L681,L682)&gt;0),"⚠ Same serial "&amp;L682,IF(AND(ISNUMBER(L682),L682&gt;MIN($L$2:$L$1001),COUNTIF($L$2:$L$1001,L682-1)=0,COUNTIF($L$2:$L$1001,L682-2)&lt;2),"⚠ Missing serial "&amp;(L682-1),IF(AND(MAX(K$1:K681)&gt;0,N(K682)-MAX(K$1:K681)&gt;180),"⚠ Gap &gt; 3h",IF(C682-I682&gt;=0.99,"next day",IF(C682-I682&gt;0.4,"12h → 24h","")))))))))))</f>
        <v/>
      </c>
      <c r="H682" s="4" t="str">
        <f t="shared" si="50"/>
        <v/>
      </c>
      <c r="I682" s="5" t="str">
        <f t="shared" si="51"/>
        <v/>
      </c>
      <c r="J682" s="6">
        <f t="shared" si="52"/>
        <v>0</v>
      </c>
      <c r="K682" s="4" t="str">
        <f t="shared" si="53"/>
        <v/>
      </c>
      <c r="L682" s="4" t="str">
        <f t="shared" si="54"/>
        <v/>
      </c>
      <c r="M682" s="4" t="b" cm="1">
        <f t="array" ref="M682">IF(H682="",FALSE,SUMPRODUCT(--(H$1:H681=H682))&gt;0)</f>
        <v>0</v>
      </c>
    </row>
    <row r="683" spans="1:13" x14ac:dyDescent="0.25">
      <c r="A683" s="9" t="str">
        <f>IF(OR(B683="",M683,G683="— ignored"),"",MAX(A$1:A682)+1)</f>
        <v/>
      </c>
      <c r="B683" s="10"/>
      <c r="C683" s="11" t="str">
        <f>IF(I683="","",ROUND((I683+0.5*MAX(0,CEILING(ROUND((MAX(C$1:C682)-1/48-I683)/0.5,6),1)))*1440,0)/1440)</f>
        <v/>
      </c>
      <c r="D683" s="9" t="str" cm="1">
        <f t="array" ref="D683">IF(H683="","",IFERROR(INDEX(Log!$C$19:$G$19,VALUE(MID(H683,FIND("#",H683)+1,1))),""))</f>
        <v/>
      </c>
      <c r="E683" s="9" t="str" cm="1">
        <f t="array" ref="E683">IF(OR(H683="",M683),"",IFERROR(_xlfn.LET(_xlpm.t,SUBSTITUTE(UPPER(H683),"م","M"),_xlpm.u,SUBSTITUTE(_xlpm.t,"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83" s="12"/>
      <c r="G683" s="13" t="str">
        <f>IF(B683="","",IF(M683,"⚠ Duplicate (not counted)",IF(AND(I683="",D683="",E683=""),"— ignored",IF(C683="","⚠ Time",IF(D683="","⚠ Plant",IF(E683="","⚠ Quantity",IF(AND(ISNUMBER(L683),COUNTIF(L$1:L682,L683)&gt;0),"⚠ Same serial "&amp;L683,IF(AND(ISNUMBER(L683),L683&gt;MIN($L$2:$L$1001),COUNTIF($L$2:$L$1001,L683-1)=0,COUNTIF($L$2:$L$1001,L683-2)&lt;2),"⚠ Missing serial "&amp;(L683-1),IF(AND(MAX(K$1:K682)&gt;0,N(K683)-MAX(K$1:K682)&gt;180),"⚠ Gap &gt; 3h",IF(C683-I683&gt;=0.99,"next day",IF(C683-I683&gt;0.4,"12h → 24h","")))))))))))</f>
        <v/>
      </c>
      <c r="H683" s="4" t="str">
        <f t="shared" si="50"/>
        <v/>
      </c>
      <c r="I683" s="5" t="str">
        <f t="shared" si="51"/>
        <v/>
      </c>
      <c r="J683" s="6">
        <f t="shared" si="52"/>
        <v>0</v>
      </c>
      <c r="K683" s="4" t="str">
        <f t="shared" si="53"/>
        <v/>
      </c>
      <c r="L683" s="4" t="str">
        <f t="shared" si="54"/>
        <v/>
      </c>
      <c r="M683" s="4" t="b" cm="1">
        <f t="array" ref="M683">IF(H683="",FALSE,SUMPRODUCT(--(H$1:H682=H683))&gt;0)</f>
        <v>0</v>
      </c>
    </row>
    <row r="684" spans="1:13" x14ac:dyDescent="0.25">
      <c r="A684" s="9" t="str">
        <f>IF(OR(B684="",M684,G684="— ignored"),"",MAX(A$1:A683)+1)</f>
        <v/>
      </c>
      <c r="B684" s="10"/>
      <c r="C684" s="11" t="str">
        <f>IF(I684="","",ROUND((I684+0.5*MAX(0,CEILING(ROUND((MAX(C$1:C683)-1/48-I684)/0.5,6),1)))*1440,0)/1440)</f>
        <v/>
      </c>
      <c r="D684" s="9" t="str" cm="1">
        <f t="array" ref="D684">IF(H684="","",IFERROR(INDEX(Log!$C$19:$G$19,VALUE(MID(H684,FIND("#",H684)+1,1))),""))</f>
        <v/>
      </c>
      <c r="E684" s="9" t="str" cm="1">
        <f t="array" ref="E684">IF(OR(H684="",M684),"",IFERROR(_xlfn.LET(_xlpm.t,SUBSTITUTE(UPPER(H684),"م","M"),_xlpm.u,SUBSTITUTE(_xlpm.t,"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84" s="12"/>
      <c r="G684" s="13" t="str">
        <f>IF(B684="","",IF(M684,"⚠ Duplicate (not counted)",IF(AND(I684="",D684="",E684=""),"— ignored",IF(C684="","⚠ Time",IF(D684="","⚠ Plant",IF(E684="","⚠ Quantity",IF(AND(ISNUMBER(L684),COUNTIF(L$1:L683,L684)&gt;0),"⚠ Same serial "&amp;L684,IF(AND(ISNUMBER(L684),L684&gt;MIN($L$2:$L$1001),COUNTIF($L$2:$L$1001,L684-1)=0,COUNTIF($L$2:$L$1001,L684-2)&lt;2),"⚠ Missing serial "&amp;(L684-1),IF(AND(MAX(K$1:K683)&gt;0,N(K684)-MAX(K$1:K683)&gt;180),"⚠ Gap &gt; 3h",IF(C684-I684&gt;=0.99,"next day",IF(C684-I684&gt;0.4,"12h → 24h","")))))))))))</f>
        <v/>
      </c>
      <c r="H684" s="4" t="str">
        <f t="shared" si="50"/>
        <v/>
      </c>
      <c r="I684" s="5" t="str">
        <f t="shared" si="51"/>
        <v/>
      </c>
      <c r="J684" s="6">
        <f t="shared" si="52"/>
        <v>0</v>
      </c>
      <c r="K684" s="4" t="str">
        <f t="shared" si="53"/>
        <v/>
      </c>
      <c r="L684" s="4" t="str">
        <f t="shared" si="54"/>
        <v/>
      </c>
      <c r="M684" s="4" t="b" cm="1">
        <f t="array" ref="M684">IF(H684="",FALSE,SUMPRODUCT(--(H$1:H683=H684))&gt;0)</f>
        <v>0</v>
      </c>
    </row>
    <row r="685" spans="1:13" x14ac:dyDescent="0.25">
      <c r="A685" s="9" t="str">
        <f>IF(OR(B685="",M685,G685="— ignored"),"",MAX(A$1:A684)+1)</f>
        <v/>
      </c>
      <c r="B685" s="10"/>
      <c r="C685" s="11" t="str">
        <f>IF(I685="","",ROUND((I685+0.5*MAX(0,CEILING(ROUND((MAX(C$1:C684)-1/48-I685)/0.5,6),1)))*1440,0)/1440)</f>
        <v/>
      </c>
      <c r="D685" s="9" t="str" cm="1">
        <f t="array" ref="D685">IF(H685="","",IFERROR(INDEX(Log!$C$19:$G$19,VALUE(MID(H685,FIND("#",H685)+1,1))),""))</f>
        <v/>
      </c>
      <c r="E685" s="9" t="str" cm="1">
        <f t="array" ref="E685">IF(OR(H685="",M685),"",IFERROR(_xlfn.LET(_xlpm.t,SUBSTITUTE(UPPER(H685),"م","M"),_xlpm.u,SUBSTITUTE(_xlpm.t,"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85" s="12"/>
      <c r="G685" s="13" t="str">
        <f>IF(B685="","",IF(M685,"⚠ Duplicate (not counted)",IF(AND(I685="",D685="",E685=""),"— ignored",IF(C685="","⚠ Time",IF(D685="","⚠ Plant",IF(E685="","⚠ Quantity",IF(AND(ISNUMBER(L685),COUNTIF(L$1:L684,L685)&gt;0),"⚠ Same serial "&amp;L685,IF(AND(ISNUMBER(L685),L685&gt;MIN($L$2:$L$1001),COUNTIF($L$2:$L$1001,L685-1)=0,COUNTIF($L$2:$L$1001,L685-2)&lt;2),"⚠ Missing serial "&amp;(L685-1),IF(AND(MAX(K$1:K684)&gt;0,N(K685)-MAX(K$1:K684)&gt;180),"⚠ Gap &gt; 3h",IF(C685-I685&gt;=0.99,"next day",IF(C685-I685&gt;0.4,"12h → 24h","")))))))))))</f>
        <v/>
      </c>
      <c r="H685" s="4" t="str">
        <f t="shared" si="50"/>
        <v/>
      </c>
      <c r="I685" s="5" t="str">
        <f t="shared" si="51"/>
        <v/>
      </c>
      <c r="J685" s="6">
        <f t="shared" si="52"/>
        <v>0</v>
      </c>
      <c r="K685" s="4" t="str">
        <f t="shared" si="53"/>
        <v/>
      </c>
      <c r="L685" s="4" t="str">
        <f t="shared" si="54"/>
        <v/>
      </c>
      <c r="M685" s="4" t="b" cm="1">
        <f t="array" ref="M685">IF(H685="",FALSE,SUMPRODUCT(--(H$1:H684=H685))&gt;0)</f>
        <v>0</v>
      </c>
    </row>
    <row r="686" spans="1:13" x14ac:dyDescent="0.25">
      <c r="A686" s="9" t="str">
        <f>IF(OR(B686="",M686,G686="— ignored"),"",MAX(A$1:A685)+1)</f>
        <v/>
      </c>
      <c r="B686" s="10"/>
      <c r="C686" s="11" t="str">
        <f>IF(I686="","",ROUND((I686+0.5*MAX(0,CEILING(ROUND((MAX(C$1:C685)-1/48-I686)/0.5,6),1)))*1440,0)/1440)</f>
        <v/>
      </c>
      <c r="D686" s="9" t="str" cm="1">
        <f t="array" ref="D686">IF(H686="","",IFERROR(INDEX(Log!$C$19:$G$19,VALUE(MID(H686,FIND("#",H686)+1,1))),""))</f>
        <v/>
      </c>
      <c r="E686" s="9" t="str" cm="1">
        <f t="array" ref="E686">IF(OR(H686="",M686),"",IFERROR(_xlfn.LET(_xlpm.t,SUBSTITUTE(UPPER(H686),"م","M"),_xlpm.u,SUBSTITUTE(_xlpm.t,"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86" s="12"/>
      <c r="G686" s="13" t="str">
        <f>IF(B686="","",IF(M686,"⚠ Duplicate (not counted)",IF(AND(I686="",D686="",E686=""),"— ignored",IF(C686="","⚠ Time",IF(D686="","⚠ Plant",IF(E686="","⚠ Quantity",IF(AND(ISNUMBER(L686),COUNTIF(L$1:L685,L686)&gt;0),"⚠ Same serial "&amp;L686,IF(AND(ISNUMBER(L686),L686&gt;MIN($L$2:$L$1001),COUNTIF($L$2:$L$1001,L686-1)=0,COUNTIF($L$2:$L$1001,L686-2)&lt;2),"⚠ Missing serial "&amp;(L686-1),IF(AND(MAX(K$1:K685)&gt;0,N(K686)-MAX(K$1:K685)&gt;180),"⚠ Gap &gt; 3h",IF(C686-I686&gt;=0.99,"next day",IF(C686-I686&gt;0.4,"12h → 24h","")))))))))))</f>
        <v/>
      </c>
      <c r="H686" s="4" t="str">
        <f t="shared" si="50"/>
        <v/>
      </c>
      <c r="I686" s="5" t="str">
        <f t="shared" si="51"/>
        <v/>
      </c>
      <c r="J686" s="6">
        <f t="shared" si="52"/>
        <v>0</v>
      </c>
      <c r="K686" s="4" t="str">
        <f t="shared" si="53"/>
        <v/>
      </c>
      <c r="L686" s="4" t="str">
        <f t="shared" si="54"/>
        <v/>
      </c>
      <c r="M686" s="4" t="b" cm="1">
        <f t="array" ref="M686">IF(H686="",FALSE,SUMPRODUCT(--(H$1:H685=H686))&gt;0)</f>
        <v>0</v>
      </c>
    </row>
    <row r="687" spans="1:13" x14ac:dyDescent="0.25">
      <c r="A687" s="9" t="str">
        <f>IF(OR(B687="",M687,G687="— ignored"),"",MAX(A$1:A686)+1)</f>
        <v/>
      </c>
      <c r="B687" s="10"/>
      <c r="C687" s="11" t="str">
        <f>IF(I687="","",ROUND((I687+0.5*MAX(0,CEILING(ROUND((MAX(C$1:C686)-1/48-I687)/0.5,6),1)))*1440,0)/1440)</f>
        <v/>
      </c>
      <c r="D687" s="9" t="str" cm="1">
        <f t="array" ref="D687">IF(H687="","",IFERROR(INDEX(Log!$C$19:$G$19,VALUE(MID(H687,FIND("#",H687)+1,1))),""))</f>
        <v/>
      </c>
      <c r="E687" s="9" t="str" cm="1">
        <f t="array" ref="E687">IF(OR(H687="",M687),"",IFERROR(_xlfn.LET(_xlpm.t,SUBSTITUTE(UPPER(H687),"م","M"),_xlpm.u,SUBSTITUTE(_xlpm.t,"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87" s="12"/>
      <c r="G687" s="13" t="str">
        <f>IF(B687="","",IF(M687,"⚠ Duplicate (not counted)",IF(AND(I687="",D687="",E687=""),"— ignored",IF(C687="","⚠ Time",IF(D687="","⚠ Plant",IF(E687="","⚠ Quantity",IF(AND(ISNUMBER(L687),COUNTIF(L$1:L686,L687)&gt;0),"⚠ Same serial "&amp;L687,IF(AND(ISNUMBER(L687),L687&gt;MIN($L$2:$L$1001),COUNTIF($L$2:$L$1001,L687-1)=0,COUNTIF($L$2:$L$1001,L687-2)&lt;2),"⚠ Missing serial "&amp;(L687-1),IF(AND(MAX(K$1:K686)&gt;0,N(K687)-MAX(K$1:K686)&gt;180),"⚠ Gap &gt; 3h",IF(C687-I687&gt;=0.99,"next day",IF(C687-I687&gt;0.4,"12h → 24h","")))))))))))</f>
        <v/>
      </c>
      <c r="H687" s="4" t="str">
        <f t="shared" si="50"/>
        <v/>
      </c>
      <c r="I687" s="5" t="str">
        <f t="shared" si="51"/>
        <v/>
      </c>
      <c r="J687" s="6">
        <f t="shared" si="52"/>
        <v>0</v>
      </c>
      <c r="K687" s="4" t="str">
        <f t="shared" si="53"/>
        <v/>
      </c>
      <c r="L687" s="4" t="str">
        <f t="shared" si="54"/>
        <v/>
      </c>
      <c r="M687" s="4" t="b" cm="1">
        <f t="array" ref="M687">IF(H687="",FALSE,SUMPRODUCT(--(H$1:H686=H687))&gt;0)</f>
        <v>0</v>
      </c>
    </row>
    <row r="688" spans="1:13" x14ac:dyDescent="0.25">
      <c r="A688" s="9" t="str">
        <f>IF(OR(B688="",M688,G688="— ignored"),"",MAX(A$1:A687)+1)</f>
        <v/>
      </c>
      <c r="B688" s="10"/>
      <c r="C688" s="11" t="str">
        <f>IF(I688="","",ROUND((I688+0.5*MAX(0,CEILING(ROUND((MAX(C$1:C687)-1/48-I688)/0.5,6),1)))*1440,0)/1440)</f>
        <v/>
      </c>
      <c r="D688" s="9" t="str" cm="1">
        <f t="array" ref="D688">IF(H688="","",IFERROR(INDEX(Log!$C$19:$G$19,VALUE(MID(H688,FIND("#",H688)+1,1))),""))</f>
        <v/>
      </c>
      <c r="E688" s="9" t="str" cm="1">
        <f t="array" ref="E688">IF(OR(H688="",M688),"",IFERROR(_xlfn.LET(_xlpm.t,SUBSTITUTE(UPPER(H688),"م","M"),_xlpm.u,SUBSTITUTE(_xlpm.t,"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88" s="12"/>
      <c r="G688" s="13" t="str">
        <f>IF(B688="","",IF(M688,"⚠ Duplicate (not counted)",IF(AND(I688="",D688="",E688=""),"— ignored",IF(C688="","⚠ Time",IF(D688="","⚠ Plant",IF(E688="","⚠ Quantity",IF(AND(ISNUMBER(L688),COUNTIF(L$1:L687,L688)&gt;0),"⚠ Same serial "&amp;L688,IF(AND(ISNUMBER(L688),L688&gt;MIN($L$2:$L$1001),COUNTIF($L$2:$L$1001,L688-1)=0,COUNTIF($L$2:$L$1001,L688-2)&lt;2),"⚠ Missing serial "&amp;(L688-1),IF(AND(MAX(K$1:K687)&gt;0,N(K688)-MAX(K$1:K687)&gt;180),"⚠ Gap &gt; 3h",IF(C688-I688&gt;=0.99,"next day",IF(C688-I688&gt;0.4,"12h → 24h","")))))))))))</f>
        <v/>
      </c>
      <c r="H688" s="4" t="str">
        <f t="shared" si="50"/>
        <v/>
      </c>
      <c r="I688" s="5" t="str">
        <f t="shared" si="51"/>
        <v/>
      </c>
      <c r="J688" s="6">
        <f t="shared" si="52"/>
        <v>0</v>
      </c>
      <c r="K688" s="4" t="str">
        <f t="shared" si="53"/>
        <v/>
      </c>
      <c r="L688" s="4" t="str">
        <f t="shared" si="54"/>
        <v/>
      </c>
      <c r="M688" s="4" t="b" cm="1">
        <f t="array" ref="M688">IF(H688="",FALSE,SUMPRODUCT(--(H$1:H687=H688))&gt;0)</f>
        <v>0</v>
      </c>
    </row>
    <row r="689" spans="1:13" x14ac:dyDescent="0.25">
      <c r="A689" s="9" t="str">
        <f>IF(OR(B689="",M689,G689="— ignored"),"",MAX(A$1:A688)+1)</f>
        <v/>
      </c>
      <c r="B689" s="10"/>
      <c r="C689" s="11" t="str">
        <f>IF(I689="","",ROUND((I689+0.5*MAX(0,CEILING(ROUND((MAX(C$1:C688)-1/48-I689)/0.5,6),1)))*1440,0)/1440)</f>
        <v/>
      </c>
      <c r="D689" s="9" t="str" cm="1">
        <f t="array" ref="D689">IF(H689="","",IFERROR(INDEX(Log!$C$19:$G$19,VALUE(MID(H689,FIND("#",H689)+1,1))),""))</f>
        <v/>
      </c>
      <c r="E689" s="9" t="str" cm="1">
        <f t="array" ref="E689">IF(OR(H689="",M689),"",IFERROR(_xlfn.LET(_xlpm.t,SUBSTITUTE(UPPER(H689),"م","M"),_xlpm.u,SUBSTITUTE(_xlpm.t,"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89" s="12"/>
      <c r="G689" s="13" t="str">
        <f>IF(B689="","",IF(M689,"⚠ Duplicate (not counted)",IF(AND(I689="",D689="",E689=""),"— ignored",IF(C689="","⚠ Time",IF(D689="","⚠ Plant",IF(E689="","⚠ Quantity",IF(AND(ISNUMBER(L689),COUNTIF(L$1:L688,L689)&gt;0),"⚠ Same serial "&amp;L689,IF(AND(ISNUMBER(L689),L689&gt;MIN($L$2:$L$1001),COUNTIF($L$2:$L$1001,L689-1)=0,COUNTIF($L$2:$L$1001,L689-2)&lt;2),"⚠ Missing serial "&amp;(L689-1),IF(AND(MAX(K$1:K688)&gt;0,N(K689)-MAX(K$1:K688)&gt;180),"⚠ Gap &gt; 3h",IF(C689-I689&gt;=0.99,"next day",IF(C689-I689&gt;0.4,"12h → 24h","")))))))))))</f>
        <v/>
      </c>
      <c r="H689" s="4" t="str">
        <f t="shared" si="50"/>
        <v/>
      </c>
      <c r="I689" s="5" t="str">
        <f t="shared" si="51"/>
        <v/>
      </c>
      <c r="J689" s="6">
        <f t="shared" si="52"/>
        <v>0</v>
      </c>
      <c r="K689" s="4" t="str">
        <f t="shared" si="53"/>
        <v/>
      </c>
      <c r="L689" s="4" t="str">
        <f t="shared" si="54"/>
        <v/>
      </c>
      <c r="M689" s="4" t="b" cm="1">
        <f t="array" ref="M689">IF(H689="",FALSE,SUMPRODUCT(--(H$1:H688=H689))&gt;0)</f>
        <v>0</v>
      </c>
    </row>
    <row r="690" spans="1:13" x14ac:dyDescent="0.25">
      <c r="A690" s="9" t="str">
        <f>IF(OR(B690="",M690,G690="— ignored"),"",MAX(A$1:A689)+1)</f>
        <v/>
      </c>
      <c r="B690" s="10"/>
      <c r="C690" s="11" t="str">
        <f>IF(I690="","",ROUND((I690+0.5*MAX(0,CEILING(ROUND((MAX(C$1:C689)-1/48-I690)/0.5,6),1)))*1440,0)/1440)</f>
        <v/>
      </c>
      <c r="D690" s="9" t="str" cm="1">
        <f t="array" ref="D690">IF(H690="","",IFERROR(INDEX(Log!$C$19:$G$19,VALUE(MID(H690,FIND("#",H690)+1,1))),""))</f>
        <v/>
      </c>
      <c r="E690" s="9" t="str" cm="1">
        <f t="array" ref="E690">IF(OR(H690="",M690),"",IFERROR(_xlfn.LET(_xlpm.t,SUBSTITUTE(UPPER(H690),"م","M"),_xlpm.u,SUBSTITUTE(_xlpm.t,"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90" s="12"/>
      <c r="G690" s="13" t="str">
        <f>IF(B690="","",IF(M690,"⚠ Duplicate (not counted)",IF(AND(I690="",D690="",E690=""),"— ignored",IF(C690="","⚠ Time",IF(D690="","⚠ Plant",IF(E690="","⚠ Quantity",IF(AND(ISNUMBER(L690),COUNTIF(L$1:L689,L690)&gt;0),"⚠ Same serial "&amp;L690,IF(AND(ISNUMBER(L690),L690&gt;MIN($L$2:$L$1001),COUNTIF($L$2:$L$1001,L690-1)=0,COUNTIF($L$2:$L$1001,L690-2)&lt;2),"⚠ Missing serial "&amp;(L690-1),IF(AND(MAX(K$1:K689)&gt;0,N(K690)-MAX(K$1:K689)&gt;180),"⚠ Gap &gt; 3h",IF(C690-I690&gt;=0.99,"next day",IF(C690-I690&gt;0.4,"12h → 24h","")))))))))))</f>
        <v/>
      </c>
      <c r="H690" s="4" t="str">
        <f t="shared" si="50"/>
        <v/>
      </c>
      <c r="I690" s="5" t="str">
        <f t="shared" si="51"/>
        <v/>
      </c>
      <c r="J690" s="6">
        <f t="shared" si="52"/>
        <v>0</v>
      </c>
      <c r="K690" s="4" t="str">
        <f t="shared" si="53"/>
        <v/>
      </c>
      <c r="L690" s="4" t="str">
        <f t="shared" si="54"/>
        <v/>
      </c>
      <c r="M690" s="4" t="b" cm="1">
        <f t="array" ref="M690">IF(H690="",FALSE,SUMPRODUCT(--(H$1:H689=H690))&gt;0)</f>
        <v>0</v>
      </c>
    </row>
    <row r="691" spans="1:13" x14ac:dyDescent="0.25">
      <c r="A691" s="9" t="str">
        <f>IF(OR(B691="",M691,G691="— ignored"),"",MAX(A$1:A690)+1)</f>
        <v/>
      </c>
      <c r="B691" s="10"/>
      <c r="C691" s="11" t="str">
        <f>IF(I691="","",ROUND((I691+0.5*MAX(0,CEILING(ROUND((MAX(C$1:C690)-1/48-I691)/0.5,6),1)))*1440,0)/1440)</f>
        <v/>
      </c>
      <c r="D691" s="9" t="str" cm="1">
        <f t="array" ref="D691">IF(H691="","",IFERROR(INDEX(Log!$C$19:$G$19,VALUE(MID(H691,FIND("#",H691)+1,1))),""))</f>
        <v/>
      </c>
      <c r="E691" s="9" t="str" cm="1">
        <f t="array" ref="E691">IF(OR(H691="",M691),"",IFERROR(_xlfn.LET(_xlpm.t,SUBSTITUTE(UPPER(H691),"م","M"),_xlpm.u,SUBSTITUTE(_xlpm.t,"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91" s="12"/>
      <c r="G691" s="13" t="str">
        <f>IF(B691="","",IF(M691,"⚠ Duplicate (not counted)",IF(AND(I691="",D691="",E691=""),"— ignored",IF(C691="","⚠ Time",IF(D691="","⚠ Plant",IF(E691="","⚠ Quantity",IF(AND(ISNUMBER(L691),COUNTIF(L$1:L690,L691)&gt;0),"⚠ Same serial "&amp;L691,IF(AND(ISNUMBER(L691),L691&gt;MIN($L$2:$L$1001),COUNTIF($L$2:$L$1001,L691-1)=0,COUNTIF($L$2:$L$1001,L691-2)&lt;2),"⚠ Missing serial "&amp;(L691-1),IF(AND(MAX(K$1:K690)&gt;0,N(K691)-MAX(K$1:K690)&gt;180),"⚠ Gap &gt; 3h",IF(C691-I691&gt;=0.99,"next day",IF(C691-I691&gt;0.4,"12h → 24h","")))))))))))</f>
        <v/>
      </c>
      <c r="H691" s="4" t="str">
        <f t="shared" si="50"/>
        <v/>
      </c>
      <c r="I691" s="5" t="str">
        <f t="shared" si="51"/>
        <v/>
      </c>
      <c r="J691" s="6">
        <f t="shared" si="52"/>
        <v>0</v>
      </c>
      <c r="K691" s="4" t="str">
        <f t="shared" si="53"/>
        <v/>
      </c>
      <c r="L691" s="4" t="str">
        <f t="shared" si="54"/>
        <v/>
      </c>
      <c r="M691" s="4" t="b" cm="1">
        <f t="array" ref="M691">IF(H691="",FALSE,SUMPRODUCT(--(H$1:H690=H691))&gt;0)</f>
        <v>0</v>
      </c>
    </row>
    <row r="692" spans="1:13" x14ac:dyDescent="0.25">
      <c r="A692" s="9" t="str">
        <f>IF(OR(B692="",M692,G692="— ignored"),"",MAX(A$1:A691)+1)</f>
        <v/>
      </c>
      <c r="B692" s="10"/>
      <c r="C692" s="11" t="str">
        <f>IF(I692="","",ROUND((I692+0.5*MAX(0,CEILING(ROUND((MAX(C$1:C691)-1/48-I692)/0.5,6),1)))*1440,0)/1440)</f>
        <v/>
      </c>
      <c r="D692" s="9" t="str" cm="1">
        <f t="array" ref="D692">IF(H692="","",IFERROR(INDEX(Log!$C$19:$G$19,VALUE(MID(H692,FIND("#",H692)+1,1))),""))</f>
        <v/>
      </c>
      <c r="E692" s="9" t="str" cm="1">
        <f t="array" ref="E692">IF(OR(H692="",M692),"",IFERROR(_xlfn.LET(_xlpm.t,SUBSTITUTE(UPPER(H692),"م","M"),_xlpm.u,SUBSTITUTE(_xlpm.t,"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92" s="12"/>
      <c r="G692" s="13" t="str">
        <f>IF(B692="","",IF(M692,"⚠ Duplicate (not counted)",IF(AND(I692="",D692="",E692=""),"— ignored",IF(C692="","⚠ Time",IF(D692="","⚠ Plant",IF(E692="","⚠ Quantity",IF(AND(ISNUMBER(L692),COUNTIF(L$1:L691,L692)&gt;0),"⚠ Same serial "&amp;L692,IF(AND(ISNUMBER(L692),L692&gt;MIN($L$2:$L$1001),COUNTIF($L$2:$L$1001,L692-1)=0,COUNTIF($L$2:$L$1001,L692-2)&lt;2),"⚠ Missing serial "&amp;(L692-1),IF(AND(MAX(K$1:K691)&gt;0,N(K692)-MAX(K$1:K691)&gt;180),"⚠ Gap &gt; 3h",IF(C692-I692&gt;=0.99,"next day",IF(C692-I692&gt;0.4,"12h → 24h","")))))))))))</f>
        <v/>
      </c>
      <c r="H692" s="4" t="str">
        <f t="shared" si="50"/>
        <v/>
      </c>
      <c r="I692" s="5" t="str">
        <f t="shared" si="51"/>
        <v/>
      </c>
      <c r="J692" s="6">
        <f t="shared" si="52"/>
        <v>0</v>
      </c>
      <c r="K692" s="4" t="str">
        <f t="shared" si="53"/>
        <v/>
      </c>
      <c r="L692" s="4" t="str">
        <f t="shared" si="54"/>
        <v/>
      </c>
      <c r="M692" s="4" t="b" cm="1">
        <f t="array" ref="M692">IF(H692="",FALSE,SUMPRODUCT(--(H$1:H691=H692))&gt;0)</f>
        <v>0</v>
      </c>
    </row>
    <row r="693" spans="1:13" x14ac:dyDescent="0.25">
      <c r="A693" s="9" t="str">
        <f>IF(OR(B693="",M693,G693="— ignored"),"",MAX(A$1:A692)+1)</f>
        <v/>
      </c>
      <c r="B693" s="10"/>
      <c r="C693" s="11" t="str">
        <f>IF(I693="","",ROUND((I693+0.5*MAX(0,CEILING(ROUND((MAX(C$1:C692)-1/48-I693)/0.5,6),1)))*1440,0)/1440)</f>
        <v/>
      </c>
      <c r="D693" s="9" t="str" cm="1">
        <f t="array" ref="D693">IF(H693="","",IFERROR(INDEX(Log!$C$19:$G$19,VALUE(MID(H693,FIND("#",H693)+1,1))),""))</f>
        <v/>
      </c>
      <c r="E693" s="9" t="str" cm="1">
        <f t="array" ref="E693">IF(OR(H693="",M693),"",IFERROR(_xlfn.LET(_xlpm.t,SUBSTITUTE(UPPER(H693),"م","M"),_xlpm.u,SUBSTITUTE(_xlpm.t,"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93" s="12"/>
      <c r="G693" s="13" t="str">
        <f>IF(B693="","",IF(M693,"⚠ Duplicate (not counted)",IF(AND(I693="",D693="",E693=""),"— ignored",IF(C693="","⚠ Time",IF(D693="","⚠ Plant",IF(E693="","⚠ Quantity",IF(AND(ISNUMBER(L693),COUNTIF(L$1:L692,L693)&gt;0),"⚠ Same serial "&amp;L693,IF(AND(ISNUMBER(L693),L693&gt;MIN($L$2:$L$1001),COUNTIF($L$2:$L$1001,L693-1)=0,COUNTIF($L$2:$L$1001,L693-2)&lt;2),"⚠ Missing serial "&amp;(L693-1),IF(AND(MAX(K$1:K692)&gt;0,N(K693)-MAX(K$1:K692)&gt;180),"⚠ Gap &gt; 3h",IF(C693-I693&gt;=0.99,"next day",IF(C693-I693&gt;0.4,"12h → 24h","")))))))))))</f>
        <v/>
      </c>
      <c r="H693" s="4" t="str">
        <f t="shared" si="50"/>
        <v/>
      </c>
      <c r="I693" s="5" t="str">
        <f t="shared" si="51"/>
        <v/>
      </c>
      <c r="J693" s="6">
        <f t="shared" si="52"/>
        <v>0</v>
      </c>
      <c r="K693" s="4" t="str">
        <f t="shared" si="53"/>
        <v/>
      </c>
      <c r="L693" s="4" t="str">
        <f t="shared" si="54"/>
        <v/>
      </c>
      <c r="M693" s="4" t="b" cm="1">
        <f t="array" ref="M693">IF(H693="",FALSE,SUMPRODUCT(--(H$1:H692=H693))&gt;0)</f>
        <v>0</v>
      </c>
    </row>
    <row r="694" spans="1:13" x14ac:dyDescent="0.25">
      <c r="A694" s="9" t="str">
        <f>IF(OR(B694="",M694,G694="— ignored"),"",MAX(A$1:A693)+1)</f>
        <v/>
      </c>
      <c r="B694" s="10"/>
      <c r="C694" s="11" t="str">
        <f>IF(I694="","",ROUND((I694+0.5*MAX(0,CEILING(ROUND((MAX(C$1:C693)-1/48-I694)/0.5,6),1)))*1440,0)/1440)</f>
        <v/>
      </c>
      <c r="D694" s="9" t="str" cm="1">
        <f t="array" ref="D694">IF(H694="","",IFERROR(INDEX(Log!$C$19:$G$19,VALUE(MID(H694,FIND("#",H694)+1,1))),""))</f>
        <v/>
      </c>
      <c r="E694" s="9" t="str" cm="1">
        <f t="array" ref="E694">IF(OR(H694="",M694),"",IFERROR(_xlfn.LET(_xlpm.t,SUBSTITUTE(UPPER(H694),"م","M"),_xlpm.u,SUBSTITUTE(_xlpm.t,"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94" s="12"/>
      <c r="G694" s="13" t="str">
        <f>IF(B694="","",IF(M694,"⚠ Duplicate (not counted)",IF(AND(I694="",D694="",E694=""),"— ignored",IF(C694="","⚠ Time",IF(D694="","⚠ Plant",IF(E694="","⚠ Quantity",IF(AND(ISNUMBER(L694),COUNTIF(L$1:L693,L694)&gt;0),"⚠ Same serial "&amp;L694,IF(AND(ISNUMBER(L694),L694&gt;MIN($L$2:$L$1001),COUNTIF($L$2:$L$1001,L694-1)=0,COUNTIF($L$2:$L$1001,L694-2)&lt;2),"⚠ Missing serial "&amp;(L694-1),IF(AND(MAX(K$1:K693)&gt;0,N(K694)-MAX(K$1:K693)&gt;180),"⚠ Gap &gt; 3h",IF(C694-I694&gt;=0.99,"next day",IF(C694-I694&gt;0.4,"12h → 24h","")))))))))))</f>
        <v/>
      </c>
      <c r="H694" s="4" t="str">
        <f t="shared" si="50"/>
        <v/>
      </c>
      <c r="I694" s="5" t="str">
        <f t="shared" si="51"/>
        <v/>
      </c>
      <c r="J694" s="6">
        <f t="shared" si="52"/>
        <v>0</v>
      </c>
      <c r="K694" s="4" t="str">
        <f t="shared" si="53"/>
        <v/>
      </c>
      <c r="L694" s="4" t="str">
        <f t="shared" si="54"/>
        <v/>
      </c>
      <c r="M694" s="4" t="b" cm="1">
        <f t="array" ref="M694">IF(H694="",FALSE,SUMPRODUCT(--(H$1:H693=H694))&gt;0)</f>
        <v>0</v>
      </c>
    </row>
    <row r="695" spans="1:13" x14ac:dyDescent="0.25">
      <c r="A695" s="9" t="str">
        <f>IF(OR(B695="",M695,G695="— ignored"),"",MAX(A$1:A694)+1)</f>
        <v/>
      </c>
      <c r="B695" s="10"/>
      <c r="C695" s="11" t="str">
        <f>IF(I695="","",ROUND((I695+0.5*MAX(0,CEILING(ROUND((MAX(C$1:C694)-1/48-I695)/0.5,6),1)))*1440,0)/1440)</f>
        <v/>
      </c>
      <c r="D695" s="9" t="str" cm="1">
        <f t="array" ref="D695">IF(H695="","",IFERROR(INDEX(Log!$C$19:$G$19,VALUE(MID(H695,FIND("#",H695)+1,1))),""))</f>
        <v/>
      </c>
      <c r="E695" s="9" t="str" cm="1">
        <f t="array" ref="E695">IF(OR(H695="",M695),"",IFERROR(_xlfn.LET(_xlpm.t,SUBSTITUTE(UPPER(H695),"م","M"),_xlpm.u,SUBSTITUTE(_xlpm.t,"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95" s="12"/>
      <c r="G695" s="13" t="str">
        <f>IF(B695="","",IF(M695,"⚠ Duplicate (not counted)",IF(AND(I695="",D695="",E695=""),"— ignored",IF(C695="","⚠ Time",IF(D695="","⚠ Plant",IF(E695="","⚠ Quantity",IF(AND(ISNUMBER(L695),COUNTIF(L$1:L694,L695)&gt;0),"⚠ Same serial "&amp;L695,IF(AND(ISNUMBER(L695),L695&gt;MIN($L$2:$L$1001),COUNTIF($L$2:$L$1001,L695-1)=0,COUNTIF($L$2:$L$1001,L695-2)&lt;2),"⚠ Missing serial "&amp;(L695-1),IF(AND(MAX(K$1:K694)&gt;0,N(K695)-MAX(K$1:K694)&gt;180),"⚠ Gap &gt; 3h",IF(C695-I695&gt;=0.99,"next day",IF(C695-I695&gt;0.4,"12h → 24h","")))))))))))</f>
        <v/>
      </c>
      <c r="H695" s="4" t="str">
        <f t="shared" si="50"/>
        <v/>
      </c>
      <c r="I695" s="5" t="str">
        <f t="shared" si="51"/>
        <v/>
      </c>
      <c r="J695" s="6">
        <f t="shared" si="52"/>
        <v>0</v>
      </c>
      <c r="K695" s="4" t="str">
        <f t="shared" si="53"/>
        <v/>
      </c>
      <c r="L695" s="4" t="str">
        <f t="shared" si="54"/>
        <v/>
      </c>
      <c r="M695" s="4" t="b" cm="1">
        <f t="array" ref="M695">IF(H695="",FALSE,SUMPRODUCT(--(H$1:H694=H695))&gt;0)</f>
        <v>0</v>
      </c>
    </row>
    <row r="696" spans="1:13" x14ac:dyDescent="0.25">
      <c r="A696" s="9" t="str">
        <f>IF(OR(B696="",M696,G696="— ignored"),"",MAX(A$1:A695)+1)</f>
        <v/>
      </c>
      <c r="B696" s="10"/>
      <c r="C696" s="11" t="str">
        <f>IF(I696="","",ROUND((I696+0.5*MAX(0,CEILING(ROUND((MAX(C$1:C695)-1/48-I696)/0.5,6),1)))*1440,0)/1440)</f>
        <v/>
      </c>
      <c r="D696" s="9" t="str" cm="1">
        <f t="array" ref="D696">IF(H696="","",IFERROR(INDEX(Log!$C$19:$G$19,VALUE(MID(H696,FIND("#",H696)+1,1))),""))</f>
        <v/>
      </c>
      <c r="E696" s="9" t="str" cm="1">
        <f t="array" ref="E696">IF(OR(H696="",M696),"",IFERROR(_xlfn.LET(_xlpm.t,SUBSTITUTE(UPPER(H696),"م","M"),_xlpm.u,SUBSTITUTE(_xlpm.t,"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96" s="12"/>
      <c r="G696" s="13" t="str">
        <f>IF(B696="","",IF(M696,"⚠ Duplicate (not counted)",IF(AND(I696="",D696="",E696=""),"— ignored",IF(C696="","⚠ Time",IF(D696="","⚠ Plant",IF(E696="","⚠ Quantity",IF(AND(ISNUMBER(L696),COUNTIF(L$1:L695,L696)&gt;0),"⚠ Same serial "&amp;L696,IF(AND(ISNUMBER(L696),L696&gt;MIN($L$2:$L$1001),COUNTIF($L$2:$L$1001,L696-1)=0,COUNTIF($L$2:$L$1001,L696-2)&lt;2),"⚠ Missing serial "&amp;(L696-1),IF(AND(MAX(K$1:K695)&gt;0,N(K696)-MAX(K$1:K695)&gt;180),"⚠ Gap &gt; 3h",IF(C696-I696&gt;=0.99,"next day",IF(C696-I696&gt;0.4,"12h → 24h","")))))))))))</f>
        <v/>
      </c>
      <c r="H696" s="4" t="str">
        <f t="shared" si="50"/>
        <v/>
      </c>
      <c r="I696" s="5" t="str">
        <f t="shared" si="51"/>
        <v/>
      </c>
      <c r="J696" s="6">
        <f t="shared" si="52"/>
        <v>0</v>
      </c>
      <c r="K696" s="4" t="str">
        <f t="shared" si="53"/>
        <v/>
      </c>
      <c r="L696" s="4" t="str">
        <f t="shared" si="54"/>
        <v/>
      </c>
      <c r="M696" s="4" t="b" cm="1">
        <f t="array" ref="M696">IF(H696="",FALSE,SUMPRODUCT(--(H$1:H695=H696))&gt;0)</f>
        <v>0</v>
      </c>
    </row>
    <row r="697" spans="1:13" x14ac:dyDescent="0.25">
      <c r="A697" s="9" t="str">
        <f>IF(OR(B697="",M697,G697="— ignored"),"",MAX(A$1:A696)+1)</f>
        <v/>
      </c>
      <c r="B697" s="10"/>
      <c r="C697" s="11" t="str">
        <f>IF(I697="","",ROUND((I697+0.5*MAX(0,CEILING(ROUND((MAX(C$1:C696)-1/48-I697)/0.5,6),1)))*1440,0)/1440)</f>
        <v/>
      </c>
      <c r="D697" s="9" t="str" cm="1">
        <f t="array" ref="D697">IF(H697="","",IFERROR(INDEX(Log!$C$19:$G$19,VALUE(MID(H697,FIND("#",H697)+1,1))),""))</f>
        <v/>
      </c>
      <c r="E697" s="9" t="str" cm="1">
        <f t="array" ref="E697">IF(OR(H697="",M697),"",IFERROR(_xlfn.LET(_xlpm.t,SUBSTITUTE(UPPER(H697),"م","M"),_xlpm.u,SUBSTITUTE(_xlpm.t,"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97" s="12"/>
      <c r="G697" s="13" t="str">
        <f>IF(B697="","",IF(M697,"⚠ Duplicate (not counted)",IF(AND(I697="",D697="",E697=""),"— ignored",IF(C697="","⚠ Time",IF(D697="","⚠ Plant",IF(E697="","⚠ Quantity",IF(AND(ISNUMBER(L697),COUNTIF(L$1:L696,L697)&gt;0),"⚠ Same serial "&amp;L697,IF(AND(ISNUMBER(L697),L697&gt;MIN($L$2:$L$1001),COUNTIF($L$2:$L$1001,L697-1)=0,COUNTIF($L$2:$L$1001,L697-2)&lt;2),"⚠ Missing serial "&amp;(L697-1),IF(AND(MAX(K$1:K696)&gt;0,N(K697)-MAX(K$1:K696)&gt;180),"⚠ Gap &gt; 3h",IF(C697-I697&gt;=0.99,"next day",IF(C697-I697&gt;0.4,"12h → 24h","")))))))))))</f>
        <v/>
      </c>
      <c r="H697" s="4" t="str">
        <f t="shared" si="50"/>
        <v/>
      </c>
      <c r="I697" s="5" t="str">
        <f t="shared" si="51"/>
        <v/>
      </c>
      <c r="J697" s="6">
        <f t="shared" si="52"/>
        <v>0</v>
      </c>
      <c r="K697" s="4" t="str">
        <f t="shared" si="53"/>
        <v/>
      </c>
      <c r="L697" s="4" t="str">
        <f t="shared" si="54"/>
        <v/>
      </c>
      <c r="M697" s="4" t="b" cm="1">
        <f t="array" ref="M697">IF(H697="",FALSE,SUMPRODUCT(--(H$1:H696=H697))&gt;0)</f>
        <v>0</v>
      </c>
    </row>
    <row r="698" spans="1:13" x14ac:dyDescent="0.25">
      <c r="A698" s="9" t="str">
        <f>IF(OR(B698="",M698,G698="— ignored"),"",MAX(A$1:A697)+1)</f>
        <v/>
      </c>
      <c r="B698" s="10"/>
      <c r="C698" s="11" t="str">
        <f>IF(I698="","",ROUND((I698+0.5*MAX(0,CEILING(ROUND((MAX(C$1:C697)-1/48-I698)/0.5,6),1)))*1440,0)/1440)</f>
        <v/>
      </c>
      <c r="D698" s="9" t="str" cm="1">
        <f t="array" ref="D698">IF(H698="","",IFERROR(INDEX(Log!$C$19:$G$19,VALUE(MID(H698,FIND("#",H698)+1,1))),""))</f>
        <v/>
      </c>
      <c r="E698" s="9" t="str" cm="1">
        <f t="array" ref="E698">IF(OR(H698="",M698),"",IFERROR(_xlfn.LET(_xlpm.t,SUBSTITUTE(UPPER(H698),"م","M"),_xlpm.u,SUBSTITUTE(_xlpm.t,"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98" s="12"/>
      <c r="G698" s="13" t="str">
        <f>IF(B698="","",IF(M698,"⚠ Duplicate (not counted)",IF(AND(I698="",D698="",E698=""),"— ignored",IF(C698="","⚠ Time",IF(D698="","⚠ Plant",IF(E698="","⚠ Quantity",IF(AND(ISNUMBER(L698),COUNTIF(L$1:L697,L698)&gt;0),"⚠ Same serial "&amp;L698,IF(AND(ISNUMBER(L698),L698&gt;MIN($L$2:$L$1001),COUNTIF($L$2:$L$1001,L698-1)=0,COUNTIF($L$2:$L$1001,L698-2)&lt;2),"⚠ Missing serial "&amp;(L698-1),IF(AND(MAX(K$1:K697)&gt;0,N(K698)-MAX(K$1:K697)&gt;180),"⚠ Gap &gt; 3h",IF(C698-I698&gt;=0.99,"next day",IF(C698-I698&gt;0.4,"12h → 24h","")))))))))))</f>
        <v/>
      </c>
      <c r="H698" s="4" t="str">
        <f t="shared" si="50"/>
        <v/>
      </c>
      <c r="I698" s="5" t="str">
        <f t="shared" si="51"/>
        <v/>
      </c>
      <c r="J698" s="6">
        <f t="shared" si="52"/>
        <v>0</v>
      </c>
      <c r="K698" s="4" t="str">
        <f t="shared" si="53"/>
        <v/>
      </c>
      <c r="L698" s="4" t="str">
        <f t="shared" si="54"/>
        <v/>
      </c>
      <c r="M698" s="4" t="b" cm="1">
        <f t="array" ref="M698">IF(H698="",FALSE,SUMPRODUCT(--(H$1:H697=H698))&gt;0)</f>
        <v>0</v>
      </c>
    </row>
    <row r="699" spans="1:13" x14ac:dyDescent="0.25">
      <c r="A699" s="9" t="str">
        <f>IF(OR(B699="",M699,G699="— ignored"),"",MAX(A$1:A698)+1)</f>
        <v/>
      </c>
      <c r="B699" s="10"/>
      <c r="C699" s="11" t="str">
        <f>IF(I699="","",ROUND((I699+0.5*MAX(0,CEILING(ROUND((MAX(C$1:C698)-1/48-I699)/0.5,6),1)))*1440,0)/1440)</f>
        <v/>
      </c>
      <c r="D699" s="9" t="str" cm="1">
        <f t="array" ref="D699">IF(H699="","",IFERROR(INDEX(Log!$C$19:$G$19,VALUE(MID(H699,FIND("#",H699)+1,1))),""))</f>
        <v/>
      </c>
      <c r="E699" s="9" t="str" cm="1">
        <f t="array" ref="E699">IF(OR(H699="",M699),"",IFERROR(_xlfn.LET(_xlpm.t,SUBSTITUTE(UPPER(H699),"م","M"),_xlpm.u,SUBSTITUTE(_xlpm.t,"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699" s="12"/>
      <c r="G699" s="13" t="str">
        <f>IF(B699="","",IF(M699,"⚠ Duplicate (not counted)",IF(AND(I699="",D699="",E699=""),"— ignored",IF(C699="","⚠ Time",IF(D699="","⚠ Plant",IF(E699="","⚠ Quantity",IF(AND(ISNUMBER(L699),COUNTIF(L$1:L698,L699)&gt;0),"⚠ Same serial "&amp;L699,IF(AND(ISNUMBER(L699),L699&gt;MIN($L$2:$L$1001),COUNTIF($L$2:$L$1001,L699-1)=0,COUNTIF($L$2:$L$1001,L699-2)&lt;2),"⚠ Missing serial "&amp;(L699-1),IF(AND(MAX(K$1:K698)&gt;0,N(K699)-MAX(K$1:K698)&gt;180),"⚠ Gap &gt; 3h",IF(C699-I699&gt;=0.99,"next day",IF(C699-I699&gt;0.4,"12h → 24h","")))))))))))</f>
        <v/>
      </c>
      <c r="H699" s="4" t="str">
        <f t="shared" si="50"/>
        <v/>
      </c>
      <c r="I699" s="5" t="str">
        <f t="shared" si="51"/>
        <v/>
      </c>
      <c r="J699" s="6">
        <f t="shared" si="52"/>
        <v>0</v>
      </c>
      <c r="K699" s="4" t="str">
        <f t="shared" si="53"/>
        <v/>
      </c>
      <c r="L699" s="4" t="str">
        <f t="shared" si="54"/>
        <v/>
      </c>
      <c r="M699" s="4" t="b" cm="1">
        <f t="array" ref="M699">IF(H699="",FALSE,SUMPRODUCT(--(H$1:H698=H699))&gt;0)</f>
        <v>0</v>
      </c>
    </row>
    <row r="700" spans="1:13" x14ac:dyDescent="0.25">
      <c r="A700" s="9" t="str">
        <f>IF(OR(B700="",M700,G700="— ignored"),"",MAX(A$1:A699)+1)</f>
        <v/>
      </c>
      <c r="B700" s="10"/>
      <c r="C700" s="11" t="str">
        <f>IF(I700="","",ROUND((I700+0.5*MAX(0,CEILING(ROUND((MAX(C$1:C699)-1/48-I700)/0.5,6),1)))*1440,0)/1440)</f>
        <v/>
      </c>
      <c r="D700" s="9" t="str" cm="1">
        <f t="array" ref="D700">IF(H700="","",IFERROR(INDEX(Log!$C$19:$G$19,VALUE(MID(H700,FIND("#",H700)+1,1))),""))</f>
        <v/>
      </c>
      <c r="E700" s="9" t="str" cm="1">
        <f t="array" ref="E700">IF(OR(H700="",M700),"",IFERROR(_xlfn.LET(_xlpm.t,SUBSTITUTE(UPPER(H700),"م","M"),_xlpm.u,SUBSTITUTE(_xlpm.t,"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00" s="12"/>
      <c r="G700" s="13" t="str">
        <f>IF(B700="","",IF(M700,"⚠ Duplicate (not counted)",IF(AND(I700="",D700="",E700=""),"— ignored",IF(C700="","⚠ Time",IF(D700="","⚠ Plant",IF(E700="","⚠ Quantity",IF(AND(ISNUMBER(L700),COUNTIF(L$1:L699,L700)&gt;0),"⚠ Same serial "&amp;L700,IF(AND(ISNUMBER(L700),L700&gt;MIN($L$2:$L$1001),COUNTIF($L$2:$L$1001,L700-1)=0,COUNTIF($L$2:$L$1001,L700-2)&lt;2),"⚠ Missing serial "&amp;(L700-1),IF(AND(MAX(K$1:K699)&gt;0,N(K700)-MAX(K$1:K699)&gt;180),"⚠ Gap &gt; 3h",IF(C700-I700&gt;=0.99,"next day",IF(C700-I700&gt;0.4,"12h → 24h","")))))))))))</f>
        <v/>
      </c>
      <c r="H700" s="4" t="str">
        <f t="shared" si="50"/>
        <v/>
      </c>
      <c r="I700" s="5" t="str">
        <f t="shared" si="51"/>
        <v/>
      </c>
      <c r="J700" s="6">
        <f t="shared" si="52"/>
        <v>0</v>
      </c>
      <c r="K700" s="4" t="str">
        <f t="shared" si="53"/>
        <v/>
      </c>
      <c r="L700" s="4" t="str">
        <f t="shared" si="54"/>
        <v/>
      </c>
      <c r="M700" s="4" t="b" cm="1">
        <f t="array" ref="M700">IF(H700="",FALSE,SUMPRODUCT(--(H$1:H699=H700))&gt;0)</f>
        <v>0</v>
      </c>
    </row>
    <row r="701" spans="1:13" x14ac:dyDescent="0.25">
      <c r="A701" s="9" t="str">
        <f>IF(OR(B701="",M701,G701="— ignored"),"",MAX(A$1:A700)+1)</f>
        <v/>
      </c>
      <c r="B701" s="10"/>
      <c r="C701" s="11" t="str">
        <f>IF(I701="","",ROUND((I701+0.5*MAX(0,CEILING(ROUND((MAX(C$1:C700)-1/48-I701)/0.5,6),1)))*1440,0)/1440)</f>
        <v/>
      </c>
      <c r="D701" s="9" t="str" cm="1">
        <f t="array" ref="D701">IF(H701="","",IFERROR(INDEX(Log!$C$19:$G$19,VALUE(MID(H701,FIND("#",H701)+1,1))),""))</f>
        <v/>
      </c>
      <c r="E701" s="9" t="str" cm="1">
        <f t="array" ref="E701">IF(OR(H701="",M701),"",IFERROR(_xlfn.LET(_xlpm.t,SUBSTITUTE(UPPER(H701),"م","M"),_xlpm.u,SUBSTITUTE(_xlpm.t,"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01" s="12"/>
      <c r="G701" s="13" t="str">
        <f>IF(B701="","",IF(M701,"⚠ Duplicate (not counted)",IF(AND(I701="",D701="",E701=""),"— ignored",IF(C701="","⚠ Time",IF(D701="","⚠ Plant",IF(E701="","⚠ Quantity",IF(AND(ISNUMBER(L701),COUNTIF(L$1:L700,L701)&gt;0),"⚠ Same serial "&amp;L701,IF(AND(ISNUMBER(L701),L701&gt;MIN($L$2:$L$1001),COUNTIF($L$2:$L$1001,L701-1)=0,COUNTIF($L$2:$L$1001,L701-2)&lt;2),"⚠ Missing serial "&amp;(L701-1),IF(AND(MAX(K$1:K700)&gt;0,N(K701)-MAX(K$1:K700)&gt;180),"⚠ Gap &gt; 3h",IF(C701-I701&gt;=0.99,"next day",IF(C701-I701&gt;0.4,"12h → 24h","")))))))))))</f>
        <v/>
      </c>
      <c r="H701" s="4" t="str">
        <f t="shared" si="50"/>
        <v/>
      </c>
      <c r="I701" s="5" t="str">
        <f t="shared" si="51"/>
        <v/>
      </c>
      <c r="J701" s="6">
        <f t="shared" si="52"/>
        <v>0</v>
      </c>
      <c r="K701" s="4" t="str">
        <f t="shared" si="53"/>
        <v/>
      </c>
      <c r="L701" s="4" t="str">
        <f t="shared" si="54"/>
        <v/>
      </c>
      <c r="M701" s="4" t="b" cm="1">
        <f t="array" ref="M701">IF(H701="",FALSE,SUMPRODUCT(--(H$1:H700=H701))&gt;0)</f>
        <v>0</v>
      </c>
    </row>
    <row r="702" spans="1:13" x14ac:dyDescent="0.25">
      <c r="A702" s="9" t="str">
        <f>IF(OR(B702="",M702,G702="— ignored"),"",MAX(A$1:A701)+1)</f>
        <v/>
      </c>
      <c r="B702" s="10"/>
      <c r="C702" s="11" t="str">
        <f>IF(I702="","",ROUND((I702+0.5*MAX(0,CEILING(ROUND((MAX(C$1:C701)-1/48-I702)/0.5,6),1)))*1440,0)/1440)</f>
        <v/>
      </c>
      <c r="D702" s="9" t="str" cm="1">
        <f t="array" ref="D702">IF(H702="","",IFERROR(INDEX(Log!$C$19:$G$19,VALUE(MID(H702,FIND("#",H702)+1,1))),""))</f>
        <v/>
      </c>
      <c r="E702" s="9" t="str" cm="1">
        <f t="array" ref="E702">IF(OR(H702="",M702),"",IFERROR(_xlfn.LET(_xlpm.t,SUBSTITUTE(UPPER(H702),"م","M"),_xlpm.u,SUBSTITUTE(_xlpm.t,"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02" s="12"/>
      <c r="G702" s="13" t="str">
        <f>IF(B702="","",IF(M702,"⚠ Duplicate (not counted)",IF(AND(I702="",D702="",E702=""),"— ignored",IF(C702="","⚠ Time",IF(D702="","⚠ Plant",IF(E702="","⚠ Quantity",IF(AND(ISNUMBER(L702),COUNTIF(L$1:L701,L702)&gt;0),"⚠ Same serial "&amp;L702,IF(AND(ISNUMBER(L702),L702&gt;MIN($L$2:$L$1001),COUNTIF($L$2:$L$1001,L702-1)=0,COUNTIF($L$2:$L$1001,L702-2)&lt;2),"⚠ Missing serial "&amp;(L702-1),IF(AND(MAX(K$1:K701)&gt;0,N(K702)-MAX(K$1:K701)&gt;180),"⚠ Gap &gt; 3h",IF(C702-I702&gt;=0.99,"next day",IF(C702-I702&gt;0.4,"12h → 24h","")))))))))))</f>
        <v/>
      </c>
      <c r="H702" s="4" t="str">
        <f t="shared" si="50"/>
        <v/>
      </c>
      <c r="I702" s="5" t="str">
        <f t="shared" si="51"/>
        <v/>
      </c>
      <c r="J702" s="6">
        <f t="shared" si="52"/>
        <v>0</v>
      </c>
      <c r="K702" s="4" t="str">
        <f t="shared" si="53"/>
        <v/>
      </c>
      <c r="L702" s="4" t="str">
        <f t="shared" si="54"/>
        <v/>
      </c>
      <c r="M702" s="4" t="b" cm="1">
        <f t="array" ref="M702">IF(H702="",FALSE,SUMPRODUCT(--(H$1:H701=H702))&gt;0)</f>
        <v>0</v>
      </c>
    </row>
    <row r="703" spans="1:13" x14ac:dyDescent="0.25">
      <c r="A703" s="9" t="str">
        <f>IF(OR(B703="",M703,G703="— ignored"),"",MAX(A$1:A702)+1)</f>
        <v/>
      </c>
      <c r="B703" s="10"/>
      <c r="C703" s="11" t="str">
        <f>IF(I703="","",ROUND((I703+0.5*MAX(0,CEILING(ROUND((MAX(C$1:C702)-1/48-I703)/0.5,6),1)))*1440,0)/1440)</f>
        <v/>
      </c>
      <c r="D703" s="9" t="str" cm="1">
        <f t="array" ref="D703">IF(H703="","",IFERROR(INDEX(Log!$C$19:$G$19,VALUE(MID(H703,FIND("#",H703)+1,1))),""))</f>
        <v/>
      </c>
      <c r="E703" s="9" t="str" cm="1">
        <f t="array" ref="E703">IF(OR(H703="",M703),"",IFERROR(_xlfn.LET(_xlpm.t,SUBSTITUTE(UPPER(H703),"م","M"),_xlpm.u,SUBSTITUTE(_xlpm.t,"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03" s="12"/>
      <c r="G703" s="13" t="str">
        <f>IF(B703="","",IF(M703,"⚠ Duplicate (not counted)",IF(AND(I703="",D703="",E703=""),"— ignored",IF(C703="","⚠ Time",IF(D703="","⚠ Plant",IF(E703="","⚠ Quantity",IF(AND(ISNUMBER(L703),COUNTIF(L$1:L702,L703)&gt;0),"⚠ Same serial "&amp;L703,IF(AND(ISNUMBER(L703),L703&gt;MIN($L$2:$L$1001),COUNTIF($L$2:$L$1001,L703-1)=0,COUNTIF($L$2:$L$1001,L703-2)&lt;2),"⚠ Missing serial "&amp;(L703-1),IF(AND(MAX(K$1:K702)&gt;0,N(K703)-MAX(K$1:K702)&gt;180),"⚠ Gap &gt; 3h",IF(C703-I703&gt;=0.99,"next day",IF(C703-I703&gt;0.4,"12h → 24h","")))))))))))</f>
        <v/>
      </c>
      <c r="H703" s="4" t="str">
        <f t="shared" si="50"/>
        <v/>
      </c>
      <c r="I703" s="5" t="str">
        <f t="shared" si="51"/>
        <v/>
      </c>
      <c r="J703" s="6">
        <f t="shared" si="52"/>
        <v>0</v>
      </c>
      <c r="K703" s="4" t="str">
        <f t="shared" si="53"/>
        <v/>
      </c>
      <c r="L703" s="4" t="str">
        <f t="shared" si="54"/>
        <v/>
      </c>
      <c r="M703" s="4" t="b" cm="1">
        <f t="array" ref="M703">IF(H703="",FALSE,SUMPRODUCT(--(H$1:H702=H703))&gt;0)</f>
        <v>0</v>
      </c>
    </row>
    <row r="704" spans="1:13" x14ac:dyDescent="0.25">
      <c r="A704" s="9" t="str">
        <f>IF(OR(B704="",M704,G704="— ignored"),"",MAX(A$1:A703)+1)</f>
        <v/>
      </c>
      <c r="B704" s="10"/>
      <c r="C704" s="11" t="str">
        <f>IF(I704="","",ROUND((I704+0.5*MAX(0,CEILING(ROUND((MAX(C$1:C703)-1/48-I704)/0.5,6),1)))*1440,0)/1440)</f>
        <v/>
      </c>
      <c r="D704" s="9" t="str" cm="1">
        <f t="array" ref="D704">IF(H704="","",IFERROR(INDEX(Log!$C$19:$G$19,VALUE(MID(H704,FIND("#",H704)+1,1))),""))</f>
        <v/>
      </c>
      <c r="E704" s="9" t="str" cm="1">
        <f t="array" ref="E704">IF(OR(H704="",M704),"",IFERROR(_xlfn.LET(_xlpm.t,SUBSTITUTE(UPPER(H704),"م","M"),_xlpm.u,SUBSTITUTE(_xlpm.t,"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04" s="12"/>
      <c r="G704" s="13" t="str">
        <f>IF(B704="","",IF(M704,"⚠ Duplicate (not counted)",IF(AND(I704="",D704="",E704=""),"— ignored",IF(C704="","⚠ Time",IF(D704="","⚠ Plant",IF(E704="","⚠ Quantity",IF(AND(ISNUMBER(L704),COUNTIF(L$1:L703,L704)&gt;0),"⚠ Same serial "&amp;L704,IF(AND(ISNUMBER(L704),L704&gt;MIN($L$2:$L$1001),COUNTIF($L$2:$L$1001,L704-1)=0,COUNTIF($L$2:$L$1001,L704-2)&lt;2),"⚠ Missing serial "&amp;(L704-1),IF(AND(MAX(K$1:K703)&gt;0,N(K704)-MAX(K$1:K703)&gt;180),"⚠ Gap &gt; 3h",IF(C704-I704&gt;=0.99,"next day",IF(C704-I704&gt;0.4,"12h → 24h","")))))))))))</f>
        <v/>
      </c>
      <c r="H704" s="4" t="str">
        <f t="shared" si="50"/>
        <v/>
      </c>
      <c r="I704" s="5" t="str">
        <f t="shared" si="51"/>
        <v/>
      </c>
      <c r="J704" s="6">
        <f t="shared" si="52"/>
        <v>0</v>
      </c>
      <c r="K704" s="4" t="str">
        <f t="shared" si="53"/>
        <v/>
      </c>
      <c r="L704" s="4" t="str">
        <f t="shared" si="54"/>
        <v/>
      </c>
      <c r="M704" s="4" t="b" cm="1">
        <f t="array" ref="M704">IF(H704="",FALSE,SUMPRODUCT(--(H$1:H703=H704))&gt;0)</f>
        <v>0</v>
      </c>
    </row>
    <row r="705" spans="1:13" x14ac:dyDescent="0.25">
      <c r="A705" s="9" t="str">
        <f>IF(OR(B705="",M705,G705="— ignored"),"",MAX(A$1:A704)+1)</f>
        <v/>
      </c>
      <c r="B705" s="10"/>
      <c r="C705" s="11" t="str">
        <f>IF(I705="","",ROUND((I705+0.5*MAX(0,CEILING(ROUND((MAX(C$1:C704)-1/48-I705)/0.5,6),1)))*1440,0)/1440)</f>
        <v/>
      </c>
      <c r="D705" s="9" t="str" cm="1">
        <f t="array" ref="D705">IF(H705="","",IFERROR(INDEX(Log!$C$19:$G$19,VALUE(MID(H705,FIND("#",H705)+1,1))),""))</f>
        <v/>
      </c>
      <c r="E705" s="9" t="str" cm="1">
        <f t="array" ref="E705">IF(OR(H705="",M705),"",IFERROR(_xlfn.LET(_xlpm.t,SUBSTITUTE(UPPER(H705),"م","M"),_xlpm.u,SUBSTITUTE(_xlpm.t,"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05" s="12"/>
      <c r="G705" s="13" t="str">
        <f>IF(B705="","",IF(M705,"⚠ Duplicate (not counted)",IF(AND(I705="",D705="",E705=""),"— ignored",IF(C705="","⚠ Time",IF(D705="","⚠ Plant",IF(E705="","⚠ Quantity",IF(AND(ISNUMBER(L705),COUNTIF(L$1:L704,L705)&gt;0),"⚠ Same serial "&amp;L705,IF(AND(ISNUMBER(L705),L705&gt;MIN($L$2:$L$1001),COUNTIF($L$2:$L$1001,L705-1)=0,COUNTIF($L$2:$L$1001,L705-2)&lt;2),"⚠ Missing serial "&amp;(L705-1),IF(AND(MAX(K$1:K704)&gt;0,N(K705)-MAX(K$1:K704)&gt;180),"⚠ Gap &gt; 3h",IF(C705-I705&gt;=0.99,"next day",IF(C705-I705&gt;0.4,"12h → 24h","")))))))))))</f>
        <v/>
      </c>
      <c r="H705" s="4" t="str">
        <f t="shared" si="50"/>
        <v/>
      </c>
      <c r="I705" s="5" t="str">
        <f t="shared" si="51"/>
        <v/>
      </c>
      <c r="J705" s="6">
        <f t="shared" si="52"/>
        <v>0</v>
      </c>
      <c r="K705" s="4" t="str">
        <f t="shared" si="53"/>
        <v/>
      </c>
      <c r="L705" s="4" t="str">
        <f t="shared" si="54"/>
        <v/>
      </c>
      <c r="M705" s="4" t="b" cm="1">
        <f t="array" ref="M705">IF(H705="",FALSE,SUMPRODUCT(--(H$1:H704=H705))&gt;0)</f>
        <v>0</v>
      </c>
    </row>
    <row r="706" spans="1:13" x14ac:dyDescent="0.25">
      <c r="A706" s="9" t="str">
        <f>IF(OR(B706="",M706,G706="— ignored"),"",MAX(A$1:A705)+1)</f>
        <v/>
      </c>
      <c r="B706" s="10"/>
      <c r="C706" s="11" t="str">
        <f>IF(I706="","",ROUND((I706+0.5*MAX(0,CEILING(ROUND((MAX(C$1:C705)-1/48-I706)/0.5,6),1)))*1440,0)/1440)</f>
        <v/>
      </c>
      <c r="D706" s="9" t="str" cm="1">
        <f t="array" ref="D706">IF(H706="","",IFERROR(INDEX(Log!$C$19:$G$19,VALUE(MID(H706,FIND("#",H706)+1,1))),""))</f>
        <v/>
      </c>
      <c r="E706" s="9" t="str" cm="1">
        <f t="array" ref="E706">IF(OR(H706="",M706),"",IFERROR(_xlfn.LET(_xlpm.t,SUBSTITUTE(UPPER(H706),"م","M"),_xlpm.u,SUBSTITUTE(_xlpm.t,"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06" s="12"/>
      <c r="G706" s="13" t="str">
        <f>IF(B706="","",IF(M706,"⚠ Duplicate (not counted)",IF(AND(I706="",D706="",E706=""),"— ignored",IF(C706="","⚠ Time",IF(D706="","⚠ Plant",IF(E706="","⚠ Quantity",IF(AND(ISNUMBER(L706),COUNTIF(L$1:L705,L706)&gt;0),"⚠ Same serial "&amp;L706,IF(AND(ISNUMBER(L706),L706&gt;MIN($L$2:$L$1001),COUNTIF($L$2:$L$1001,L706-1)=0,COUNTIF($L$2:$L$1001,L706-2)&lt;2),"⚠ Missing serial "&amp;(L706-1),IF(AND(MAX(K$1:K705)&gt;0,N(K706)-MAX(K$1:K705)&gt;180),"⚠ Gap &gt; 3h",IF(C706-I706&gt;=0.99,"next day",IF(C706-I706&gt;0.4,"12h → 24h","")))))))))))</f>
        <v/>
      </c>
      <c r="H706" s="4" t="str">
        <f t="shared" ref="H706:H769" si="55">IF(B706="","",_xlfn.LET(_xlpm.t,TRIM(B706),IF(LEFT(_xlpm.t,1)="[",IFERROR(TRIM(MID(_xlpm.t,FIND(": ",_xlpm.t,FIND("]",_xlpm.t))+2,500)),_xlpm.t),_xlpm.t)))</f>
        <v/>
      </c>
      <c r="I706" s="5" t="str">
        <f t="shared" ref="I706:I769" si="56">IF(H706="","",IFERROR(TIMEVALUE(TRIM(SUBSTITUTE(SUBSTITUTE(MID(H706,SEARCH(":",H706)-2,5),".",""),"*",""))),""))</f>
        <v/>
      </c>
      <c r="J706" s="6">
        <f t="shared" ref="J706:J769" si="57">IF(OR(B706="",F706="",M706),0,IF(ISNUMBER(F706),F706,N(E706)))</f>
        <v>0</v>
      </c>
      <c r="K706" s="4" t="str">
        <f t="shared" ref="K706:K769" si="58">IF(OR(C706="",M706),"",ROUND(C706*1440,0))</f>
        <v/>
      </c>
      <c r="L706" s="4" t="str">
        <f t="shared" ref="L706:L769" si="59">IF(OR(H706="",AND(I706="",D706="")),"",IFERROR(_xlfn.LET(_xlpm.t,TRIM(SUBSTITUTE(SUBSTITUTE(H706,"*",""),"_","")),VALUE(SUBSTITUTE(LEFT(_xlpm.t,FIND(" ",_xlpm.t&amp;" ")-1),".",""))),""))</f>
        <v/>
      </c>
      <c r="M706" s="4" t="b" cm="1">
        <f t="array" ref="M706">IF(H706="",FALSE,SUMPRODUCT(--(H$1:H705=H706))&gt;0)</f>
        <v>0</v>
      </c>
    </row>
    <row r="707" spans="1:13" x14ac:dyDescent="0.25">
      <c r="A707" s="9" t="str">
        <f>IF(OR(B707="",M707,G707="— ignored"),"",MAX(A$1:A706)+1)</f>
        <v/>
      </c>
      <c r="B707" s="10"/>
      <c r="C707" s="11" t="str">
        <f>IF(I707="","",ROUND((I707+0.5*MAX(0,CEILING(ROUND((MAX(C$1:C706)-1/48-I707)/0.5,6),1)))*1440,0)/1440)</f>
        <v/>
      </c>
      <c r="D707" s="9" t="str" cm="1">
        <f t="array" ref="D707">IF(H707="","",IFERROR(INDEX(Log!$C$19:$G$19,VALUE(MID(H707,FIND("#",H707)+1,1))),""))</f>
        <v/>
      </c>
      <c r="E707" s="9" t="str" cm="1">
        <f t="array" ref="E707">IF(OR(H707="",M707),"",IFERROR(_xlfn.LET(_xlpm.t,SUBSTITUTE(UPPER(H707),"م","M"),_xlpm.u,SUBSTITUTE(_xlpm.t,"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07" s="12"/>
      <c r="G707" s="13" t="str">
        <f>IF(B707="","",IF(M707,"⚠ Duplicate (not counted)",IF(AND(I707="",D707="",E707=""),"— ignored",IF(C707="","⚠ Time",IF(D707="","⚠ Plant",IF(E707="","⚠ Quantity",IF(AND(ISNUMBER(L707),COUNTIF(L$1:L706,L707)&gt;0),"⚠ Same serial "&amp;L707,IF(AND(ISNUMBER(L707),L707&gt;MIN($L$2:$L$1001),COUNTIF($L$2:$L$1001,L707-1)=0,COUNTIF($L$2:$L$1001,L707-2)&lt;2),"⚠ Missing serial "&amp;(L707-1),IF(AND(MAX(K$1:K706)&gt;0,N(K707)-MAX(K$1:K706)&gt;180),"⚠ Gap &gt; 3h",IF(C707-I707&gt;=0.99,"next day",IF(C707-I707&gt;0.4,"12h → 24h","")))))))))))</f>
        <v/>
      </c>
      <c r="H707" s="4" t="str">
        <f t="shared" si="55"/>
        <v/>
      </c>
      <c r="I707" s="5" t="str">
        <f t="shared" si="56"/>
        <v/>
      </c>
      <c r="J707" s="6">
        <f t="shared" si="57"/>
        <v>0</v>
      </c>
      <c r="K707" s="4" t="str">
        <f t="shared" si="58"/>
        <v/>
      </c>
      <c r="L707" s="4" t="str">
        <f t="shared" si="59"/>
        <v/>
      </c>
      <c r="M707" s="4" t="b" cm="1">
        <f t="array" ref="M707">IF(H707="",FALSE,SUMPRODUCT(--(H$1:H706=H707))&gt;0)</f>
        <v>0</v>
      </c>
    </row>
    <row r="708" spans="1:13" x14ac:dyDescent="0.25">
      <c r="A708" s="9" t="str">
        <f>IF(OR(B708="",M708,G708="— ignored"),"",MAX(A$1:A707)+1)</f>
        <v/>
      </c>
      <c r="B708" s="10"/>
      <c r="C708" s="11" t="str">
        <f>IF(I708="","",ROUND((I708+0.5*MAX(0,CEILING(ROUND((MAX(C$1:C707)-1/48-I708)/0.5,6),1)))*1440,0)/1440)</f>
        <v/>
      </c>
      <c r="D708" s="9" t="str" cm="1">
        <f t="array" ref="D708">IF(H708="","",IFERROR(INDEX(Log!$C$19:$G$19,VALUE(MID(H708,FIND("#",H708)+1,1))),""))</f>
        <v/>
      </c>
      <c r="E708" s="9" t="str" cm="1">
        <f t="array" ref="E708">IF(OR(H708="",M708),"",IFERROR(_xlfn.LET(_xlpm.t,SUBSTITUTE(UPPER(H708),"م","M"),_xlpm.u,SUBSTITUTE(_xlpm.t,"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08" s="12"/>
      <c r="G708" s="13" t="str">
        <f>IF(B708="","",IF(M708,"⚠ Duplicate (not counted)",IF(AND(I708="",D708="",E708=""),"— ignored",IF(C708="","⚠ Time",IF(D708="","⚠ Plant",IF(E708="","⚠ Quantity",IF(AND(ISNUMBER(L708),COUNTIF(L$1:L707,L708)&gt;0),"⚠ Same serial "&amp;L708,IF(AND(ISNUMBER(L708),L708&gt;MIN($L$2:$L$1001),COUNTIF($L$2:$L$1001,L708-1)=0,COUNTIF($L$2:$L$1001,L708-2)&lt;2),"⚠ Missing serial "&amp;(L708-1),IF(AND(MAX(K$1:K707)&gt;0,N(K708)-MAX(K$1:K707)&gt;180),"⚠ Gap &gt; 3h",IF(C708-I708&gt;=0.99,"next day",IF(C708-I708&gt;0.4,"12h → 24h","")))))))))))</f>
        <v/>
      </c>
      <c r="H708" s="4" t="str">
        <f t="shared" si="55"/>
        <v/>
      </c>
      <c r="I708" s="5" t="str">
        <f t="shared" si="56"/>
        <v/>
      </c>
      <c r="J708" s="6">
        <f t="shared" si="57"/>
        <v>0</v>
      </c>
      <c r="K708" s="4" t="str">
        <f t="shared" si="58"/>
        <v/>
      </c>
      <c r="L708" s="4" t="str">
        <f t="shared" si="59"/>
        <v/>
      </c>
      <c r="M708" s="4" t="b" cm="1">
        <f t="array" ref="M708">IF(H708="",FALSE,SUMPRODUCT(--(H$1:H707=H708))&gt;0)</f>
        <v>0</v>
      </c>
    </row>
    <row r="709" spans="1:13" x14ac:dyDescent="0.25">
      <c r="A709" s="9" t="str">
        <f>IF(OR(B709="",M709,G709="— ignored"),"",MAX(A$1:A708)+1)</f>
        <v/>
      </c>
      <c r="B709" s="10"/>
      <c r="C709" s="11" t="str">
        <f>IF(I709="","",ROUND((I709+0.5*MAX(0,CEILING(ROUND((MAX(C$1:C708)-1/48-I709)/0.5,6),1)))*1440,0)/1440)</f>
        <v/>
      </c>
      <c r="D709" s="9" t="str" cm="1">
        <f t="array" ref="D709">IF(H709="","",IFERROR(INDEX(Log!$C$19:$G$19,VALUE(MID(H709,FIND("#",H709)+1,1))),""))</f>
        <v/>
      </c>
      <c r="E709" s="9" t="str" cm="1">
        <f t="array" ref="E709">IF(OR(H709="",M709),"",IFERROR(_xlfn.LET(_xlpm.t,SUBSTITUTE(UPPER(H709),"م","M"),_xlpm.u,SUBSTITUTE(_xlpm.t,"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09" s="12"/>
      <c r="G709" s="13" t="str">
        <f>IF(B709="","",IF(M709,"⚠ Duplicate (not counted)",IF(AND(I709="",D709="",E709=""),"— ignored",IF(C709="","⚠ Time",IF(D709="","⚠ Plant",IF(E709="","⚠ Quantity",IF(AND(ISNUMBER(L709),COUNTIF(L$1:L708,L709)&gt;0),"⚠ Same serial "&amp;L709,IF(AND(ISNUMBER(L709),L709&gt;MIN($L$2:$L$1001),COUNTIF($L$2:$L$1001,L709-1)=0,COUNTIF($L$2:$L$1001,L709-2)&lt;2),"⚠ Missing serial "&amp;(L709-1),IF(AND(MAX(K$1:K708)&gt;0,N(K709)-MAX(K$1:K708)&gt;180),"⚠ Gap &gt; 3h",IF(C709-I709&gt;=0.99,"next day",IF(C709-I709&gt;0.4,"12h → 24h","")))))))))))</f>
        <v/>
      </c>
      <c r="H709" s="4" t="str">
        <f t="shared" si="55"/>
        <v/>
      </c>
      <c r="I709" s="5" t="str">
        <f t="shared" si="56"/>
        <v/>
      </c>
      <c r="J709" s="6">
        <f t="shared" si="57"/>
        <v>0</v>
      </c>
      <c r="K709" s="4" t="str">
        <f t="shared" si="58"/>
        <v/>
      </c>
      <c r="L709" s="4" t="str">
        <f t="shared" si="59"/>
        <v/>
      </c>
      <c r="M709" s="4" t="b" cm="1">
        <f t="array" ref="M709">IF(H709="",FALSE,SUMPRODUCT(--(H$1:H708=H709))&gt;0)</f>
        <v>0</v>
      </c>
    </row>
    <row r="710" spans="1:13" x14ac:dyDescent="0.25">
      <c r="A710" s="9" t="str">
        <f>IF(OR(B710="",M710,G710="— ignored"),"",MAX(A$1:A709)+1)</f>
        <v/>
      </c>
      <c r="B710" s="10"/>
      <c r="C710" s="11" t="str">
        <f>IF(I710="","",ROUND((I710+0.5*MAX(0,CEILING(ROUND((MAX(C$1:C709)-1/48-I710)/0.5,6),1)))*1440,0)/1440)</f>
        <v/>
      </c>
      <c r="D710" s="9" t="str" cm="1">
        <f t="array" ref="D710">IF(H710="","",IFERROR(INDEX(Log!$C$19:$G$19,VALUE(MID(H710,FIND("#",H710)+1,1))),""))</f>
        <v/>
      </c>
      <c r="E710" s="9" t="str" cm="1">
        <f t="array" ref="E710">IF(OR(H710="",M710),"",IFERROR(_xlfn.LET(_xlpm.t,SUBSTITUTE(UPPER(H710),"م","M"),_xlpm.u,SUBSTITUTE(_xlpm.t,"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10" s="12"/>
      <c r="G710" s="13" t="str">
        <f>IF(B710="","",IF(M710,"⚠ Duplicate (not counted)",IF(AND(I710="",D710="",E710=""),"— ignored",IF(C710="","⚠ Time",IF(D710="","⚠ Plant",IF(E710="","⚠ Quantity",IF(AND(ISNUMBER(L710),COUNTIF(L$1:L709,L710)&gt;0),"⚠ Same serial "&amp;L710,IF(AND(ISNUMBER(L710),L710&gt;MIN($L$2:$L$1001),COUNTIF($L$2:$L$1001,L710-1)=0,COUNTIF($L$2:$L$1001,L710-2)&lt;2),"⚠ Missing serial "&amp;(L710-1),IF(AND(MAX(K$1:K709)&gt;0,N(K710)-MAX(K$1:K709)&gt;180),"⚠ Gap &gt; 3h",IF(C710-I710&gt;=0.99,"next day",IF(C710-I710&gt;0.4,"12h → 24h","")))))))))))</f>
        <v/>
      </c>
      <c r="H710" s="4" t="str">
        <f t="shared" si="55"/>
        <v/>
      </c>
      <c r="I710" s="5" t="str">
        <f t="shared" si="56"/>
        <v/>
      </c>
      <c r="J710" s="6">
        <f t="shared" si="57"/>
        <v>0</v>
      </c>
      <c r="K710" s="4" t="str">
        <f t="shared" si="58"/>
        <v/>
      </c>
      <c r="L710" s="4" t="str">
        <f t="shared" si="59"/>
        <v/>
      </c>
      <c r="M710" s="4" t="b" cm="1">
        <f t="array" ref="M710">IF(H710="",FALSE,SUMPRODUCT(--(H$1:H709=H710))&gt;0)</f>
        <v>0</v>
      </c>
    </row>
    <row r="711" spans="1:13" x14ac:dyDescent="0.25">
      <c r="A711" s="9" t="str">
        <f>IF(OR(B711="",M711,G711="— ignored"),"",MAX(A$1:A710)+1)</f>
        <v/>
      </c>
      <c r="B711" s="10"/>
      <c r="C711" s="11" t="str">
        <f>IF(I711="","",ROUND((I711+0.5*MAX(0,CEILING(ROUND((MAX(C$1:C710)-1/48-I711)/0.5,6),1)))*1440,0)/1440)</f>
        <v/>
      </c>
      <c r="D711" s="9" t="str" cm="1">
        <f t="array" ref="D711">IF(H711="","",IFERROR(INDEX(Log!$C$19:$G$19,VALUE(MID(H711,FIND("#",H711)+1,1))),""))</f>
        <v/>
      </c>
      <c r="E711" s="9" t="str" cm="1">
        <f t="array" ref="E711">IF(OR(H711="",M711),"",IFERROR(_xlfn.LET(_xlpm.t,SUBSTITUTE(UPPER(H711),"م","M"),_xlpm.u,SUBSTITUTE(_xlpm.t,"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11" s="12"/>
      <c r="G711" s="13" t="str">
        <f>IF(B711="","",IF(M711,"⚠ Duplicate (not counted)",IF(AND(I711="",D711="",E711=""),"— ignored",IF(C711="","⚠ Time",IF(D711="","⚠ Plant",IF(E711="","⚠ Quantity",IF(AND(ISNUMBER(L711),COUNTIF(L$1:L710,L711)&gt;0),"⚠ Same serial "&amp;L711,IF(AND(ISNUMBER(L711),L711&gt;MIN($L$2:$L$1001),COUNTIF($L$2:$L$1001,L711-1)=0,COUNTIF($L$2:$L$1001,L711-2)&lt;2),"⚠ Missing serial "&amp;(L711-1),IF(AND(MAX(K$1:K710)&gt;0,N(K711)-MAX(K$1:K710)&gt;180),"⚠ Gap &gt; 3h",IF(C711-I711&gt;=0.99,"next day",IF(C711-I711&gt;0.4,"12h → 24h","")))))))))))</f>
        <v/>
      </c>
      <c r="H711" s="4" t="str">
        <f t="shared" si="55"/>
        <v/>
      </c>
      <c r="I711" s="5" t="str">
        <f t="shared" si="56"/>
        <v/>
      </c>
      <c r="J711" s="6">
        <f t="shared" si="57"/>
        <v>0</v>
      </c>
      <c r="K711" s="4" t="str">
        <f t="shared" si="58"/>
        <v/>
      </c>
      <c r="L711" s="4" t="str">
        <f t="shared" si="59"/>
        <v/>
      </c>
      <c r="M711" s="4" t="b" cm="1">
        <f t="array" ref="M711">IF(H711="",FALSE,SUMPRODUCT(--(H$1:H710=H711))&gt;0)</f>
        <v>0</v>
      </c>
    </row>
    <row r="712" spans="1:13" x14ac:dyDescent="0.25">
      <c r="A712" s="9" t="str">
        <f>IF(OR(B712="",M712,G712="— ignored"),"",MAX(A$1:A711)+1)</f>
        <v/>
      </c>
      <c r="B712" s="10"/>
      <c r="C712" s="11" t="str">
        <f>IF(I712="","",ROUND((I712+0.5*MAX(0,CEILING(ROUND((MAX(C$1:C711)-1/48-I712)/0.5,6),1)))*1440,0)/1440)</f>
        <v/>
      </c>
      <c r="D712" s="9" t="str" cm="1">
        <f t="array" ref="D712">IF(H712="","",IFERROR(INDEX(Log!$C$19:$G$19,VALUE(MID(H712,FIND("#",H712)+1,1))),""))</f>
        <v/>
      </c>
      <c r="E712" s="9" t="str" cm="1">
        <f t="array" ref="E712">IF(OR(H712="",M712),"",IFERROR(_xlfn.LET(_xlpm.t,SUBSTITUTE(UPPER(H712),"م","M"),_xlpm.u,SUBSTITUTE(_xlpm.t,"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12" s="12"/>
      <c r="G712" s="13" t="str">
        <f>IF(B712="","",IF(M712,"⚠ Duplicate (not counted)",IF(AND(I712="",D712="",E712=""),"— ignored",IF(C712="","⚠ Time",IF(D712="","⚠ Plant",IF(E712="","⚠ Quantity",IF(AND(ISNUMBER(L712),COUNTIF(L$1:L711,L712)&gt;0),"⚠ Same serial "&amp;L712,IF(AND(ISNUMBER(L712),L712&gt;MIN($L$2:$L$1001),COUNTIF($L$2:$L$1001,L712-1)=0,COUNTIF($L$2:$L$1001,L712-2)&lt;2),"⚠ Missing serial "&amp;(L712-1),IF(AND(MAX(K$1:K711)&gt;0,N(K712)-MAX(K$1:K711)&gt;180),"⚠ Gap &gt; 3h",IF(C712-I712&gt;=0.99,"next day",IF(C712-I712&gt;0.4,"12h → 24h","")))))))))))</f>
        <v/>
      </c>
      <c r="H712" s="4" t="str">
        <f t="shared" si="55"/>
        <v/>
      </c>
      <c r="I712" s="5" t="str">
        <f t="shared" si="56"/>
        <v/>
      </c>
      <c r="J712" s="6">
        <f t="shared" si="57"/>
        <v>0</v>
      </c>
      <c r="K712" s="4" t="str">
        <f t="shared" si="58"/>
        <v/>
      </c>
      <c r="L712" s="4" t="str">
        <f t="shared" si="59"/>
        <v/>
      </c>
      <c r="M712" s="4" t="b" cm="1">
        <f t="array" ref="M712">IF(H712="",FALSE,SUMPRODUCT(--(H$1:H711=H712))&gt;0)</f>
        <v>0</v>
      </c>
    </row>
    <row r="713" spans="1:13" x14ac:dyDescent="0.25">
      <c r="A713" s="9" t="str">
        <f>IF(OR(B713="",M713,G713="— ignored"),"",MAX(A$1:A712)+1)</f>
        <v/>
      </c>
      <c r="B713" s="10"/>
      <c r="C713" s="11" t="str">
        <f>IF(I713="","",ROUND((I713+0.5*MAX(0,CEILING(ROUND((MAX(C$1:C712)-1/48-I713)/0.5,6),1)))*1440,0)/1440)</f>
        <v/>
      </c>
      <c r="D713" s="9" t="str" cm="1">
        <f t="array" ref="D713">IF(H713="","",IFERROR(INDEX(Log!$C$19:$G$19,VALUE(MID(H713,FIND("#",H713)+1,1))),""))</f>
        <v/>
      </c>
      <c r="E713" s="9" t="str" cm="1">
        <f t="array" ref="E713">IF(OR(H713="",M713),"",IFERROR(_xlfn.LET(_xlpm.t,SUBSTITUTE(UPPER(H713),"م","M"),_xlpm.u,SUBSTITUTE(_xlpm.t,"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13" s="12"/>
      <c r="G713" s="13" t="str">
        <f>IF(B713="","",IF(M713,"⚠ Duplicate (not counted)",IF(AND(I713="",D713="",E713=""),"— ignored",IF(C713="","⚠ Time",IF(D713="","⚠ Plant",IF(E713="","⚠ Quantity",IF(AND(ISNUMBER(L713),COUNTIF(L$1:L712,L713)&gt;0),"⚠ Same serial "&amp;L713,IF(AND(ISNUMBER(L713),L713&gt;MIN($L$2:$L$1001),COUNTIF($L$2:$L$1001,L713-1)=0,COUNTIF($L$2:$L$1001,L713-2)&lt;2),"⚠ Missing serial "&amp;(L713-1),IF(AND(MAX(K$1:K712)&gt;0,N(K713)-MAX(K$1:K712)&gt;180),"⚠ Gap &gt; 3h",IF(C713-I713&gt;=0.99,"next day",IF(C713-I713&gt;0.4,"12h → 24h","")))))))))))</f>
        <v/>
      </c>
      <c r="H713" s="4" t="str">
        <f t="shared" si="55"/>
        <v/>
      </c>
      <c r="I713" s="5" t="str">
        <f t="shared" si="56"/>
        <v/>
      </c>
      <c r="J713" s="6">
        <f t="shared" si="57"/>
        <v>0</v>
      </c>
      <c r="K713" s="4" t="str">
        <f t="shared" si="58"/>
        <v/>
      </c>
      <c r="L713" s="4" t="str">
        <f t="shared" si="59"/>
        <v/>
      </c>
      <c r="M713" s="4" t="b" cm="1">
        <f t="array" ref="M713">IF(H713="",FALSE,SUMPRODUCT(--(H$1:H712=H713))&gt;0)</f>
        <v>0</v>
      </c>
    </row>
    <row r="714" spans="1:13" x14ac:dyDescent="0.25">
      <c r="A714" s="9" t="str">
        <f>IF(OR(B714="",M714,G714="— ignored"),"",MAX(A$1:A713)+1)</f>
        <v/>
      </c>
      <c r="B714" s="10"/>
      <c r="C714" s="11" t="str">
        <f>IF(I714="","",ROUND((I714+0.5*MAX(0,CEILING(ROUND((MAX(C$1:C713)-1/48-I714)/0.5,6),1)))*1440,0)/1440)</f>
        <v/>
      </c>
      <c r="D714" s="9" t="str" cm="1">
        <f t="array" ref="D714">IF(H714="","",IFERROR(INDEX(Log!$C$19:$G$19,VALUE(MID(H714,FIND("#",H714)+1,1))),""))</f>
        <v/>
      </c>
      <c r="E714" s="9" t="str" cm="1">
        <f t="array" ref="E714">IF(OR(H714="",M714),"",IFERROR(_xlfn.LET(_xlpm.t,SUBSTITUTE(UPPER(H714),"م","M"),_xlpm.u,SUBSTITUTE(_xlpm.t,"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14" s="12"/>
      <c r="G714" s="13" t="str">
        <f>IF(B714="","",IF(M714,"⚠ Duplicate (not counted)",IF(AND(I714="",D714="",E714=""),"— ignored",IF(C714="","⚠ Time",IF(D714="","⚠ Plant",IF(E714="","⚠ Quantity",IF(AND(ISNUMBER(L714),COUNTIF(L$1:L713,L714)&gt;0),"⚠ Same serial "&amp;L714,IF(AND(ISNUMBER(L714),L714&gt;MIN($L$2:$L$1001),COUNTIF($L$2:$L$1001,L714-1)=0,COUNTIF($L$2:$L$1001,L714-2)&lt;2),"⚠ Missing serial "&amp;(L714-1),IF(AND(MAX(K$1:K713)&gt;0,N(K714)-MAX(K$1:K713)&gt;180),"⚠ Gap &gt; 3h",IF(C714-I714&gt;=0.99,"next day",IF(C714-I714&gt;0.4,"12h → 24h","")))))))))))</f>
        <v/>
      </c>
      <c r="H714" s="4" t="str">
        <f t="shared" si="55"/>
        <v/>
      </c>
      <c r="I714" s="5" t="str">
        <f t="shared" si="56"/>
        <v/>
      </c>
      <c r="J714" s="6">
        <f t="shared" si="57"/>
        <v>0</v>
      </c>
      <c r="K714" s="4" t="str">
        <f t="shared" si="58"/>
        <v/>
      </c>
      <c r="L714" s="4" t="str">
        <f t="shared" si="59"/>
        <v/>
      </c>
      <c r="M714" s="4" t="b" cm="1">
        <f t="array" ref="M714">IF(H714="",FALSE,SUMPRODUCT(--(H$1:H713=H714))&gt;0)</f>
        <v>0</v>
      </c>
    </row>
    <row r="715" spans="1:13" x14ac:dyDescent="0.25">
      <c r="A715" s="9" t="str">
        <f>IF(OR(B715="",M715,G715="— ignored"),"",MAX(A$1:A714)+1)</f>
        <v/>
      </c>
      <c r="B715" s="10"/>
      <c r="C715" s="11" t="str">
        <f>IF(I715="","",ROUND((I715+0.5*MAX(0,CEILING(ROUND((MAX(C$1:C714)-1/48-I715)/0.5,6),1)))*1440,0)/1440)</f>
        <v/>
      </c>
      <c r="D715" s="9" t="str" cm="1">
        <f t="array" ref="D715">IF(H715="","",IFERROR(INDEX(Log!$C$19:$G$19,VALUE(MID(H715,FIND("#",H715)+1,1))),""))</f>
        <v/>
      </c>
      <c r="E715" s="9" t="str" cm="1">
        <f t="array" ref="E715">IF(OR(H715="",M715),"",IFERROR(_xlfn.LET(_xlpm.t,SUBSTITUTE(UPPER(H715),"م","M"),_xlpm.u,SUBSTITUTE(_xlpm.t,"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15" s="12"/>
      <c r="G715" s="13" t="str">
        <f>IF(B715="","",IF(M715,"⚠ Duplicate (not counted)",IF(AND(I715="",D715="",E715=""),"— ignored",IF(C715="","⚠ Time",IF(D715="","⚠ Plant",IF(E715="","⚠ Quantity",IF(AND(ISNUMBER(L715),COUNTIF(L$1:L714,L715)&gt;0),"⚠ Same serial "&amp;L715,IF(AND(ISNUMBER(L715),L715&gt;MIN($L$2:$L$1001),COUNTIF($L$2:$L$1001,L715-1)=0,COUNTIF($L$2:$L$1001,L715-2)&lt;2),"⚠ Missing serial "&amp;(L715-1),IF(AND(MAX(K$1:K714)&gt;0,N(K715)-MAX(K$1:K714)&gt;180),"⚠ Gap &gt; 3h",IF(C715-I715&gt;=0.99,"next day",IF(C715-I715&gt;0.4,"12h → 24h","")))))))))))</f>
        <v/>
      </c>
      <c r="H715" s="4" t="str">
        <f t="shared" si="55"/>
        <v/>
      </c>
      <c r="I715" s="5" t="str">
        <f t="shared" si="56"/>
        <v/>
      </c>
      <c r="J715" s="6">
        <f t="shared" si="57"/>
        <v>0</v>
      </c>
      <c r="K715" s="4" t="str">
        <f t="shared" si="58"/>
        <v/>
      </c>
      <c r="L715" s="4" t="str">
        <f t="shared" si="59"/>
        <v/>
      </c>
      <c r="M715" s="4" t="b" cm="1">
        <f t="array" ref="M715">IF(H715="",FALSE,SUMPRODUCT(--(H$1:H714=H715))&gt;0)</f>
        <v>0</v>
      </c>
    </row>
    <row r="716" spans="1:13" x14ac:dyDescent="0.25">
      <c r="A716" s="9" t="str">
        <f>IF(OR(B716="",M716,G716="— ignored"),"",MAX(A$1:A715)+1)</f>
        <v/>
      </c>
      <c r="B716" s="10"/>
      <c r="C716" s="11" t="str">
        <f>IF(I716="","",ROUND((I716+0.5*MAX(0,CEILING(ROUND((MAX(C$1:C715)-1/48-I716)/0.5,6),1)))*1440,0)/1440)</f>
        <v/>
      </c>
      <c r="D716" s="9" t="str" cm="1">
        <f t="array" ref="D716">IF(H716="","",IFERROR(INDEX(Log!$C$19:$G$19,VALUE(MID(H716,FIND("#",H716)+1,1))),""))</f>
        <v/>
      </c>
      <c r="E716" s="9" t="str" cm="1">
        <f t="array" ref="E716">IF(OR(H716="",M716),"",IFERROR(_xlfn.LET(_xlpm.t,SUBSTITUTE(UPPER(H716),"م","M"),_xlpm.u,SUBSTITUTE(_xlpm.t,"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16" s="12"/>
      <c r="G716" s="13" t="str">
        <f>IF(B716="","",IF(M716,"⚠ Duplicate (not counted)",IF(AND(I716="",D716="",E716=""),"— ignored",IF(C716="","⚠ Time",IF(D716="","⚠ Plant",IF(E716="","⚠ Quantity",IF(AND(ISNUMBER(L716),COUNTIF(L$1:L715,L716)&gt;0),"⚠ Same serial "&amp;L716,IF(AND(ISNUMBER(L716),L716&gt;MIN($L$2:$L$1001),COUNTIF($L$2:$L$1001,L716-1)=0,COUNTIF($L$2:$L$1001,L716-2)&lt;2),"⚠ Missing serial "&amp;(L716-1),IF(AND(MAX(K$1:K715)&gt;0,N(K716)-MAX(K$1:K715)&gt;180),"⚠ Gap &gt; 3h",IF(C716-I716&gt;=0.99,"next day",IF(C716-I716&gt;0.4,"12h → 24h","")))))))))))</f>
        <v/>
      </c>
      <c r="H716" s="4" t="str">
        <f t="shared" si="55"/>
        <v/>
      </c>
      <c r="I716" s="5" t="str">
        <f t="shared" si="56"/>
        <v/>
      </c>
      <c r="J716" s="6">
        <f t="shared" si="57"/>
        <v>0</v>
      </c>
      <c r="K716" s="4" t="str">
        <f t="shared" si="58"/>
        <v/>
      </c>
      <c r="L716" s="4" t="str">
        <f t="shared" si="59"/>
        <v/>
      </c>
      <c r="M716" s="4" t="b" cm="1">
        <f t="array" ref="M716">IF(H716="",FALSE,SUMPRODUCT(--(H$1:H715=H716))&gt;0)</f>
        <v>0</v>
      </c>
    </row>
    <row r="717" spans="1:13" x14ac:dyDescent="0.25">
      <c r="A717" s="9" t="str">
        <f>IF(OR(B717="",M717,G717="— ignored"),"",MAX(A$1:A716)+1)</f>
        <v/>
      </c>
      <c r="B717" s="10"/>
      <c r="C717" s="11" t="str">
        <f>IF(I717="","",ROUND((I717+0.5*MAX(0,CEILING(ROUND((MAX(C$1:C716)-1/48-I717)/0.5,6),1)))*1440,0)/1440)</f>
        <v/>
      </c>
      <c r="D717" s="9" t="str" cm="1">
        <f t="array" ref="D717">IF(H717="","",IFERROR(INDEX(Log!$C$19:$G$19,VALUE(MID(H717,FIND("#",H717)+1,1))),""))</f>
        <v/>
      </c>
      <c r="E717" s="9" t="str" cm="1">
        <f t="array" ref="E717">IF(OR(H717="",M717),"",IFERROR(_xlfn.LET(_xlpm.t,SUBSTITUTE(UPPER(H717),"م","M"),_xlpm.u,SUBSTITUTE(_xlpm.t,"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17" s="12"/>
      <c r="G717" s="13" t="str">
        <f>IF(B717="","",IF(M717,"⚠ Duplicate (not counted)",IF(AND(I717="",D717="",E717=""),"— ignored",IF(C717="","⚠ Time",IF(D717="","⚠ Plant",IF(E717="","⚠ Quantity",IF(AND(ISNUMBER(L717),COUNTIF(L$1:L716,L717)&gt;0),"⚠ Same serial "&amp;L717,IF(AND(ISNUMBER(L717),L717&gt;MIN($L$2:$L$1001),COUNTIF($L$2:$L$1001,L717-1)=0,COUNTIF($L$2:$L$1001,L717-2)&lt;2),"⚠ Missing serial "&amp;(L717-1),IF(AND(MAX(K$1:K716)&gt;0,N(K717)-MAX(K$1:K716)&gt;180),"⚠ Gap &gt; 3h",IF(C717-I717&gt;=0.99,"next day",IF(C717-I717&gt;0.4,"12h → 24h","")))))))))))</f>
        <v/>
      </c>
      <c r="H717" s="4" t="str">
        <f t="shared" si="55"/>
        <v/>
      </c>
      <c r="I717" s="5" t="str">
        <f t="shared" si="56"/>
        <v/>
      </c>
      <c r="J717" s="6">
        <f t="shared" si="57"/>
        <v>0</v>
      </c>
      <c r="K717" s="4" t="str">
        <f t="shared" si="58"/>
        <v/>
      </c>
      <c r="L717" s="4" t="str">
        <f t="shared" si="59"/>
        <v/>
      </c>
      <c r="M717" s="4" t="b" cm="1">
        <f t="array" ref="M717">IF(H717="",FALSE,SUMPRODUCT(--(H$1:H716=H717))&gt;0)</f>
        <v>0</v>
      </c>
    </row>
    <row r="718" spans="1:13" x14ac:dyDescent="0.25">
      <c r="A718" s="9" t="str">
        <f>IF(OR(B718="",M718,G718="— ignored"),"",MAX(A$1:A717)+1)</f>
        <v/>
      </c>
      <c r="B718" s="10"/>
      <c r="C718" s="11" t="str">
        <f>IF(I718="","",ROUND((I718+0.5*MAX(0,CEILING(ROUND((MAX(C$1:C717)-1/48-I718)/0.5,6),1)))*1440,0)/1440)</f>
        <v/>
      </c>
      <c r="D718" s="9" t="str" cm="1">
        <f t="array" ref="D718">IF(H718="","",IFERROR(INDEX(Log!$C$19:$G$19,VALUE(MID(H718,FIND("#",H718)+1,1))),""))</f>
        <v/>
      </c>
      <c r="E718" s="9" t="str" cm="1">
        <f t="array" ref="E718">IF(OR(H718="",M718),"",IFERROR(_xlfn.LET(_xlpm.t,SUBSTITUTE(UPPER(H718),"م","M"),_xlpm.u,SUBSTITUTE(_xlpm.t,"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18" s="12"/>
      <c r="G718" s="13" t="str">
        <f>IF(B718="","",IF(M718,"⚠ Duplicate (not counted)",IF(AND(I718="",D718="",E718=""),"— ignored",IF(C718="","⚠ Time",IF(D718="","⚠ Plant",IF(E718="","⚠ Quantity",IF(AND(ISNUMBER(L718),COUNTIF(L$1:L717,L718)&gt;0),"⚠ Same serial "&amp;L718,IF(AND(ISNUMBER(L718),L718&gt;MIN($L$2:$L$1001),COUNTIF($L$2:$L$1001,L718-1)=0,COUNTIF($L$2:$L$1001,L718-2)&lt;2),"⚠ Missing serial "&amp;(L718-1),IF(AND(MAX(K$1:K717)&gt;0,N(K718)-MAX(K$1:K717)&gt;180),"⚠ Gap &gt; 3h",IF(C718-I718&gt;=0.99,"next day",IF(C718-I718&gt;0.4,"12h → 24h","")))))))))))</f>
        <v/>
      </c>
      <c r="H718" s="4" t="str">
        <f t="shared" si="55"/>
        <v/>
      </c>
      <c r="I718" s="5" t="str">
        <f t="shared" si="56"/>
        <v/>
      </c>
      <c r="J718" s="6">
        <f t="shared" si="57"/>
        <v>0</v>
      </c>
      <c r="K718" s="4" t="str">
        <f t="shared" si="58"/>
        <v/>
      </c>
      <c r="L718" s="4" t="str">
        <f t="shared" si="59"/>
        <v/>
      </c>
      <c r="M718" s="4" t="b" cm="1">
        <f t="array" ref="M718">IF(H718="",FALSE,SUMPRODUCT(--(H$1:H717=H718))&gt;0)</f>
        <v>0</v>
      </c>
    </row>
    <row r="719" spans="1:13" x14ac:dyDescent="0.25">
      <c r="A719" s="9" t="str">
        <f>IF(OR(B719="",M719,G719="— ignored"),"",MAX(A$1:A718)+1)</f>
        <v/>
      </c>
      <c r="B719" s="10"/>
      <c r="C719" s="11" t="str">
        <f>IF(I719="","",ROUND((I719+0.5*MAX(0,CEILING(ROUND((MAX(C$1:C718)-1/48-I719)/0.5,6),1)))*1440,0)/1440)</f>
        <v/>
      </c>
      <c r="D719" s="9" t="str" cm="1">
        <f t="array" ref="D719">IF(H719="","",IFERROR(INDEX(Log!$C$19:$G$19,VALUE(MID(H719,FIND("#",H719)+1,1))),""))</f>
        <v/>
      </c>
      <c r="E719" s="9" t="str" cm="1">
        <f t="array" ref="E719">IF(OR(H719="",M719),"",IFERROR(_xlfn.LET(_xlpm.t,SUBSTITUTE(UPPER(H719),"م","M"),_xlpm.u,SUBSTITUTE(_xlpm.t,"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19" s="12"/>
      <c r="G719" s="13" t="str">
        <f>IF(B719="","",IF(M719,"⚠ Duplicate (not counted)",IF(AND(I719="",D719="",E719=""),"— ignored",IF(C719="","⚠ Time",IF(D719="","⚠ Plant",IF(E719="","⚠ Quantity",IF(AND(ISNUMBER(L719),COUNTIF(L$1:L718,L719)&gt;0),"⚠ Same serial "&amp;L719,IF(AND(ISNUMBER(L719),L719&gt;MIN($L$2:$L$1001),COUNTIF($L$2:$L$1001,L719-1)=0,COUNTIF($L$2:$L$1001,L719-2)&lt;2),"⚠ Missing serial "&amp;(L719-1),IF(AND(MAX(K$1:K718)&gt;0,N(K719)-MAX(K$1:K718)&gt;180),"⚠ Gap &gt; 3h",IF(C719-I719&gt;=0.99,"next day",IF(C719-I719&gt;0.4,"12h → 24h","")))))))))))</f>
        <v/>
      </c>
      <c r="H719" s="4" t="str">
        <f t="shared" si="55"/>
        <v/>
      </c>
      <c r="I719" s="5" t="str">
        <f t="shared" si="56"/>
        <v/>
      </c>
      <c r="J719" s="6">
        <f t="shared" si="57"/>
        <v>0</v>
      </c>
      <c r="K719" s="4" t="str">
        <f t="shared" si="58"/>
        <v/>
      </c>
      <c r="L719" s="4" t="str">
        <f t="shared" si="59"/>
        <v/>
      </c>
      <c r="M719" s="4" t="b" cm="1">
        <f t="array" ref="M719">IF(H719="",FALSE,SUMPRODUCT(--(H$1:H718=H719))&gt;0)</f>
        <v>0</v>
      </c>
    </row>
    <row r="720" spans="1:13" x14ac:dyDescent="0.25">
      <c r="A720" s="9" t="str">
        <f>IF(OR(B720="",M720,G720="— ignored"),"",MAX(A$1:A719)+1)</f>
        <v/>
      </c>
      <c r="B720" s="10"/>
      <c r="C720" s="11" t="str">
        <f>IF(I720="","",ROUND((I720+0.5*MAX(0,CEILING(ROUND((MAX(C$1:C719)-1/48-I720)/0.5,6),1)))*1440,0)/1440)</f>
        <v/>
      </c>
      <c r="D720" s="9" t="str" cm="1">
        <f t="array" ref="D720">IF(H720="","",IFERROR(INDEX(Log!$C$19:$G$19,VALUE(MID(H720,FIND("#",H720)+1,1))),""))</f>
        <v/>
      </c>
      <c r="E720" s="9" t="str" cm="1">
        <f t="array" ref="E720">IF(OR(H720="",M720),"",IFERROR(_xlfn.LET(_xlpm.t,SUBSTITUTE(UPPER(H720),"م","M"),_xlpm.u,SUBSTITUTE(_xlpm.t,"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20" s="12"/>
      <c r="G720" s="13" t="str">
        <f>IF(B720="","",IF(M720,"⚠ Duplicate (not counted)",IF(AND(I720="",D720="",E720=""),"— ignored",IF(C720="","⚠ Time",IF(D720="","⚠ Plant",IF(E720="","⚠ Quantity",IF(AND(ISNUMBER(L720),COUNTIF(L$1:L719,L720)&gt;0),"⚠ Same serial "&amp;L720,IF(AND(ISNUMBER(L720),L720&gt;MIN($L$2:$L$1001),COUNTIF($L$2:$L$1001,L720-1)=0,COUNTIF($L$2:$L$1001,L720-2)&lt;2),"⚠ Missing serial "&amp;(L720-1),IF(AND(MAX(K$1:K719)&gt;0,N(K720)-MAX(K$1:K719)&gt;180),"⚠ Gap &gt; 3h",IF(C720-I720&gt;=0.99,"next day",IF(C720-I720&gt;0.4,"12h → 24h","")))))))))))</f>
        <v/>
      </c>
      <c r="H720" s="4" t="str">
        <f t="shared" si="55"/>
        <v/>
      </c>
      <c r="I720" s="5" t="str">
        <f t="shared" si="56"/>
        <v/>
      </c>
      <c r="J720" s="6">
        <f t="shared" si="57"/>
        <v>0</v>
      </c>
      <c r="K720" s="4" t="str">
        <f t="shared" si="58"/>
        <v/>
      </c>
      <c r="L720" s="4" t="str">
        <f t="shared" si="59"/>
        <v/>
      </c>
      <c r="M720" s="4" t="b" cm="1">
        <f t="array" ref="M720">IF(H720="",FALSE,SUMPRODUCT(--(H$1:H719=H720))&gt;0)</f>
        <v>0</v>
      </c>
    </row>
    <row r="721" spans="1:13" x14ac:dyDescent="0.25">
      <c r="A721" s="9" t="str">
        <f>IF(OR(B721="",M721,G721="— ignored"),"",MAX(A$1:A720)+1)</f>
        <v/>
      </c>
      <c r="B721" s="10"/>
      <c r="C721" s="11" t="str">
        <f>IF(I721="","",ROUND((I721+0.5*MAX(0,CEILING(ROUND((MAX(C$1:C720)-1/48-I721)/0.5,6),1)))*1440,0)/1440)</f>
        <v/>
      </c>
      <c r="D721" s="9" t="str" cm="1">
        <f t="array" ref="D721">IF(H721="","",IFERROR(INDEX(Log!$C$19:$G$19,VALUE(MID(H721,FIND("#",H721)+1,1))),""))</f>
        <v/>
      </c>
      <c r="E721" s="9" t="str" cm="1">
        <f t="array" ref="E721">IF(OR(H721="",M721),"",IFERROR(_xlfn.LET(_xlpm.t,SUBSTITUTE(UPPER(H721),"م","M"),_xlpm.u,SUBSTITUTE(_xlpm.t,"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21" s="12"/>
      <c r="G721" s="13" t="str">
        <f>IF(B721="","",IF(M721,"⚠ Duplicate (not counted)",IF(AND(I721="",D721="",E721=""),"— ignored",IF(C721="","⚠ Time",IF(D721="","⚠ Plant",IF(E721="","⚠ Quantity",IF(AND(ISNUMBER(L721),COUNTIF(L$1:L720,L721)&gt;0),"⚠ Same serial "&amp;L721,IF(AND(ISNUMBER(L721),L721&gt;MIN($L$2:$L$1001),COUNTIF($L$2:$L$1001,L721-1)=0,COUNTIF($L$2:$L$1001,L721-2)&lt;2),"⚠ Missing serial "&amp;(L721-1),IF(AND(MAX(K$1:K720)&gt;0,N(K721)-MAX(K$1:K720)&gt;180),"⚠ Gap &gt; 3h",IF(C721-I721&gt;=0.99,"next day",IF(C721-I721&gt;0.4,"12h → 24h","")))))))))))</f>
        <v/>
      </c>
      <c r="H721" s="4" t="str">
        <f t="shared" si="55"/>
        <v/>
      </c>
      <c r="I721" s="5" t="str">
        <f t="shared" si="56"/>
        <v/>
      </c>
      <c r="J721" s="6">
        <f t="shared" si="57"/>
        <v>0</v>
      </c>
      <c r="K721" s="4" t="str">
        <f t="shared" si="58"/>
        <v/>
      </c>
      <c r="L721" s="4" t="str">
        <f t="shared" si="59"/>
        <v/>
      </c>
      <c r="M721" s="4" t="b" cm="1">
        <f t="array" ref="M721">IF(H721="",FALSE,SUMPRODUCT(--(H$1:H720=H721))&gt;0)</f>
        <v>0</v>
      </c>
    </row>
    <row r="722" spans="1:13" x14ac:dyDescent="0.25">
      <c r="A722" s="9" t="str">
        <f>IF(OR(B722="",M722,G722="— ignored"),"",MAX(A$1:A721)+1)</f>
        <v/>
      </c>
      <c r="B722" s="10"/>
      <c r="C722" s="11" t="str">
        <f>IF(I722="","",ROUND((I722+0.5*MAX(0,CEILING(ROUND((MAX(C$1:C721)-1/48-I722)/0.5,6),1)))*1440,0)/1440)</f>
        <v/>
      </c>
      <c r="D722" s="9" t="str" cm="1">
        <f t="array" ref="D722">IF(H722="","",IFERROR(INDEX(Log!$C$19:$G$19,VALUE(MID(H722,FIND("#",H722)+1,1))),""))</f>
        <v/>
      </c>
      <c r="E722" s="9" t="str" cm="1">
        <f t="array" ref="E722">IF(OR(H722="",M722),"",IFERROR(_xlfn.LET(_xlpm.t,SUBSTITUTE(UPPER(H722),"م","M"),_xlpm.u,SUBSTITUTE(_xlpm.t,"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22" s="12"/>
      <c r="G722" s="13" t="str">
        <f>IF(B722="","",IF(M722,"⚠ Duplicate (not counted)",IF(AND(I722="",D722="",E722=""),"— ignored",IF(C722="","⚠ Time",IF(D722="","⚠ Plant",IF(E722="","⚠ Quantity",IF(AND(ISNUMBER(L722),COUNTIF(L$1:L721,L722)&gt;0),"⚠ Same serial "&amp;L722,IF(AND(ISNUMBER(L722),L722&gt;MIN($L$2:$L$1001),COUNTIF($L$2:$L$1001,L722-1)=0,COUNTIF($L$2:$L$1001,L722-2)&lt;2),"⚠ Missing serial "&amp;(L722-1),IF(AND(MAX(K$1:K721)&gt;0,N(K722)-MAX(K$1:K721)&gt;180),"⚠ Gap &gt; 3h",IF(C722-I722&gt;=0.99,"next day",IF(C722-I722&gt;0.4,"12h → 24h","")))))))))))</f>
        <v/>
      </c>
      <c r="H722" s="4" t="str">
        <f t="shared" si="55"/>
        <v/>
      </c>
      <c r="I722" s="5" t="str">
        <f t="shared" si="56"/>
        <v/>
      </c>
      <c r="J722" s="6">
        <f t="shared" si="57"/>
        <v>0</v>
      </c>
      <c r="K722" s="4" t="str">
        <f t="shared" si="58"/>
        <v/>
      </c>
      <c r="L722" s="4" t="str">
        <f t="shared" si="59"/>
        <v/>
      </c>
      <c r="M722" s="4" t="b" cm="1">
        <f t="array" ref="M722">IF(H722="",FALSE,SUMPRODUCT(--(H$1:H721=H722))&gt;0)</f>
        <v>0</v>
      </c>
    </row>
    <row r="723" spans="1:13" x14ac:dyDescent="0.25">
      <c r="A723" s="9" t="str">
        <f>IF(OR(B723="",M723,G723="— ignored"),"",MAX(A$1:A722)+1)</f>
        <v/>
      </c>
      <c r="B723" s="10"/>
      <c r="C723" s="11" t="str">
        <f>IF(I723="","",ROUND((I723+0.5*MAX(0,CEILING(ROUND((MAX(C$1:C722)-1/48-I723)/0.5,6),1)))*1440,0)/1440)</f>
        <v/>
      </c>
      <c r="D723" s="9" t="str" cm="1">
        <f t="array" ref="D723">IF(H723="","",IFERROR(INDEX(Log!$C$19:$G$19,VALUE(MID(H723,FIND("#",H723)+1,1))),""))</f>
        <v/>
      </c>
      <c r="E723" s="9" t="str" cm="1">
        <f t="array" ref="E723">IF(OR(H723="",M723),"",IFERROR(_xlfn.LET(_xlpm.t,SUBSTITUTE(UPPER(H723),"م","M"),_xlpm.u,SUBSTITUTE(_xlpm.t,"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23" s="12"/>
      <c r="G723" s="13" t="str">
        <f>IF(B723="","",IF(M723,"⚠ Duplicate (not counted)",IF(AND(I723="",D723="",E723=""),"— ignored",IF(C723="","⚠ Time",IF(D723="","⚠ Plant",IF(E723="","⚠ Quantity",IF(AND(ISNUMBER(L723),COUNTIF(L$1:L722,L723)&gt;0),"⚠ Same serial "&amp;L723,IF(AND(ISNUMBER(L723),L723&gt;MIN($L$2:$L$1001),COUNTIF($L$2:$L$1001,L723-1)=0,COUNTIF($L$2:$L$1001,L723-2)&lt;2),"⚠ Missing serial "&amp;(L723-1),IF(AND(MAX(K$1:K722)&gt;0,N(K723)-MAX(K$1:K722)&gt;180),"⚠ Gap &gt; 3h",IF(C723-I723&gt;=0.99,"next day",IF(C723-I723&gt;0.4,"12h → 24h","")))))))))))</f>
        <v/>
      </c>
      <c r="H723" s="4" t="str">
        <f t="shared" si="55"/>
        <v/>
      </c>
      <c r="I723" s="5" t="str">
        <f t="shared" si="56"/>
        <v/>
      </c>
      <c r="J723" s="6">
        <f t="shared" si="57"/>
        <v>0</v>
      </c>
      <c r="K723" s="4" t="str">
        <f t="shared" si="58"/>
        <v/>
      </c>
      <c r="L723" s="4" t="str">
        <f t="shared" si="59"/>
        <v/>
      </c>
      <c r="M723" s="4" t="b" cm="1">
        <f t="array" ref="M723">IF(H723="",FALSE,SUMPRODUCT(--(H$1:H722=H723))&gt;0)</f>
        <v>0</v>
      </c>
    </row>
    <row r="724" spans="1:13" x14ac:dyDescent="0.25">
      <c r="A724" s="9" t="str">
        <f>IF(OR(B724="",M724,G724="— ignored"),"",MAX(A$1:A723)+1)</f>
        <v/>
      </c>
      <c r="B724" s="10"/>
      <c r="C724" s="11" t="str">
        <f>IF(I724="","",ROUND((I724+0.5*MAX(0,CEILING(ROUND((MAX(C$1:C723)-1/48-I724)/0.5,6),1)))*1440,0)/1440)</f>
        <v/>
      </c>
      <c r="D724" s="9" t="str" cm="1">
        <f t="array" ref="D724">IF(H724="","",IFERROR(INDEX(Log!$C$19:$G$19,VALUE(MID(H724,FIND("#",H724)+1,1))),""))</f>
        <v/>
      </c>
      <c r="E724" s="9" t="str" cm="1">
        <f t="array" ref="E724">IF(OR(H724="",M724),"",IFERROR(_xlfn.LET(_xlpm.t,SUBSTITUTE(UPPER(H724),"م","M"),_xlpm.u,SUBSTITUTE(_xlpm.t,"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24" s="12"/>
      <c r="G724" s="13" t="str">
        <f>IF(B724="","",IF(M724,"⚠ Duplicate (not counted)",IF(AND(I724="",D724="",E724=""),"— ignored",IF(C724="","⚠ Time",IF(D724="","⚠ Plant",IF(E724="","⚠ Quantity",IF(AND(ISNUMBER(L724),COUNTIF(L$1:L723,L724)&gt;0),"⚠ Same serial "&amp;L724,IF(AND(ISNUMBER(L724),L724&gt;MIN($L$2:$L$1001),COUNTIF($L$2:$L$1001,L724-1)=0,COUNTIF($L$2:$L$1001,L724-2)&lt;2),"⚠ Missing serial "&amp;(L724-1),IF(AND(MAX(K$1:K723)&gt;0,N(K724)-MAX(K$1:K723)&gt;180),"⚠ Gap &gt; 3h",IF(C724-I724&gt;=0.99,"next day",IF(C724-I724&gt;0.4,"12h → 24h","")))))))))))</f>
        <v/>
      </c>
      <c r="H724" s="4" t="str">
        <f t="shared" si="55"/>
        <v/>
      </c>
      <c r="I724" s="5" t="str">
        <f t="shared" si="56"/>
        <v/>
      </c>
      <c r="J724" s="6">
        <f t="shared" si="57"/>
        <v>0</v>
      </c>
      <c r="K724" s="4" t="str">
        <f t="shared" si="58"/>
        <v/>
      </c>
      <c r="L724" s="4" t="str">
        <f t="shared" si="59"/>
        <v/>
      </c>
      <c r="M724" s="4" t="b" cm="1">
        <f t="array" ref="M724">IF(H724="",FALSE,SUMPRODUCT(--(H$1:H723=H724))&gt;0)</f>
        <v>0</v>
      </c>
    </row>
    <row r="725" spans="1:13" x14ac:dyDescent="0.25">
      <c r="A725" s="9" t="str">
        <f>IF(OR(B725="",M725,G725="— ignored"),"",MAX(A$1:A724)+1)</f>
        <v/>
      </c>
      <c r="B725" s="10"/>
      <c r="C725" s="11" t="str">
        <f>IF(I725="","",ROUND((I725+0.5*MAX(0,CEILING(ROUND((MAX(C$1:C724)-1/48-I725)/0.5,6),1)))*1440,0)/1440)</f>
        <v/>
      </c>
      <c r="D725" s="9" t="str" cm="1">
        <f t="array" ref="D725">IF(H725="","",IFERROR(INDEX(Log!$C$19:$G$19,VALUE(MID(H725,FIND("#",H725)+1,1))),""))</f>
        <v/>
      </c>
      <c r="E725" s="9" t="str" cm="1">
        <f t="array" ref="E725">IF(OR(H725="",M725),"",IFERROR(_xlfn.LET(_xlpm.t,SUBSTITUTE(UPPER(H725),"م","M"),_xlpm.u,SUBSTITUTE(_xlpm.t,"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25" s="12"/>
      <c r="G725" s="13" t="str">
        <f>IF(B725="","",IF(M725,"⚠ Duplicate (not counted)",IF(AND(I725="",D725="",E725=""),"— ignored",IF(C725="","⚠ Time",IF(D725="","⚠ Plant",IF(E725="","⚠ Quantity",IF(AND(ISNUMBER(L725),COUNTIF(L$1:L724,L725)&gt;0),"⚠ Same serial "&amp;L725,IF(AND(ISNUMBER(L725),L725&gt;MIN($L$2:$L$1001),COUNTIF($L$2:$L$1001,L725-1)=0,COUNTIF($L$2:$L$1001,L725-2)&lt;2),"⚠ Missing serial "&amp;(L725-1),IF(AND(MAX(K$1:K724)&gt;0,N(K725)-MAX(K$1:K724)&gt;180),"⚠ Gap &gt; 3h",IF(C725-I725&gt;=0.99,"next day",IF(C725-I725&gt;0.4,"12h → 24h","")))))))))))</f>
        <v/>
      </c>
      <c r="H725" s="4" t="str">
        <f t="shared" si="55"/>
        <v/>
      </c>
      <c r="I725" s="5" t="str">
        <f t="shared" si="56"/>
        <v/>
      </c>
      <c r="J725" s="6">
        <f t="shared" si="57"/>
        <v>0</v>
      </c>
      <c r="K725" s="4" t="str">
        <f t="shared" si="58"/>
        <v/>
      </c>
      <c r="L725" s="4" t="str">
        <f t="shared" si="59"/>
        <v/>
      </c>
      <c r="M725" s="4" t="b" cm="1">
        <f t="array" ref="M725">IF(H725="",FALSE,SUMPRODUCT(--(H$1:H724=H725))&gt;0)</f>
        <v>0</v>
      </c>
    </row>
    <row r="726" spans="1:13" x14ac:dyDescent="0.25">
      <c r="A726" s="9" t="str">
        <f>IF(OR(B726="",M726,G726="— ignored"),"",MAX(A$1:A725)+1)</f>
        <v/>
      </c>
      <c r="B726" s="10"/>
      <c r="C726" s="11" t="str">
        <f>IF(I726="","",ROUND((I726+0.5*MAX(0,CEILING(ROUND((MAX(C$1:C725)-1/48-I726)/0.5,6),1)))*1440,0)/1440)</f>
        <v/>
      </c>
      <c r="D726" s="9" t="str" cm="1">
        <f t="array" ref="D726">IF(H726="","",IFERROR(INDEX(Log!$C$19:$G$19,VALUE(MID(H726,FIND("#",H726)+1,1))),""))</f>
        <v/>
      </c>
      <c r="E726" s="9" t="str" cm="1">
        <f t="array" ref="E726">IF(OR(H726="",M726),"",IFERROR(_xlfn.LET(_xlpm.t,SUBSTITUTE(UPPER(H726),"م","M"),_xlpm.u,SUBSTITUTE(_xlpm.t,"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26" s="12"/>
      <c r="G726" s="13" t="str">
        <f>IF(B726="","",IF(M726,"⚠ Duplicate (not counted)",IF(AND(I726="",D726="",E726=""),"— ignored",IF(C726="","⚠ Time",IF(D726="","⚠ Plant",IF(E726="","⚠ Quantity",IF(AND(ISNUMBER(L726),COUNTIF(L$1:L725,L726)&gt;0),"⚠ Same serial "&amp;L726,IF(AND(ISNUMBER(L726),L726&gt;MIN($L$2:$L$1001),COUNTIF($L$2:$L$1001,L726-1)=0,COUNTIF($L$2:$L$1001,L726-2)&lt;2),"⚠ Missing serial "&amp;(L726-1),IF(AND(MAX(K$1:K725)&gt;0,N(K726)-MAX(K$1:K725)&gt;180),"⚠ Gap &gt; 3h",IF(C726-I726&gt;=0.99,"next day",IF(C726-I726&gt;0.4,"12h → 24h","")))))))))))</f>
        <v/>
      </c>
      <c r="H726" s="4" t="str">
        <f t="shared" si="55"/>
        <v/>
      </c>
      <c r="I726" s="5" t="str">
        <f t="shared" si="56"/>
        <v/>
      </c>
      <c r="J726" s="6">
        <f t="shared" si="57"/>
        <v>0</v>
      </c>
      <c r="K726" s="4" t="str">
        <f t="shared" si="58"/>
        <v/>
      </c>
      <c r="L726" s="4" t="str">
        <f t="shared" si="59"/>
        <v/>
      </c>
      <c r="M726" s="4" t="b" cm="1">
        <f t="array" ref="M726">IF(H726="",FALSE,SUMPRODUCT(--(H$1:H725=H726))&gt;0)</f>
        <v>0</v>
      </c>
    </row>
    <row r="727" spans="1:13" x14ac:dyDescent="0.25">
      <c r="A727" s="9" t="str">
        <f>IF(OR(B727="",M727,G727="— ignored"),"",MAX(A$1:A726)+1)</f>
        <v/>
      </c>
      <c r="B727" s="10"/>
      <c r="C727" s="11" t="str">
        <f>IF(I727="","",ROUND((I727+0.5*MAX(0,CEILING(ROUND((MAX(C$1:C726)-1/48-I727)/0.5,6),1)))*1440,0)/1440)</f>
        <v/>
      </c>
      <c r="D727" s="9" t="str" cm="1">
        <f t="array" ref="D727">IF(H727="","",IFERROR(INDEX(Log!$C$19:$G$19,VALUE(MID(H727,FIND("#",H727)+1,1))),""))</f>
        <v/>
      </c>
      <c r="E727" s="9" t="str" cm="1">
        <f t="array" ref="E727">IF(OR(H727="",M727),"",IFERROR(_xlfn.LET(_xlpm.t,SUBSTITUTE(UPPER(H727),"م","M"),_xlpm.u,SUBSTITUTE(_xlpm.t,"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27" s="12"/>
      <c r="G727" s="13" t="str">
        <f>IF(B727="","",IF(M727,"⚠ Duplicate (not counted)",IF(AND(I727="",D727="",E727=""),"— ignored",IF(C727="","⚠ Time",IF(D727="","⚠ Plant",IF(E727="","⚠ Quantity",IF(AND(ISNUMBER(L727),COUNTIF(L$1:L726,L727)&gt;0),"⚠ Same serial "&amp;L727,IF(AND(ISNUMBER(L727),L727&gt;MIN($L$2:$L$1001),COUNTIF($L$2:$L$1001,L727-1)=0,COUNTIF($L$2:$L$1001,L727-2)&lt;2),"⚠ Missing serial "&amp;(L727-1),IF(AND(MAX(K$1:K726)&gt;0,N(K727)-MAX(K$1:K726)&gt;180),"⚠ Gap &gt; 3h",IF(C727-I727&gt;=0.99,"next day",IF(C727-I727&gt;0.4,"12h → 24h","")))))))))))</f>
        <v/>
      </c>
      <c r="H727" s="4" t="str">
        <f t="shared" si="55"/>
        <v/>
      </c>
      <c r="I727" s="5" t="str">
        <f t="shared" si="56"/>
        <v/>
      </c>
      <c r="J727" s="6">
        <f t="shared" si="57"/>
        <v>0</v>
      </c>
      <c r="K727" s="4" t="str">
        <f t="shared" si="58"/>
        <v/>
      </c>
      <c r="L727" s="4" t="str">
        <f t="shared" si="59"/>
        <v/>
      </c>
      <c r="M727" s="4" t="b" cm="1">
        <f t="array" ref="M727">IF(H727="",FALSE,SUMPRODUCT(--(H$1:H726=H727))&gt;0)</f>
        <v>0</v>
      </c>
    </row>
    <row r="728" spans="1:13" x14ac:dyDescent="0.25">
      <c r="A728" s="9" t="str">
        <f>IF(OR(B728="",M728,G728="— ignored"),"",MAX(A$1:A727)+1)</f>
        <v/>
      </c>
      <c r="B728" s="10"/>
      <c r="C728" s="11" t="str">
        <f>IF(I728="","",ROUND((I728+0.5*MAX(0,CEILING(ROUND((MAX(C$1:C727)-1/48-I728)/0.5,6),1)))*1440,0)/1440)</f>
        <v/>
      </c>
      <c r="D728" s="9" t="str" cm="1">
        <f t="array" ref="D728">IF(H728="","",IFERROR(INDEX(Log!$C$19:$G$19,VALUE(MID(H728,FIND("#",H728)+1,1))),""))</f>
        <v/>
      </c>
      <c r="E728" s="9" t="str" cm="1">
        <f t="array" ref="E728">IF(OR(H728="",M728),"",IFERROR(_xlfn.LET(_xlpm.t,SUBSTITUTE(UPPER(H728),"م","M"),_xlpm.u,SUBSTITUTE(_xlpm.t,"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28" s="12"/>
      <c r="G728" s="13" t="str">
        <f>IF(B728="","",IF(M728,"⚠ Duplicate (not counted)",IF(AND(I728="",D728="",E728=""),"— ignored",IF(C728="","⚠ Time",IF(D728="","⚠ Plant",IF(E728="","⚠ Quantity",IF(AND(ISNUMBER(L728),COUNTIF(L$1:L727,L728)&gt;0),"⚠ Same serial "&amp;L728,IF(AND(ISNUMBER(L728),L728&gt;MIN($L$2:$L$1001),COUNTIF($L$2:$L$1001,L728-1)=0,COUNTIF($L$2:$L$1001,L728-2)&lt;2),"⚠ Missing serial "&amp;(L728-1),IF(AND(MAX(K$1:K727)&gt;0,N(K728)-MAX(K$1:K727)&gt;180),"⚠ Gap &gt; 3h",IF(C728-I728&gt;=0.99,"next day",IF(C728-I728&gt;0.4,"12h → 24h","")))))))))))</f>
        <v/>
      </c>
      <c r="H728" s="4" t="str">
        <f t="shared" si="55"/>
        <v/>
      </c>
      <c r="I728" s="5" t="str">
        <f t="shared" si="56"/>
        <v/>
      </c>
      <c r="J728" s="6">
        <f t="shared" si="57"/>
        <v>0</v>
      </c>
      <c r="K728" s="4" t="str">
        <f t="shared" si="58"/>
        <v/>
      </c>
      <c r="L728" s="4" t="str">
        <f t="shared" si="59"/>
        <v/>
      </c>
      <c r="M728" s="4" t="b" cm="1">
        <f t="array" ref="M728">IF(H728="",FALSE,SUMPRODUCT(--(H$1:H727=H728))&gt;0)</f>
        <v>0</v>
      </c>
    </row>
    <row r="729" spans="1:13" x14ac:dyDescent="0.25">
      <c r="A729" s="9" t="str">
        <f>IF(OR(B729="",M729,G729="— ignored"),"",MAX(A$1:A728)+1)</f>
        <v/>
      </c>
      <c r="B729" s="10"/>
      <c r="C729" s="11" t="str">
        <f>IF(I729="","",ROUND((I729+0.5*MAX(0,CEILING(ROUND((MAX(C$1:C728)-1/48-I729)/0.5,6),1)))*1440,0)/1440)</f>
        <v/>
      </c>
      <c r="D729" s="9" t="str" cm="1">
        <f t="array" ref="D729">IF(H729="","",IFERROR(INDEX(Log!$C$19:$G$19,VALUE(MID(H729,FIND("#",H729)+1,1))),""))</f>
        <v/>
      </c>
      <c r="E729" s="9" t="str" cm="1">
        <f t="array" ref="E729">IF(OR(H729="",M729),"",IFERROR(_xlfn.LET(_xlpm.t,SUBSTITUTE(UPPER(H729),"م","M"),_xlpm.u,SUBSTITUTE(_xlpm.t,"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29" s="12"/>
      <c r="G729" s="13" t="str">
        <f>IF(B729="","",IF(M729,"⚠ Duplicate (not counted)",IF(AND(I729="",D729="",E729=""),"— ignored",IF(C729="","⚠ Time",IF(D729="","⚠ Plant",IF(E729="","⚠ Quantity",IF(AND(ISNUMBER(L729),COUNTIF(L$1:L728,L729)&gt;0),"⚠ Same serial "&amp;L729,IF(AND(ISNUMBER(L729),L729&gt;MIN($L$2:$L$1001),COUNTIF($L$2:$L$1001,L729-1)=0,COUNTIF($L$2:$L$1001,L729-2)&lt;2),"⚠ Missing serial "&amp;(L729-1),IF(AND(MAX(K$1:K728)&gt;0,N(K729)-MAX(K$1:K728)&gt;180),"⚠ Gap &gt; 3h",IF(C729-I729&gt;=0.99,"next day",IF(C729-I729&gt;0.4,"12h → 24h","")))))))))))</f>
        <v/>
      </c>
      <c r="H729" s="4" t="str">
        <f t="shared" si="55"/>
        <v/>
      </c>
      <c r="I729" s="5" t="str">
        <f t="shared" si="56"/>
        <v/>
      </c>
      <c r="J729" s="6">
        <f t="shared" si="57"/>
        <v>0</v>
      </c>
      <c r="K729" s="4" t="str">
        <f t="shared" si="58"/>
        <v/>
      </c>
      <c r="L729" s="4" t="str">
        <f t="shared" si="59"/>
        <v/>
      </c>
      <c r="M729" s="4" t="b" cm="1">
        <f t="array" ref="M729">IF(H729="",FALSE,SUMPRODUCT(--(H$1:H728=H729))&gt;0)</f>
        <v>0</v>
      </c>
    </row>
    <row r="730" spans="1:13" x14ac:dyDescent="0.25">
      <c r="A730" s="9" t="str">
        <f>IF(OR(B730="",M730,G730="— ignored"),"",MAX(A$1:A729)+1)</f>
        <v/>
      </c>
      <c r="B730" s="10"/>
      <c r="C730" s="11" t="str">
        <f>IF(I730="","",ROUND((I730+0.5*MAX(0,CEILING(ROUND((MAX(C$1:C729)-1/48-I730)/0.5,6),1)))*1440,0)/1440)</f>
        <v/>
      </c>
      <c r="D730" s="9" t="str" cm="1">
        <f t="array" ref="D730">IF(H730="","",IFERROR(INDEX(Log!$C$19:$G$19,VALUE(MID(H730,FIND("#",H730)+1,1))),""))</f>
        <v/>
      </c>
      <c r="E730" s="9" t="str" cm="1">
        <f t="array" ref="E730">IF(OR(H730="",M730),"",IFERROR(_xlfn.LET(_xlpm.t,SUBSTITUTE(UPPER(H730),"م","M"),_xlpm.u,SUBSTITUTE(_xlpm.t,"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30" s="12"/>
      <c r="G730" s="13" t="str">
        <f>IF(B730="","",IF(M730,"⚠ Duplicate (not counted)",IF(AND(I730="",D730="",E730=""),"— ignored",IF(C730="","⚠ Time",IF(D730="","⚠ Plant",IF(E730="","⚠ Quantity",IF(AND(ISNUMBER(L730),COUNTIF(L$1:L729,L730)&gt;0),"⚠ Same serial "&amp;L730,IF(AND(ISNUMBER(L730),L730&gt;MIN($L$2:$L$1001),COUNTIF($L$2:$L$1001,L730-1)=0,COUNTIF($L$2:$L$1001,L730-2)&lt;2),"⚠ Missing serial "&amp;(L730-1),IF(AND(MAX(K$1:K729)&gt;0,N(K730)-MAX(K$1:K729)&gt;180),"⚠ Gap &gt; 3h",IF(C730-I730&gt;=0.99,"next day",IF(C730-I730&gt;0.4,"12h → 24h","")))))))))))</f>
        <v/>
      </c>
      <c r="H730" s="4" t="str">
        <f t="shared" si="55"/>
        <v/>
      </c>
      <c r="I730" s="5" t="str">
        <f t="shared" si="56"/>
        <v/>
      </c>
      <c r="J730" s="6">
        <f t="shared" si="57"/>
        <v>0</v>
      </c>
      <c r="K730" s="4" t="str">
        <f t="shared" si="58"/>
        <v/>
      </c>
      <c r="L730" s="4" t="str">
        <f t="shared" si="59"/>
        <v/>
      </c>
      <c r="M730" s="4" t="b" cm="1">
        <f t="array" ref="M730">IF(H730="",FALSE,SUMPRODUCT(--(H$1:H729=H730))&gt;0)</f>
        <v>0</v>
      </c>
    </row>
    <row r="731" spans="1:13" x14ac:dyDescent="0.25">
      <c r="A731" s="9" t="str">
        <f>IF(OR(B731="",M731,G731="— ignored"),"",MAX(A$1:A730)+1)</f>
        <v/>
      </c>
      <c r="B731" s="10"/>
      <c r="C731" s="11" t="str">
        <f>IF(I731="","",ROUND((I731+0.5*MAX(0,CEILING(ROUND((MAX(C$1:C730)-1/48-I731)/0.5,6),1)))*1440,0)/1440)</f>
        <v/>
      </c>
      <c r="D731" s="9" t="str" cm="1">
        <f t="array" ref="D731">IF(H731="","",IFERROR(INDEX(Log!$C$19:$G$19,VALUE(MID(H731,FIND("#",H731)+1,1))),""))</f>
        <v/>
      </c>
      <c r="E731" s="9" t="str" cm="1">
        <f t="array" ref="E731">IF(OR(H731="",M731),"",IFERROR(_xlfn.LET(_xlpm.t,SUBSTITUTE(UPPER(H731),"م","M"),_xlpm.u,SUBSTITUTE(_xlpm.t,"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31" s="12"/>
      <c r="G731" s="13" t="str">
        <f>IF(B731="","",IF(M731,"⚠ Duplicate (not counted)",IF(AND(I731="",D731="",E731=""),"— ignored",IF(C731="","⚠ Time",IF(D731="","⚠ Plant",IF(E731="","⚠ Quantity",IF(AND(ISNUMBER(L731),COUNTIF(L$1:L730,L731)&gt;0),"⚠ Same serial "&amp;L731,IF(AND(ISNUMBER(L731),L731&gt;MIN($L$2:$L$1001),COUNTIF($L$2:$L$1001,L731-1)=0,COUNTIF($L$2:$L$1001,L731-2)&lt;2),"⚠ Missing serial "&amp;(L731-1),IF(AND(MAX(K$1:K730)&gt;0,N(K731)-MAX(K$1:K730)&gt;180),"⚠ Gap &gt; 3h",IF(C731-I731&gt;=0.99,"next day",IF(C731-I731&gt;0.4,"12h → 24h","")))))))))))</f>
        <v/>
      </c>
      <c r="H731" s="4" t="str">
        <f t="shared" si="55"/>
        <v/>
      </c>
      <c r="I731" s="5" t="str">
        <f t="shared" si="56"/>
        <v/>
      </c>
      <c r="J731" s="6">
        <f t="shared" si="57"/>
        <v>0</v>
      </c>
      <c r="K731" s="4" t="str">
        <f t="shared" si="58"/>
        <v/>
      </c>
      <c r="L731" s="4" t="str">
        <f t="shared" si="59"/>
        <v/>
      </c>
      <c r="M731" s="4" t="b" cm="1">
        <f t="array" ref="M731">IF(H731="",FALSE,SUMPRODUCT(--(H$1:H730=H731))&gt;0)</f>
        <v>0</v>
      </c>
    </row>
    <row r="732" spans="1:13" x14ac:dyDescent="0.25">
      <c r="A732" s="9" t="str">
        <f>IF(OR(B732="",M732,G732="— ignored"),"",MAX(A$1:A731)+1)</f>
        <v/>
      </c>
      <c r="B732" s="10"/>
      <c r="C732" s="11" t="str">
        <f>IF(I732="","",ROUND((I732+0.5*MAX(0,CEILING(ROUND((MAX(C$1:C731)-1/48-I732)/0.5,6),1)))*1440,0)/1440)</f>
        <v/>
      </c>
      <c r="D732" s="9" t="str" cm="1">
        <f t="array" ref="D732">IF(H732="","",IFERROR(INDEX(Log!$C$19:$G$19,VALUE(MID(H732,FIND("#",H732)+1,1))),""))</f>
        <v/>
      </c>
      <c r="E732" s="9" t="str" cm="1">
        <f t="array" ref="E732">IF(OR(H732="",M732),"",IFERROR(_xlfn.LET(_xlpm.t,SUBSTITUTE(UPPER(H732),"م","M"),_xlpm.u,SUBSTITUTE(_xlpm.t,"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32" s="12"/>
      <c r="G732" s="13" t="str">
        <f>IF(B732="","",IF(M732,"⚠ Duplicate (not counted)",IF(AND(I732="",D732="",E732=""),"— ignored",IF(C732="","⚠ Time",IF(D732="","⚠ Plant",IF(E732="","⚠ Quantity",IF(AND(ISNUMBER(L732),COUNTIF(L$1:L731,L732)&gt;0),"⚠ Same serial "&amp;L732,IF(AND(ISNUMBER(L732),L732&gt;MIN($L$2:$L$1001),COUNTIF($L$2:$L$1001,L732-1)=0,COUNTIF($L$2:$L$1001,L732-2)&lt;2),"⚠ Missing serial "&amp;(L732-1),IF(AND(MAX(K$1:K731)&gt;0,N(K732)-MAX(K$1:K731)&gt;180),"⚠ Gap &gt; 3h",IF(C732-I732&gt;=0.99,"next day",IF(C732-I732&gt;0.4,"12h → 24h","")))))))))))</f>
        <v/>
      </c>
      <c r="H732" s="4" t="str">
        <f t="shared" si="55"/>
        <v/>
      </c>
      <c r="I732" s="5" t="str">
        <f t="shared" si="56"/>
        <v/>
      </c>
      <c r="J732" s="6">
        <f t="shared" si="57"/>
        <v>0</v>
      </c>
      <c r="K732" s="4" t="str">
        <f t="shared" si="58"/>
        <v/>
      </c>
      <c r="L732" s="4" t="str">
        <f t="shared" si="59"/>
        <v/>
      </c>
      <c r="M732" s="4" t="b" cm="1">
        <f t="array" ref="M732">IF(H732="",FALSE,SUMPRODUCT(--(H$1:H731=H732))&gt;0)</f>
        <v>0</v>
      </c>
    </row>
    <row r="733" spans="1:13" x14ac:dyDescent="0.25">
      <c r="A733" s="9" t="str">
        <f>IF(OR(B733="",M733,G733="— ignored"),"",MAX(A$1:A732)+1)</f>
        <v/>
      </c>
      <c r="B733" s="10"/>
      <c r="C733" s="11" t="str">
        <f>IF(I733="","",ROUND((I733+0.5*MAX(0,CEILING(ROUND((MAX(C$1:C732)-1/48-I733)/0.5,6),1)))*1440,0)/1440)</f>
        <v/>
      </c>
      <c r="D733" s="9" t="str" cm="1">
        <f t="array" ref="D733">IF(H733="","",IFERROR(INDEX(Log!$C$19:$G$19,VALUE(MID(H733,FIND("#",H733)+1,1))),""))</f>
        <v/>
      </c>
      <c r="E733" s="9" t="str" cm="1">
        <f t="array" ref="E733">IF(OR(H733="",M733),"",IFERROR(_xlfn.LET(_xlpm.t,SUBSTITUTE(UPPER(H733),"م","M"),_xlpm.u,SUBSTITUTE(_xlpm.t,"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33" s="12"/>
      <c r="G733" s="13" t="str">
        <f>IF(B733="","",IF(M733,"⚠ Duplicate (not counted)",IF(AND(I733="",D733="",E733=""),"— ignored",IF(C733="","⚠ Time",IF(D733="","⚠ Plant",IF(E733="","⚠ Quantity",IF(AND(ISNUMBER(L733),COUNTIF(L$1:L732,L733)&gt;0),"⚠ Same serial "&amp;L733,IF(AND(ISNUMBER(L733),L733&gt;MIN($L$2:$L$1001),COUNTIF($L$2:$L$1001,L733-1)=0,COUNTIF($L$2:$L$1001,L733-2)&lt;2),"⚠ Missing serial "&amp;(L733-1),IF(AND(MAX(K$1:K732)&gt;0,N(K733)-MAX(K$1:K732)&gt;180),"⚠ Gap &gt; 3h",IF(C733-I733&gt;=0.99,"next day",IF(C733-I733&gt;0.4,"12h → 24h","")))))))))))</f>
        <v/>
      </c>
      <c r="H733" s="4" t="str">
        <f t="shared" si="55"/>
        <v/>
      </c>
      <c r="I733" s="5" t="str">
        <f t="shared" si="56"/>
        <v/>
      </c>
      <c r="J733" s="6">
        <f t="shared" si="57"/>
        <v>0</v>
      </c>
      <c r="K733" s="4" t="str">
        <f t="shared" si="58"/>
        <v/>
      </c>
      <c r="L733" s="4" t="str">
        <f t="shared" si="59"/>
        <v/>
      </c>
      <c r="M733" s="4" t="b" cm="1">
        <f t="array" ref="M733">IF(H733="",FALSE,SUMPRODUCT(--(H$1:H732=H733))&gt;0)</f>
        <v>0</v>
      </c>
    </row>
    <row r="734" spans="1:13" x14ac:dyDescent="0.25">
      <c r="A734" s="9" t="str">
        <f>IF(OR(B734="",M734,G734="— ignored"),"",MAX(A$1:A733)+1)</f>
        <v/>
      </c>
      <c r="B734" s="10"/>
      <c r="C734" s="11" t="str">
        <f>IF(I734="","",ROUND((I734+0.5*MAX(0,CEILING(ROUND((MAX(C$1:C733)-1/48-I734)/0.5,6),1)))*1440,0)/1440)</f>
        <v/>
      </c>
      <c r="D734" s="9" t="str" cm="1">
        <f t="array" ref="D734">IF(H734="","",IFERROR(INDEX(Log!$C$19:$G$19,VALUE(MID(H734,FIND("#",H734)+1,1))),""))</f>
        <v/>
      </c>
      <c r="E734" s="9" t="str" cm="1">
        <f t="array" ref="E734">IF(OR(H734="",M734),"",IFERROR(_xlfn.LET(_xlpm.t,SUBSTITUTE(UPPER(H734),"م","M"),_xlpm.u,SUBSTITUTE(_xlpm.t,"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34" s="12"/>
      <c r="G734" s="13" t="str">
        <f>IF(B734="","",IF(M734,"⚠ Duplicate (not counted)",IF(AND(I734="",D734="",E734=""),"— ignored",IF(C734="","⚠ Time",IF(D734="","⚠ Plant",IF(E734="","⚠ Quantity",IF(AND(ISNUMBER(L734),COUNTIF(L$1:L733,L734)&gt;0),"⚠ Same serial "&amp;L734,IF(AND(ISNUMBER(L734),L734&gt;MIN($L$2:$L$1001),COUNTIF($L$2:$L$1001,L734-1)=0,COUNTIF($L$2:$L$1001,L734-2)&lt;2),"⚠ Missing serial "&amp;(L734-1),IF(AND(MAX(K$1:K733)&gt;0,N(K734)-MAX(K$1:K733)&gt;180),"⚠ Gap &gt; 3h",IF(C734-I734&gt;=0.99,"next day",IF(C734-I734&gt;0.4,"12h → 24h","")))))))))))</f>
        <v/>
      </c>
      <c r="H734" s="4" t="str">
        <f t="shared" si="55"/>
        <v/>
      </c>
      <c r="I734" s="5" t="str">
        <f t="shared" si="56"/>
        <v/>
      </c>
      <c r="J734" s="6">
        <f t="shared" si="57"/>
        <v>0</v>
      </c>
      <c r="K734" s="4" t="str">
        <f t="shared" si="58"/>
        <v/>
      </c>
      <c r="L734" s="4" t="str">
        <f t="shared" si="59"/>
        <v/>
      </c>
      <c r="M734" s="4" t="b" cm="1">
        <f t="array" ref="M734">IF(H734="",FALSE,SUMPRODUCT(--(H$1:H733=H734))&gt;0)</f>
        <v>0</v>
      </c>
    </row>
    <row r="735" spans="1:13" x14ac:dyDescent="0.25">
      <c r="A735" s="9" t="str">
        <f>IF(OR(B735="",M735,G735="— ignored"),"",MAX(A$1:A734)+1)</f>
        <v/>
      </c>
      <c r="B735" s="10"/>
      <c r="C735" s="11" t="str">
        <f>IF(I735="","",ROUND((I735+0.5*MAX(0,CEILING(ROUND((MAX(C$1:C734)-1/48-I735)/0.5,6),1)))*1440,0)/1440)</f>
        <v/>
      </c>
      <c r="D735" s="9" t="str" cm="1">
        <f t="array" ref="D735">IF(H735="","",IFERROR(INDEX(Log!$C$19:$G$19,VALUE(MID(H735,FIND("#",H735)+1,1))),""))</f>
        <v/>
      </c>
      <c r="E735" s="9" t="str" cm="1">
        <f t="array" ref="E735">IF(OR(H735="",M735),"",IFERROR(_xlfn.LET(_xlpm.t,SUBSTITUTE(UPPER(H735),"م","M"),_xlpm.u,SUBSTITUTE(_xlpm.t,"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35" s="12"/>
      <c r="G735" s="13" t="str">
        <f>IF(B735="","",IF(M735,"⚠ Duplicate (not counted)",IF(AND(I735="",D735="",E735=""),"— ignored",IF(C735="","⚠ Time",IF(D735="","⚠ Plant",IF(E735="","⚠ Quantity",IF(AND(ISNUMBER(L735),COUNTIF(L$1:L734,L735)&gt;0),"⚠ Same serial "&amp;L735,IF(AND(ISNUMBER(L735),L735&gt;MIN($L$2:$L$1001),COUNTIF($L$2:$L$1001,L735-1)=0,COUNTIF($L$2:$L$1001,L735-2)&lt;2),"⚠ Missing serial "&amp;(L735-1),IF(AND(MAX(K$1:K734)&gt;0,N(K735)-MAX(K$1:K734)&gt;180),"⚠ Gap &gt; 3h",IF(C735-I735&gt;=0.99,"next day",IF(C735-I735&gt;0.4,"12h → 24h","")))))))))))</f>
        <v/>
      </c>
      <c r="H735" s="4" t="str">
        <f t="shared" si="55"/>
        <v/>
      </c>
      <c r="I735" s="5" t="str">
        <f t="shared" si="56"/>
        <v/>
      </c>
      <c r="J735" s="6">
        <f t="shared" si="57"/>
        <v>0</v>
      </c>
      <c r="K735" s="4" t="str">
        <f t="shared" si="58"/>
        <v/>
      </c>
      <c r="L735" s="4" t="str">
        <f t="shared" si="59"/>
        <v/>
      </c>
      <c r="M735" s="4" t="b" cm="1">
        <f t="array" ref="M735">IF(H735="",FALSE,SUMPRODUCT(--(H$1:H734=H735))&gt;0)</f>
        <v>0</v>
      </c>
    </row>
    <row r="736" spans="1:13" x14ac:dyDescent="0.25">
      <c r="A736" s="9" t="str">
        <f>IF(OR(B736="",M736,G736="— ignored"),"",MAX(A$1:A735)+1)</f>
        <v/>
      </c>
      <c r="B736" s="10"/>
      <c r="C736" s="11" t="str">
        <f>IF(I736="","",ROUND((I736+0.5*MAX(0,CEILING(ROUND((MAX(C$1:C735)-1/48-I736)/0.5,6),1)))*1440,0)/1440)</f>
        <v/>
      </c>
      <c r="D736" s="9" t="str" cm="1">
        <f t="array" ref="D736">IF(H736="","",IFERROR(INDEX(Log!$C$19:$G$19,VALUE(MID(H736,FIND("#",H736)+1,1))),""))</f>
        <v/>
      </c>
      <c r="E736" s="9" t="str" cm="1">
        <f t="array" ref="E736">IF(OR(H736="",M736),"",IFERROR(_xlfn.LET(_xlpm.t,SUBSTITUTE(UPPER(H736),"م","M"),_xlpm.u,SUBSTITUTE(_xlpm.t,"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36" s="12"/>
      <c r="G736" s="13" t="str">
        <f>IF(B736="","",IF(M736,"⚠ Duplicate (not counted)",IF(AND(I736="",D736="",E736=""),"— ignored",IF(C736="","⚠ Time",IF(D736="","⚠ Plant",IF(E736="","⚠ Quantity",IF(AND(ISNUMBER(L736),COUNTIF(L$1:L735,L736)&gt;0),"⚠ Same serial "&amp;L736,IF(AND(ISNUMBER(L736),L736&gt;MIN($L$2:$L$1001),COUNTIF($L$2:$L$1001,L736-1)=0,COUNTIF($L$2:$L$1001,L736-2)&lt;2),"⚠ Missing serial "&amp;(L736-1),IF(AND(MAX(K$1:K735)&gt;0,N(K736)-MAX(K$1:K735)&gt;180),"⚠ Gap &gt; 3h",IF(C736-I736&gt;=0.99,"next day",IF(C736-I736&gt;0.4,"12h → 24h","")))))))))))</f>
        <v/>
      </c>
      <c r="H736" s="4" t="str">
        <f t="shared" si="55"/>
        <v/>
      </c>
      <c r="I736" s="5" t="str">
        <f t="shared" si="56"/>
        <v/>
      </c>
      <c r="J736" s="6">
        <f t="shared" si="57"/>
        <v>0</v>
      </c>
      <c r="K736" s="4" t="str">
        <f t="shared" si="58"/>
        <v/>
      </c>
      <c r="L736" s="4" t="str">
        <f t="shared" si="59"/>
        <v/>
      </c>
      <c r="M736" s="4" t="b" cm="1">
        <f t="array" ref="M736">IF(H736="",FALSE,SUMPRODUCT(--(H$1:H735=H736))&gt;0)</f>
        <v>0</v>
      </c>
    </row>
    <row r="737" spans="1:13" x14ac:dyDescent="0.25">
      <c r="A737" s="9" t="str">
        <f>IF(OR(B737="",M737,G737="— ignored"),"",MAX(A$1:A736)+1)</f>
        <v/>
      </c>
      <c r="B737" s="10"/>
      <c r="C737" s="11" t="str">
        <f>IF(I737="","",ROUND((I737+0.5*MAX(0,CEILING(ROUND((MAX(C$1:C736)-1/48-I737)/0.5,6),1)))*1440,0)/1440)</f>
        <v/>
      </c>
      <c r="D737" s="9" t="str" cm="1">
        <f t="array" ref="D737">IF(H737="","",IFERROR(INDEX(Log!$C$19:$G$19,VALUE(MID(H737,FIND("#",H737)+1,1))),""))</f>
        <v/>
      </c>
      <c r="E737" s="9" t="str" cm="1">
        <f t="array" ref="E737">IF(OR(H737="",M737),"",IFERROR(_xlfn.LET(_xlpm.t,SUBSTITUTE(UPPER(H737),"م","M"),_xlpm.u,SUBSTITUTE(_xlpm.t,"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37" s="12"/>
      <c r="G737" s="13" t="str">
        <f>IF(B737="","",IF(M737,"⚠ Duplicate (not counted)",IF(AND(I737="",D737="",E737=""),"— ignored",IF(C737="","⚠ Time",IF(D737="","⚠ Plant",IF(E737="","⚠ Quantity",IF(AND(ISNUMBER(L737),COUNTIF(L$1:L736,L737)&gt;0),"⚠ Same serial "&amp;L737,IF(AND(ISNUMBER(L737),L737&gt;MIN($L$2:$L$1001),COUNTIF($L$2:$L$1001,L737-1)=0,COUNTIF($L$2:$L$1001,L737-2)&lt;2),"⚠ Missing serial "&amp;(L737-1),IF(AND(MAX(K$1:K736)&gt;0,N(K737)-MAX(K$1:K736)&gt;180),"⚠ Gap &gt; 3h",IF(C737-I737&gt;=0.99,"next day",IF(C737-I737&gt;0.4,"12h → 24h","")))))))))))</f>
        <v/>
      </c>
      <c r="H737" s="4" t="str">
        <f t="shared" si="55"/>
        <v/>
      </c>
      <c r="I737" s="5" t="str">
        <f t="shared" si="56"/>
        <v/>
      </c>
      <c r="J737" s="6">
        <f t="shared" si="57"/>
        <v>0</v>
      </c>
      <c r="K737" s="4" t="str">
        <f t="shared" si="58"/>
        <v/>
      </c>
      <c r="L737" s="4" t="str">
        <f t="shared" si="59"/>
        <v/>
      </c>
      <c r="M737" s="4" t="b" cm="1">
        <f t="array" ref="M737">IF(H737="",FALSE,SUMPRODUCT(--(H$1:H736=H737))&gt;0)</f>
        <v>0</v>
      </c>
    </row>
    <row r="738" spans="1:13" x14ac:dyDescent="0.25">
      <c r="A738" s="9" t="str">
        <f>IF(OR(B738="",M738,G738="— ignored"),"",MAX(A$1:A737)+1)</f>
        <v/>
      </c>
      <c r="B738" s="10"/>
      <c r="C738" s="11" t="str">
        <f>IF(I738="","",ROUND((I738+0.5*MAX(0,CEILING(ROUND((MAX(C$1:C737)-1/48-I738)/0.5,6),1)))*1440,0)/1440)</f>
        <v/>
      </c>
      <c r="D738" s="9" t="str" cm="1">
        <f t="array" ref="D738">IF(H738="","",IFERROR(INDEX(Log!$C$19:$G$19,VALUE(MID(H738,FIND("#",H738)+1,1))),""))</f>
        <v/>
      </c>
      <c r="E738" s="9" t="str" cm="1">
        <f t="array" ref="E738">IF(OR(H738="",M738),"",IFERROR(_xlfn.LET(_xlpm.t,SUBSTITUTE(UPPER(H738),"م","M"),_xlpm.u,SUBSTITUTE(_xlpm.t,"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38" s="12"/>
      <c r="G738" s="13" t="str">
        <f>IF(B738="","",IF(M738,"⚠ Duplicate (not counted)",IF(AND(I738="",D738="",E738=""),"— ignored",IF(C738="","⚠ Time",IF(D738="","⚠ Plant",IF(E738="","⚠ Quantity",IF(AND(ISNUMBER(L738),COUNTIF(L$1:L737,L738)&gt;0),"⚠ Same serial "&amp;L738,IF(AND(ISNUMBER(L738),L738&gt;MIN($L$2:$L$1001),COUNTIF($L$2:$L$1001,L738-1)=0,COUNTIF($L$2:$L$1001,L738-2)&lt;2),"⚠ Missing serial "&amp;(L738-1),IF(AND(MAX(K$1:K737)&gt;0,N(K738)-MAX(K$1:K737)&gt;180),"⚠ Gap &gt; 3h",IF(C738-I738&gt;=0.99,"next day",IF(C738-I738&gt;0.4,"12h → 24h","")))))))))))</f>
        <v/>
      </c>
      <c r="H738" s="4" t="str">
        <f t="shared" si="55"/>
        <v/>
      </c>
      <c r="I738" s="5" t="str">
        <f t="shared" si="56"/>
        <v/>
      </c>
      <c r="J738" s="6">
        <f t="shared" si="57"/>
        <v>0</v>
      </c>
      <c r="K738" s="4" t="str">
        <f t="shared" si="58"/>
        <v/>
      </c>
      <c r="L738" s="4" t="str">
        <f t="shared" si="59"/>
        <v/>
      </c>
      <c r="M738" s="4" t="b" cm="1">
        <f t="array" ref="M738">IF(H738="",FALSE,SUMPRODUCT(--(H$1:H737=H738))&gt;0)</f>
        <v>0</v>
      </c>
    </row>
    <row r="739" spans="1:13" x14ac:dyDescent="0.25">
      <c r="A739" s="9" t="str">
        <f>IF(OR(B739="",M739,G739="— ignored"),"",MAX(A$1:A738)+1)</f>
        <v/>
      </c>
      <c r="B739" s="10"/>
      <c r="C739" s="11" t="str">
        <f>IF(I739="","",ROUND((I739+0.5*MAX(0,CEILING(ROUND((MAX(C$1:C738)-1/48-I739)/0.5,6),1)))*1440,0)/1440)</f>
        <v/>
      </c>
      <c r="D739" s="9" t="str" cm="1">
        <f t="array" ref="D739">IF(H739="","",IFERROR(INDEX(Log!$C$19:$G$19,VALUE(MID(H739,FIND("#",H739)+1,1))),""))</f>
        <v/>
      </c>
      <c r="E739" s="9" t="str" cm="1">
        <f t="array" ref="E739">IF(OR(H739="",M739),"",IFERROR(_xlfn.LET(_xlpm.t,SUBSTITUTE(UPPER(H739),"م","M"),_xlpm.u,SUBSTITUTE(_xlpm.t,"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39" s="12"/>
      <c r="G739" s="13" t="str">
        <f>IF(B739="","",IF(M739,"⚠ Duplicate (not counted)",IF(AND(I739="",D739="",E739=""),"— ignored",IF(C739="","⚠ Time",IF(D739="","⚠ Plant",IF(E739="","⚠ Quantity",IF(AND(ISNUMBER(L739),COUNTIF(L$1:L738,L739)&gt;0),"⚠ Same serial "&amp;L739,IF(AND(ISNUMBER(L739),L739&gt;MIN($L$2:$L$1001),COUNTIF($L$2:$L$1001,L739-1)=0,COUNTIF($L$2:$L$1001,L739-2)&lt;2),"⚠ Missing serial "&amp;(L739-1),IF(AND(MAX(K$1:K738)&gt;0,N(K739)-MAX(K$1:K738)&gt;180),"⚠ Gap &gt; 3h",IF(C739-I739&gt;=0.99,"next day",IF(C739-I739&gt;0.4,"12h → 24h","")))))))))))</f>
        <v/>
      </c>
      <c r="H739" s="4" t="str">
        <f t="shared" si="55"/>
        <v/>
      </c>
      <c r="I739" s="5" t="str">
        <f t="shared" si="56"/>
        <v/>
      </c>
      <c r="J739" s="6">
        <f t="shared" si="57"/>
        <v>0</v>
      </c>
      <c r="K739" s="4" t="str">
        <f t="shared" si="58"/>
        <v/>
      </c>
      <c r="L739" s="4" t="str">
        <f t="shared" si="59"/>
        <v/>
      </c>
      <c r="M739" s="4" t="b" cm="1">
        <f t="array" ref="M739">IF(H739="",FALSE,SUMPRODUCT(--(H$1:H738=H739))&gt;0)</f>
        <v>0</v>
      </c>
    </row>
    <row r="740" spans="1:13" x14ac:dyDescent="0.25">
      <c r="A740" s="9" t="str">
        <f>IF(OR(B740="",M740,G740="— ignored"),"",MAX(A$1:A739)+1)</f>
        <v/>
      </c>
      <c r="B740" s="10"/>
      <c r="C740" s="11" t="str">
        <f>IF(I740="","",ROUND((I740+0.5*MAX(0,CEILING(ROUND((MAX(C$1:C739)-1/48-I740)/0.5,6),1)))*1440,0)/1440)</f>
        <v/>
      </c>
      <c r="D740" s="9" t="str" cm="1">
        <f t="array" ref="D740">IF(H740="","",IFERROR(INDEX(Log!$C$19:$G$19,VALUE(MID(H740,FIND("#",H740)+1,1))),""))</f>
        <v/>
      </c>
      <c r="E740" s="9" t="str" cm="1">
        <f t="array" ref="E740">IF(OR(H740="",M740),"",IFERROR(_xlfn.LET(_xlpm.t,SUBSTITUTE(UPPER(H740),"م","M"),_xlpm.u,SUBSTITUTE(_xlpm.t,"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40" s="12"/>
      <c r="G740" s="13" t="str">
        <f>IF(B740="","",IF(M740,"⚠ Duplicate (not counted)",IF(AND(I740="",D740="",E740=""),"— ignored",IF(C740="","⚠ Time",IF(D740="","⚠ Plant",IF(E740="","⚠ Quantity",IF(AND(ISNUMBER(L740),COUNTIF(L$1:L739,L740)&gt;0),"⚠ Same serial "&amp;L740,IF(AND(ISNUMBER(L740),L740&gt;MIN($L$2:$L$1001),COUNTIF($L$2:$L$1001,L740-1)=0,COUNTIF($L$2:$L$1001,L740-2)&lt;2),"⚠ Missing serial "&amp;(L740-1),IF(AND(MAX(K$1:K739)&gt;0,N(K740)-MAX(K$1:K739)&gt;180),"⚠ Gap &gt; 3h",IF(C740-I740&gt;=0.99,"next day",IF(C740-I740&gt;0.4,"12h → 24h","")))))))))))</f>
        <v/>
      </c>
      <c r="H740" s="4" t="str">
        <f t="shared" si="55"/>
        <v/>
      </c>
      <c r="I740" s="5" t="str">
        <f t="shared" si="56"/>
        <v/>
      </c>
      <c r="J740" s="6">
        <f t="shared" si="57"/>
        <v>0</v>
      </c>
      <c r="K740" s="4" t="str">
        <f t="shared" si="58"/>
        <v/>
      </c>
      <c r="L740" s="4" t="str">
        <f t="shared" si="59"/>
        <v/>
      </c>
      <c r="M740" s="4" t="b" cm="1">
        <f t="array" ref="M740">IF(H740="",FALSE,SUMPRODUCT(--(H$1:H739=H740))&gt;0)</f>
        <v>0</v>
      </c>
    </row>
    <row r="741" spans="1:13" x14ac:dyDescent="0.25">
      <c r="A741" s="9" t="str">
        <f>IF(OR(B741="",M741,G741="— ignored"),"",MAX(A$1:A740)+1)</f>
        <v/>
      </c>
      <c r="B741" s="10"/>
      <c r="C741" s="11" t="str">
        <f>IF(I741="","",ROUND((I741+0.5*MAX(0,CEILING(ROUND((MAX(C$1:C740)-1/48-I741)/0.5,6),1)))*1440,0)/1440)</f>
        <v/>
      </c>
      <c r="D741" s="9" t="str" cm="1">
        <f t="array" ref="D741">IF(H741="","",IFERROR(INDEX(Log!$C$19:$G$19,VALUE(MID(H741,FIND("#",H741)+1,1))),""))</f>
        <v/>
      </c>
      <c r="E741" s="9" t="str" cm="1">
        <f t="array" ref="E741">IF(OR(H741="",M741),"",IFERROR(_xlfn.LET(_xlpm.t,SUBSTITUTE(UPPER(H741),"م","M"),_xlpm.u,SUBSTITUTE(_xlpm.t,"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41" s="12"/>
      <c r="G741" s="13" t="str">
        <f>IF(B741="","",IF(M741,"⚠ Duplicate (not counted)",IF(AND(I741="",D741="",E741=""),"— ignored",IF(C741="","⚠ Time",IF(D741="","⚠ Plant",IF(E741="","⚠ Quantity",IF(AND(ISNUMBER(L741),COUNTIF(L$1:L740,L741)&gt;0),"⚠ Same serial "&amp;L741,IF(AND(ISNUMBER(L741),L741&gt;MIN($L$2:$L$1001),COUNTIF($L$2:$L$1001,L741-1)=0,COUNTIF($L$2:$L$1001,L741-2)&lt;2),"⚠ Missing serial "&amp;(L741-1),IF(AND(MAX(K$1:K740)&gt;0,N(K741)-MAX(K$1:K740)&gt;180),"⚠ Gap &gt; 3h",IF(C741-I741&gt;=0.99,"next day",IF(C741-I741&gt;0.4,"12h → 24h","")))))))))))</f>
        <v/>
      </c>
      <c r="H741" s="4" t="str">
        <f t="shared" si="55"/>
        <v/>
      </c>
      <c r="I741" s="5" t="str">
        <f t="shared" si="56"/>
        <v/>
      </c>
      <c r="J741" s="6">
        <f t="shared" si="57"/>
        <v>0</v>
      </c>
      <c r="K741" s="4" t="str">
        <f t="shared" si="58"/>
        <v/>
      </c>
      <c r="L741" s="4" t="str">
        <f t="shared" si="59"/>
        <v/>
      </c>
      <c r="M741" s="4" t="b" cm="1">
        <f t="array" ref="M741">IF(H741="",FALSE,SUMPRODUCT(--(H$1:H740=H741))&gt;0)</f>
        <v>0</v>
      </c>
    </row>
    <row r="742" spans="1:13" x14ac:dyDescent="0.25">
      <c r="A742" s="9" t="str">
        <f>IF(OR(B742="",M742,G742="— ignored"),"",MAX(A$1:A741)+1)</f>
        <v/>
      </c>
      <c r="B742" s="10"/>
      <c r="C742" s="11" t="str">
        <f>IF(I742="","",ROUND((I742+0.5*MAX(0,CEILING(ROUND((MAX(C$1:C741)-1/48-I742)/0.5,6),1)))*1440,0)/1440)</f>
        <v/>
      </c>
      <c r="D742" s="9" t="str" cm="1">
        <f t="array" ref="D742">IF(H742="","",IFERROR(INDEX(Log!$C$19:$G$19,VALUE(MID(H742,FIND("#",H742)+1,1))),""))</f>
        <v/>
      </c>
      <c r="E742" s="9" t="str" cm="1">
        <f t="array" ref="E742">IF(OR(H742="",M742),"",IFERROR(_xlfn.LET(_xlpm.t,SUBSTITUTE(UPPER(H742),"م","M"),_xlpm.u,SUBSTITUTE(_xlpm.t,"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42" s="12"/>
      <c r="G742" s="13" t="str">
        <f>IF(B742="","",IF(M742,"⚠ Duplicate (not counted)",IF(AND(I742="",D742="",E742=""),"— ignored",IF(C742="","⚠ Time",IF(D742="","⚠ Plant",IF(E742="","⚠ Quantity",IF(AND(ISNUMBER(L742),COUNTIF(L$1:L741,L742)&gt;0),"⚠ Same serial "&amp;L742,IF(AND(ISNUMBER(L742),L742&gt;MIN($L$2:$L$1001),COUNTIF($L$2:$L$1001,L742-1)=0,COUNTIF($L$2:$L$1001,L742-2)&lt;2),"⚠ Missing serial "&amp;(L742-1),IF(AND(MAX(K$1:K741)&gt;0,N(K742)-MAX(K$1:K741)&gt;180),"⚠ Gap &gt; 3h",IF(C742-I742&gt;=0.99,"next day",IF(C742-I742&gt;0.4,"12h → 24h","")))))))))))</f>
        <v/>
      </c>
      <c r="H742" s="4" t="str">
        <f t="shared" si="55"/>
        <v/>
      </c>
      <c r="I742" s="5" t="str">
        <f t="shared" si="56"/>
        <v/>
      </c>
      <c r="J742" s="6">
        <f t="shared" si="57"/>
        <v>0</v>
      </c>
      <c r="K742" s="4" t="str">
        <f t="shared" si="58"/>
        <v/>
      </c>
      <c r="L742" s="4" t="str">
        <f t="shared" si="59"/>
        <v/>
      </c>
      <c r="M742" s="4" t="b" cm="1">
        <f t="array" ref="M742">IF(H742="",FALSE,SUMPRODUCT(--(H$1:H741=H742))&gt;0)</f>
        <v>0</v>
      </c>
    </row>
    <row r="743" spans="1:13" x14ac:dyDescent="0.25">
      <c r="A743" s="9" t="str">
        <f>IF(OR(B743="",M743,G743="— ignored"),"",MAX(A$1:A742)+1)</f>
        <v/>
      </c>
      <c r="B743" s="10"/>
      <c r="C743" s="11" t="str">
        <f>IF(I743="","",ROUND((I743+0.5*MAX(0,CEILING(ROUND((MAX(C$1:C742)-1/48-I743)/0.5,6),1)))*1440,0)/1440)</f>
        <v/>
      </c>
      <c r="D743" s="9" t="str" cm="1">
        <f t="array" ref="D743">IF(H743="","",IFERROR(INDEX(Log!$C$19:$G$19,VALUE(MID(H743,FIND("#",H743)+1,1))),""))</f>
        <v/>
      </c>
      <c r="E743" s="9" t="str" cm="1">
        <f t="array" ref="E743">IF(OR(H743="",M743),"",IFERROR(_xlfn.LET(_xlpm.t,SUBSTITUTE(UPPER(H743),"م","M"),_xlpm.u,SUBSTITUTE(_xlpm.t,"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43" s="12"/>
      <c r="G743" s="13" t="str">
        <f>IF(B743="","",IF(M743,"⚠ Duplicate (not counted)",IF(AND(I743="",D743="",E743=""),"— ignored",IF(C743="","⚠ Time",IF(D743="","⚠ Plant",IF(E743="","⚠ Quantity",IF(AND(ISNUMBER(L743),COUNTIF(L$1:L742,L743)&gt;0),"⚠ Same serial "&amp;L743,IF(AND(ISNUMBER(L743),L743&gt;MIN($L$2:$L$1001),COUNTIF($L$2:$L$1001,L743-1)=0,COUNTIF($L$2:$L$1001,L743-2)&lt;2),"⚠ Missing serial "&amp;(L743-1),IF(AND(MAX(K$1:K742)&gt;0,N(K743)-MAX(K$1:K742)&gt;180),"⚠ Gap &gt; 3h",IF(C743-I743&gt;=0.99,"next day",IF(C743-I743&gt;0.4,"12h → 24h","")))))))))))</f>
        <v/>
      </c>
      <c r="H743" s="4" t="str">
        <f t="shared" si="55"/>
        <v/>
      </c>
      <c r="I743" s="5" t="str">
        <f t="shared" si="56"/>
        <v/>
      </c>
      <c r="J743" s="6">
        <f t="shared" si="57"/>
        <v>0</v>
      </c>
      <c r="K743" s="4" t="str">
        <f t="shared" si="58"/>
        <v/>
      </c>
      <c r="L743" s="4" t="str">
        <f t="shared" si="59"/>
        <v/>
      </c>
      <c r="M743" s="4" t="b" cm="1">
        <f t="array" ref="M743">IF(H743="",FALSE,SUMPRODUCT(--(H$1:H742=H743))&gt;0)</f>
        <v>0</v>
      </c>
    </row>
    <row r="744" spans="1:13" x14ac:dyDescent="0.25">
      <c r="A744" s="9" t="str">
        <f>IF(OR(B744="",M744,G744="— ignored"),"",MAX(A$1:A743)+1)</f>
        <v/>
      </c>
      <c r="B744" s="10"/>
      <c r="C744" s="11" t="str">
        <f>IF(I744="","",ROUND((I744+0.5*MAX(0,CEILING(ROUND((MAX(C$1:C743)-1/48-I744)/0.5,6),1)))*1440,0)/1440)</f>
        <v/>
      </c>
      <c r="D744" s="9" t="str" cm="1">
        <f t="array" ref="D744">IF(H744="","",IFERROR(INDEX(Log!$C$19:$G$19,VALUE(MID(H744,FIND("#",H744)+1,1))),""))</f>
        <v/>
      </c>
      <c r="E744" s="9" t="str" cm="1">
        <f t="array" ref="E744">IF(OR(H744="",M744),"",IFERROR(_xlfn.LET(_xlpm.t,SUBSTITUTE(UPPER(H744),"م","M"),_xlpm.u,SUBSTITUTE(_xlpm.t,"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44" s="12"/>
      <c r="G744" s="13" t="str">
        <f>IF(B744="","",IF(M744,"⚠ Duplicate (not counted)",IF(AND(I744="",D744="",E744=""),"— ignored",IF(C744="","⚠ Time",IF(D744="","⚠ Plant",IF(E744="","⚠ Quantity",IF(AND(ISNUMBER(L744),COUNTIF(L$1:L743,L744)&gt;0),"⚠ Same serial "&amp;L744,IF(AND(ISNUMBER(L744),L744&gt;MIN($L$2:$L$1001),COUNTIF($L$2:$L$1001,L744-1)=0,COUNTIF($L$2:$L$1001,L744-2)&lt;2),"⚠ Missing serial "&amp;(L744-1),IF(AND(MAX(K$1:K743)&gt;0,N(K744)-MAX(K$1:K743)&gt;180),"⚠ Gap &gt; 3h",IF(C744-I744&gt;=0.99,"next day",IF(C744-I744&gt;0.4,"12h → 24h","")))))))))))</f>
        <v/>
      </c>
      <c r="H744" s="4" t="str">
        <f t="shared" si="55"/>
        <v/>
      </c>
      <c r="I744" s="5" t="str">
        <f t="shared" si="56"/>
        <v/>
      </c>
      <c r="J744" s="6">
        <f t="shared" si="57"/>
        <v>0</v>
      </c>
      <c r="K744" s="4" t="str">
        <f t="shared" si="58"/>
        <v/>
      </c>
      <c r="L744" s="4" t="str">
        <f t="shared" si="59"/>
        <v/>
      </c>
      <c r="M744" s="4" t="b" cm="1">
        <f t="array" ref="M744">IF(H744="",FALSE,SUMPRODUCT(--(H$1:H743=H744))&gt;0)</f>
        <v>0</v>
      </c>
    </row>
    <row r="745" spans="1:13" x14ac:dyDescent="0.25">
      <c r="A745" s="9" t="str">
        <f>IF(OR(B745="",M745,G745="— ignored"),"",MAX(A$1:A744)+1)</f>
        <v/>
      </c>
      <c r="B745" s="10"/>
      <c r="C745" s="11" t="str">
        <f>IF(I745="","",ROUND((I745+0.5*MAX(0,CEILING(ROUND((MAX(C$1:C744)-1/48-I745)/0.5,6),1)))*1440,0)/1440)</f>
        <v/>
      </c>
      <c r="D745" s="9" t="str" cm="1">
        <f t="array" ref="D745">IF(H745="","",IFERROR(INDEX(Log!$C$19:$G$19,VALUE(MID(H745,FIND("#",H745)+1,1))),""))</f>
        <v/>
      </c>
      <c r="E745" s="9" t="str" cm="1">
        <f t="array" ref="E745">IF(OR(H745="",M745),"",IFERROR(_xlfn.LET(_xlpm.t,SUBSTITUTE(UPPER(H745),"م","M"),_xlpm.u,SUBSTITUTE(_xlpm.t,"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45" s="12"/>
      <c r="G745" s="13" t="str">
        <f>IF(B745="","",IF(M745,"⚠ Duplicate (not counted)",IF(AND(I745="",D745="",E745=""),"— ignored",IF(C745="","⚠ Time",IF(D745="","⚠ Plant",IF(E745="","⚠ Quantity",IF(AND(ISNUMBER(L745),COUNTIF(L$1:L744,L745)&gt;0),"⚠ Same serial "&amp;L745,IF(AND(ISNUMBER(L745),L745&gt;MIN($L$2:$L$1001),COUNTIF($L$2:$L$1001,L745-1)=0,COUNTIF($L$2:$L$1001,L745-2)&lt;2),"⚠ Missing serial "&amp;(L745-1),IF(AND(MAX(K$1:K744)&gt;0,N(K745)-MAX(K$1:K744)&gt;180),"⚠ Gap &gt; 3h",IF(C745-I745&gt;=0.99,"next day",IF(C745-I745&gt;0.4,"12h → 24h","")))))))))))</f>
        <v/>
      </c>
      <c r="H745" s="4" t="str">
        <f t="shared" si="55"/>
        <v/>
      </c>
      <c r="I745" s="5" t="str">
        <f t="shared" si="56"/>
        <v/>
      </c>
      <c r="J745" s="6">
        <f t="shared" si="57"/>
        <v>0</v>
      </c>
      <c r="K745" s="4" t="str">
        <f t="shared" si="58"/>
        <v/>
      </c>
      <c r="L745" s="4" t="str">
        <f t="shared" si="59"/>
        <v/>
      </c>
      <c r="M745" s="4" t="b" cm="1">
        <f t="array" ref="M745">IF(H745="",FALSE,SUMPRODUCT(--(H$1:H744=H745))&gt;0)</f>
        <v>0</v>
      </c>
    </row>
    <row r="746" spans="1:13" x14ac:dyDescent="0.25">
      <c r="A746" s="9" t="str">
        <f>IF(OR(B746="",M746,G746="— ignored"),"",MAX(A$1:A745)+1)</f>
        <v/>
      </c>
      <c r="B746" s="10"/>
      <c r="C746" s="11" t="str">
        <f>IF(I746="","",ROUND((I746+0.5*MAX(0,CEILING(ROUND((MAX(C$1:C745)-1/48-I746)/0.5,6),1)))*1440,0)/1440)</f>
        <v/>
      </c>
      <c r="D746" s="9" t="str" cm="1">
        <f t="array" ref="D746">IF(H746="","",IFERROR(INDEX(Log!$C$19:$G$19,VALUE(MID(H746,FIND("#",H746)+1,1))),""))</f>
        <v/>
      </c>
      <c r="E746" s="9" t="str" cm="1">
        <f t="array" ref="E746">IF(OR(H746="",M746),"",IFERROR(_xlfn.LET(_xlpm.t,SUBSTITUTE(UPPER(H746),"م","M"),_xlpm.u,SUBSTITUTE(_xlpm.t,"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46" s="12"/>
      <c r="G746" s="13" t="str">
        <f>IF(B746="","",IF(M746,"⚠ Duplicate (not counted)",IF(AND(I746="",D746="",E746=""),"— ignored",IF(C746="","⚠ Time",IF(D746="","⚠ Plant",IF(E746="","⚠ Quantity",IF(AND(ISNUMBER(L746),COUNTIF(L$1:L745,L746)&gt;0),"⚠ Same serial "&amp;L746,IF(AND(ISNUMBER(L746),L746&gt;MIN($L$2:$L$1001),COUNTIF($L$2:$L$1001,L746-1)=0,COUNTIF($L$2:$L$1001,L746-2)&lt;2),"⚠ Missing serial "&amp;(L746-1),IF(AND(MAX(K$1:K745)&gt;0,N(K746)-MAX(K$1:K745)&gt;180),"⚠ Gap &gt; 3h",IF(C746-I746&gt;=0.99,"next day",IF(C746-I746&gt;0.4,"12h → 24h","")))))))))))</f>
        <v/>
      </c>
      <c r="H746" s="4" t="str">
        <f t="shared" si="55"/>
        <v/>
      </c>
      <c r="I746" s="5" t="str">
        <f t="shared" si="56"/>
        <v/>
      </c>
      <c r="J746" s="6">
        <f t="shared" si="57"/>
        <v>0</v>
      </c>
      <c r="K746" s="4" t="str">
        <f t="shared" si="58"/>
        <v/>
      </c>
      <c r="L746" s="4" t="str">
        <f t="shared" si="59"/>
        <v/>
      </c>
      <c r="M746" s="4" t="b" cm="1">
        <f t="array" ref="M746">IF(H746="",FALSE,SUMPRODUCT(--(H$1:H745=H746))&gt;0)</f>
        <v>0</v>
      </c>
    </row>
    <row r="747" spans="1:13" x14ac:dyDescent="0.25">
      <c r="A747" s="9" t="str">
        <f>IF(OR(B747="",M747,G747="— ignored"),"",MAX(A$1:A746)+1)</f>
        <v/>
      </c>
      <c r="B747" s="10"/>
      <c r="C747" s="11" t="str">
        <f>IF(I747="","",ROUND((I747+0.5*MAX(0,CEILING(ROUND((MAX(C$1:C746)-1/48-I747)/0.5,6),1)))*1440,0)/1440)</f>
        <v/>
      </c>
      <c r="D747" s="9" t="str" cm="1">
        <f t="array" ref="D747">IF(H747="","",IFERROR(INDEX(Log!$C$19:$G$19,VALUE(MID(H747,FIND("#",H747)+1,1))),""))</f>
        <v/>
      </c>
      <c r="E747" s="9" t="str" cm="1">
        <f t="array" ref="E747">IF(OR(H747="",M747),"",IFERROR(_xlfn.LET(_xlpm.t,SUBSTITUTE(UPPER(H747),"م","M"),_xlpm.u,SUBSTITUTE(_xlpm.t,"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47" s="12"/>
      <c r="G747" s="13" t="str">
        <f>IF(B747="","",IF(M747,"⚠ Duplicate (not counted)",IF(AND(I747="",D747="",E747=""),"— ignored",IF(C747="","⚠ Time",IF(D747="","⚠ Plant",IF(E747="","⚠ Quantity",IF(AND(ISNUMBER(L747),COUNTIF(L$1:L746,L747)&gt;0),"⚠ Same serial "&amp;L747,IF(AND(ISNUMBER(L747),L747&gt;MIN($L$2:$L$1001),COUNTIF($L$2:$L$1001,L747-1)=0,COUNTIF($L$2:$L$1001,L747-2)&lt;2),"⚠ Missing serial "&amp;(L747-1),IF(AND(MAX(K$1:K746)&gt;0,N(K747)-MAX(K$1:K746)&gt;180),"⚠ Gap &gt; 3h",IF(C747-I747&gt;=0.99,"next day",IF(C747-I747&gt;0.4,"12h → 24h","")))))))))))</f>
        <v/>
      </c>
      <c r="H747" s="4" t="str">
        <f t="shared" si="55"/>
        <v/>
      </c>
      <c r="I747" s="5" t="str">
        <f t="shared" si="56"/>
        <v/>
      </c>
      <c r="J747" s="6">
        <f t="shared" si="57"/>
        <v>0</v>
      </c>
      <c r="K747" s="4" t="str">
        <f t="shared" si="58"/>
        <v/>
      </c>
      <c r="L747" s="4" t="str">
        <f t="shared" si="59"/>
        <v/>
      </c>
      <c r="M747" s="4" t="b" cm="1">
        <f t="array" ref="M747">IF(H747="",FALSE,SUMPRODUCT(--(H$1:H746=H747))&gt;0)</f>
        <v>0</v>
      </c>
    </row>
    <row r="748" spans="1:13" x14ac:dyDescent="0.25">
      <c r="A748" s="9" t="str">
        <f>IF(OR(B748="",M748,G748="— ignored"),"",MAX(A$1:A747)+1)</f>
        <v/>
      </c>
      <c r="B748" s="10"/>
      <c r="C748" s="11" t="str">
        <f>IF(I748="","",ROUND((I748+0.5*MAX(0,CEILING(ROUND((MAX(C$1:C747)-1/48-I748)/0.5,6),1)))*1440,0)/1440)</f>
        <v/>
      </c>
      <c r="D748" s="9" t="str" cm="1">
        <f t="array" ref="D748">IF(H748="","",IFERROR(INDEX(Log!$C$19:$G$19,VALUE(MID(H748,FIND("#",H748)+1,1))),""))</f>
        <v/>
      </c>
      <c r="E748" s="9" t="str" cm="1">
        <f t="array" ref="E748">IF(OR(H748="",M748),"",IFERROR(_xlfn.LET(_xlpm.t,SUBSTITUTE(UPPER(H748),"م","M"),_xlpm.u,SUBSTITUTE(_xlpm.t,"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48" s="12"/>
      <c r="G748" s="13" t="str">
        <f>IF(B748="","",IF(M748,"⚠ Duplicate (not counted)",IF(AND(I748="",D748="",E748=""),"— ignored",IF(C748="","⚠ Time",IF(D748="","⚠ Plant",IF(E748="","⚠ Quantity",IF(AND(ISNUMBER(L748),COUNTIF(L$1:L747,L748)&gt;0),"⚠ Same serial "&amp;L748,IF(AND(ISNUMBER(L748),L748&gt;MIN($L$2:$L$1001),COUNTIF($L$2:$L$1001,L748-1)=0,COUNTIF($L$2:$L$1001,L748-2)&lt;2),"⚠ Missing serial "&amp;(L748-1),IF(AND(MAX(K$1:K747)&gt;0,N(K748)-MAX(K$1:K747)&gt;180),"⚠ Gap &gt; 3h",IF(C748-I748&gt;=0.99,"next day",IF(C748-I748&gt;0.4,"12h → 24h","")))))))))))</f>
        <v/>
      </c>
      <c r="H748" s="4" t="str">
        <f t="shared" si="55"/>
        <v/>
      </c>
      <c r="I748" s="5" t="str">
        <f t="shared" si="56"/>
        <v/>
      </c>
      <c r="J748" s="6">
        <f t="shared" si="57"/>
        <v>0</v>
      </c>
      <c r="K748" s="4" t="str">
        <f t="shared" si="58"/>
        <v/>
      </c>
      <c r="L748" s="4" t="str">
        <f t="shared" si="59"/>
        <v/>
      </c>
      <c r="M748" s="4" t="b" cm="1">
        <f t="array" ref="M748">IF(H748="",FALSE,SUMPRODUCT(--(H$1:H747=H748))&gt;0)</f>
        <v>0</v>
      </c>
    </row>
    <row r="749" spans="1:13" x14ac:dyDescent="0.25">
      <c r="A749" s="9" t="str">
        <f>IF(OR(B749="",M749,G749="— ignored"),"",MAX(A$1:A748)+1)</f>
        <v/>
      </c>
      <c r="B749" s="10"/>
      <c r="C749" s="11" t="str">
        <f>IF(I749="","",ROUND((I749+0.5*MAX(0,CEILING(ROUND((MAX(C$1:C748)-1/48-I749)/0.5,6),1)))*1440,0)/1440)</f>
        <v/>
      </c>
      <c r="D749" s="9" t="str" cm="1">
        <f t="array" ref="D749">IF(H749="","",IFERROR(INDEX(Log!$C$19:$G$19,VALUE(MID(H749,FIND("#",H749)+1,1))),""))</f>
        <v/>
      </c>
      <c r="E749" s="9" t="str" cm="1">
        <f t="array" ref="E749">IF(OR(H749="",M749),"",IFERROR(_xlfn.LET(_xlpm.t,SUBSTITUTE(UPPER(H749),"م","M"),_xlpm.u,SUBSTITUTE(_xlpm.t,"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49" s="12"/>
      <c r="G749" s="13" t="str">
        <f>IF(B749="","",IF(M749,"⚠ Duplicate (not counted)",IF(AND(I749="",D749="",E749=""),"— ignored",IF(C749="","⚠ Time",IF(D749="","⚠ Plant",IF(E749="","⚠ Quantity",IF(AND(ISNUMBER(L749),COUNTIF(L$1:L748,L749)&gt;0),"⚠ Same serial "&amp;L749,IF(AND(ISNUMBER(L749),L749&gt;MIN($L$2:$L$1001),COUNTIF($L$2:$L$1001,L749-1)=0,COUNTIF($L$2:$L$1001,L749-2)&lt;2),"⚠ Missing serial "&amp;(L749-1),IF(AND(MAX(K$1:K748)&gt;0,N(K749)-MAX(K$1:K748)&gt;180),"⚠ Gap &gt; 3h",IF(C749-I749&gt;=0.99,"next day",IF(C749-I749&gt;0.4,"12h → 24h","")))))))))))</f>
        <v/>
      </c>
      <c r="H749" s="4" t="str">
        <f t="shared" si="55"/>
        <v/>
      </c>
      <c r="I749" s="5" t="str">
        <f t="shared" si="56"/>
        <v/>
      </c>
      <c r="J749" s="6">
        <f t="shared" si="57"/>
        <v>0</v>
      </c>
      <c r="K749" s="4" t="str">
        <f t="shared" si="58"/>
        <v/>
      </c>
      <c r="L749" s="4" t="str">
        <f t="shared" si="59"/>
        <v/>
      </c>
      <c r="M749" s="4" t="b" cm="1">
        <f t="array" ref="M749">IF(H749="",FALSE,SUMPRODUCT(--(H$1:H748=H749))&gt;0)</f>
        <v>0</v>
      </c>
    </row>
    <row r="750" spans="1:13" x14ac:dyDescent="0.25">
      <c r="A750" s="9" t="str">
        <f>IF(OR(B750="",M750,G750="— ignored"),"",MAX(A$1:A749)+1)</f>
        <v/>
      </c>
      <c r="B750" s="10"/>
      <c r="C750" s="11" t="str">
        <f>IF(I750="","",ROUND((I750+0.5*MAX(0,CEILING(ROUND((MAX(C$1:C749)-1/48-I750)/0.5,6),1)))*1440,0)/1440)</f>
        <v/>
      </c>
      <c r="D750" s="9" t="str" cm="1">
        <f t="array" ref="D750">IF(H750="","",IFERROR(INDEX(Log!$C$19:$G$19,VALUE(MID(H750,FIND("#",H750)+1,1))),""))</f>
        <v/>
      </c>
      <c r="E750" s="9" t="str" cm="1">
        <f t="array" ref="E750">IF(OR(H750="",M750),"",IFERROR(_xlfn.LET(_xlpm.t,SUBSTITUTE(UPPER(H750),"م","M"),_xlpm.u,SUBSTITUTE(_xlpm.t,"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50" s="12"/>
      <c r="G750" s="13" t="str">
        <f>IF(B750="","",IF(M750,"⚠ Duplicate (not counted)",IF(AND(I750="",D750="",E750=""),"— ignored",IF(C750="","⚠ Time",IF(D750="","⚠ Plant",IF(E750="","⚠ Quantity",IF(AND(ISNUMBER(L750),COUNTIF(L$1:L749,L750)&gt;0),"⚠ Same serial "&amp;L750,IF(AND(ISNUMBER(L750),L750&gt;MIN($L$2:$L$1001),COUNTIF($L$2:$L$1001,L750-1)=0,COUNTIF($L$2:$L$1001,L750-2)&lt;2),"⚠ Missing serial "&amp;(L750-1),IF(AND(MAX(K$1:K749)&gt;0,N(K750)-MAX(K$1:K749)&gt;180),"⚠ Gap &gt; 3h",IF(C750-I750&gt;=0.99,"next day",IF(C750-I750&gt;0.4,"12h → 24h","")))))))))))</f>
        <v/>
      </c>
      <c r="H750" s="4" t="str">
        <f t="shared" si="55"/>
        <v/>
      </c>
      <c r="I750" s="5" t="str">
        <f t="shared" si="56"/>
        <v/>
      </c>
      <c r="J750" s="6">
        <f t="shared" si="57"/>
        <v>0</v>
      </c>
      <c r="K750" s="4" t="str">
        <f t="shared" si="58"/>
        <v/>
      </c>
      <c r="L750" s="4" t="str">
        <f t="shared" si="59"/>
        <v/>
      </c>
      <c r="M750" s="4" t="b" cm="1">
        <f t="array" ref="M750">IF(H750="",FALSE,SUMPRODUCT(--(H$1:H749=H750))&gt;0)</f>
        <v>0</v>
      </c>
    </row>
    <row r="751" spans="1:13" x14ac:dyDescent="0.25">
      <c r="A751" s="9" t="str">
        <f>IF(OR(B751="",M751,G751="— ignored"),"",MAX(A$1:A750)+1)</f>
        <v/>
      </c>
      <c r="B751" s="10"/>
      <c r="C751" s="11" t="str">
        <f>IF(I751="","",ROUND((I751+0.5*MAX(0,CEILING(ROUND((MAX(C$1:C750)-1/48-I751)/0.5,6),1)))*1440,0)/1440)</f>
        <v/>
      </c>
      <c r="D751" s="9" t="str" cm="1">
        <f t="array" ref="D751">IF(H751="","",IFERROR(INDEX(Log!$C$19:$G$19,VALUE(MID(H751,FIND("#",H751)+1,1))),""))</f>
        <v/>
      </c>
      <c r="E751" s="9" t="str" cm="1">
        <f t="array" ref="E751">IF(OR(H751="",M751),"",IFERROR(_xlfn.LET(_xlpm.t,SUBSTITUTE(UPPER(H751),"م","M"),_xlpm.u,SUBSTITUTE(_xlpm.t,"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51" s="12"/>
      <c r="G751" s="13" t="str">
        <f>IF(B751="","",IF(M751,"⚠ Duplicate (not counted)",IF(AND(I751="",D751="",E751=""),"— ignored",IF(C751="","⚠ Time",IF(D751="","⚠ Plant",IF(E751="","⚠ Quantity",IF(AND(ISNUMBER(L751),COUNTIF(L$1:L750,L751)&gt;0),"⚠ Same serial "&amp;L751,IF(AND(ISNUMBER(L751),L751&gt;MIN($L$2:$L$1001),COUNTIF($L$2:$L$1001,L751-1)=0,COUNTIF($L$2:$L$1001,L751-2)&lt;2),"⚠ Missing serial "&amp;(L751-1),IF(AND(MAX(K$1:K750)&gt;0,N(K751)-MAX(K$1:K750)&gt;180),"⚠ Gap &gt; 3h",IF(C751-I751&gt;=0.99,"next day",IF(C751-I751&gt;0.4,"12h → 24h","")))))))))))</f>
        <v/>
      </c>
      <c r="H751" s="4" t="str">
        <f t="shared" si="55"/>
        <v/>
      </c>
      <c r="I751" s="5" t="str">
        <f t="shared" si="56"/>
        <v/>
      </c>
      <c r="J751" s="6">
        <f t="shared" si="57"/>
        <v>0</v>
      </c>
      <c r="K751" s="4" t="str">
        <f t="shared" si="58"/>
        <v/>
      </c>
      <c r="L751" s="4" t="str">
        <f t="shared" si="59"/>
        <v/>
      </c>
      <c r="M751" s="4" t="b" cm="1">
        <f t="array" ref="M751">IF(H751="",FALSE,SUMPRODUCT(--(H$1:H750=H751))&gt;0)</f>
        <v>0</v>
      </c>
    </row>
    <row r="752" spans="1:13" x14ac:dyDescent="0.25">
      <c r="A752" s="9" t="str">
        <f>IF(OR(B752="",M752,G752="— ignored"),"",MAX(A$1:A751)+1)</f>
        <v/>
      </c>
      <c r="B752" s="10"/>
      <c r="C752" s="11" t="str">
        <f>IF(I752="","",ROUND((I752+0.5*MAX(0,CEILING(ROUND((MAX(C$1:C751)-1/48-I752)/0.5,6),1)))*1440,0)/1440)</f>
        <v/>
      </c>
      <c r="D752" s="9" t="str" cm="1">
        <f t="array" ref="D752">IF(H752="","",IFERROR(INDEX(Log!$C$19:$G$19,VALUE(MID(H752,FIND("#",H752)+1,1))),""))</f>
        <v/>
      </c>
      <c r="E752" s="9" t="str" cm="1">
        <f t="array" ref="E752">IF(OR(H752="",M752),"",IFERROR(_xlfn.LET(_xlpm.t,SUBSTITUTE(UPPER(H752),"م","M"),_xlpm.u,SUBSTITUTE(_xlpm.t,"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52" s="12"/>
      <c r="G752" s="13" t="str">
        <f>IF(B752="","",IF(M752,"⚠ Duplicate (not counted)",IF(AND(I752="",D752="",E752=""),"— ignored",IF(C752="","⚠ Time",IF(D752="","⚠ Plant",IF(E752="","⚠ Quantity",IF(AND(ISNUMBER(L752),COUNTIF(L$1:L751,L752)&gt;0),"⚠ Same serial "&amp;L752,IF(AND(ISNUMBER(L752),L752&gt;MIN($L$2:$L$1001),COUNTIF($L$2:$L$1001,L752-1)=0,COUNTIF($L$2:$L$1001,L752-2)&lt;2),"⚠ Missing serial "&amp;(L752-1),IF(AND(MAX(K$1:K751)&gt;0,N(K752)-MAX(K$1:K751)&gt;180),"⚠ Gap &gt; 3h",IF(C752-I752&gt;=0.99,"next day",IF(C752-I752&gt;0.4,"12h → 24h","")))))))))))</f>
        <v/>
      </c>
      <c r="H752" s="4" t="str">
        <f t="shared" si="55"/>
        <v/>
      </c>
      <c r="I752" s="5" t="str">
        <f t="shared" si="56"/>
        <v/>
      </c>
      <c r="J752" s="6">
        <f t="shared" si="57"/>
        <v>0</v>
      </c>
      <c r="K752" s="4" t="str">
        <f t="shared" si="58"/>
        <v/>
      </c>
      <c r="L752" s="4" t="str">
        <f t="shared" si="59"/>
        <v/>
      </c>
      <c r="M752" s="4" t="b" cm="1">
        <f t="array" ref="M752">IF(H752="",FALSE,SUMPRODUCT(--(H$1:H751=H752))&gt;0)</f>
        <v>0</v>
      </c>
    </row>
    <row r="753" spans="1:13" x14ac:dyDescent="0.25">
      <c r="A753" s="9" t="str">
        <f>IF(OR(B753="",M753,G753="— ignored"),"",MAX(A$1:A752)+1)</f>
        <v/>
      </c>
      <c r="B753" s="10"/>
      <c r="C753" s="11" t="str">
        <f>IF(I753="","",ROUND((I753+0.5*MAX(0,CEILING(ROUND((MAX(C$1:C752)-1/48-I753)/0.5,6),1)))*1440,0)/1440)</f>
        <v/>
      </c>
      <c r="D753" s="9" t="str" cm="1">
        <f t="array" ref="D753">IF(H753="","",IFERROR(INDEX(Log!$C$19:$G$19,VALUE(MID(H753,FIND("#",H753)+1,1))),""))</f>
        <v/>
      </c>
      <c r="E753" s="9" t="str" cm="1">
        <f t="array" ref="E753">IF(OR(H753="",M753),"",IFERROR(_xlfn.LET(_xlpm.t,SUBSTITUTE(UPPER(H753),"م","M"),_xlpm.u,SUBSTITUTE(_xlpm.t,"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53" s="12"/>
      <c r="G753" s="13" t="str">
        <f>IF(B753="","",IF(M753,"⚠ Duplicate (not counted)",IF(AND(I753="",D753="",E753=""),"— ignored",IF(C753="","⚠ Time",IF(D753="","⚠ Plant",IF(E753="","⚠ Quantity",IF(AND(ISNUMBER(L753),COUNTIF(L$1:L752,L753)&gt;0),"⚠ Same serial "&amp;L753,IF(AND(ISNUMBER(L753),L753&gt;MIN($L$2:$L$1001),COUNTIF($L$2:$L$1001,L753-1)=0,COUNTIF($L$2:$L$1001,L753-2)&lt;2),"⚠ Missing serial "&amp;(L753-1),IF(AND(MAX(K$1:K752)&gt;0,N(K753)-MAX(K$1:K752)&gt;180),"⚠ Gap &gt; 3h",IF(C753-I753&gt;=0.99,"next day",IF(C753-I753&gt;0.4,"12h → 24h","")))))))))))</f>
        <v/>
      </c>
      <c r="H753" s="4" t="str">
        <f t="shared" si="55"/>
        <v/>
      </c>
      <c r="I753" s="5" t="str">
        <f t="shared" si="56"/>
        <v/>
      </c>
      <c r="J753" s="6">
        <f t="shared" si="57"/>
        <v>0</v>
      </c>
      <c r="K753" s="4" t="str">
        <f t="shared" si="58"/>
        <v/>
      </c>
      <c r="L753" s="4" t="str">
        <f t="shared" si="59"/>
        <v/>
      </c>
      <c r="M753" s="4" t="b" cm="1">
        <f t="array" ref="M753">IF(H753="",FALSE,SUMPRODUCT(--(H$1:H752=H753))&gt;0)</f>
        <v>0</v>
      </c>
    </row>
    <row r="754" spans="1:13" x14ac:dyDescent="0.25">
      <c r="A754" s="9" t="str">
        <f>IF(OR(B754="",M754,G754="— ignored"),"",MAX(A$1:A753)+1)</f>
        <v/>
      </c>
      <c r="B754" s="10"/>
      <c r="C754" s="11" t="str">
        <f>IF(I754="","",ROUND((I754+0.5*MAX(0,CEILING(ROUND((MAX(C$1:C753)-1/48-I754)/0.5,6),1)))*1440,0)/1440)</f>
        <v/>
      </c>
      <c r="D754" s="9" t="str" cm="1">
        <f t="array" ref="D754">IF(H754="","",IFERROR(INDEX(Log!$C$19:$G$19,VALUE(MID(H754,FIND("#",H754)+1,1))),""))</f>
        <v/>
      </c>
      <c r="E754" s="9" t="str" cm="1">
        <f t="array" ref="E754">IF(OR(H754="",M754),"",IFERROR(_xlfn.LET(_xlpm.t,SUBSTITUTE(UPPER(H754),"م","M"),_xlpm.u,SUBSTITUTE(_xlpm.t,"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54" s="12"/>
      <c r="G754" s="13" t="str">
        <f>IF(B754="","",IF(M754,"⚠ Duplicate (not counted)",IF(AND(I754="",D754="",E754=""),"— ignored",IF(C754="","⚠ Time",IF(D754="","⚠ Plant",IF(E754="","⚠ Quantity",IF(AND(ISNUMBER(L754),COUNTIF(L$1:L753,L754)&gt;0),"⚠ Same serial "&amp;L754,IF(AND(ISNUMBER(L754),L754&gt;MIN($L$2:$L$1001),COUNTIF($L$2:$L$1001,L754-1)=0,COUNTIF($L$2:$L$1001,L754-2)&lt;2),"⚠ Missing serial "&amp;(L754-1),IF(AND(MAX(K$1:K753)&gt;0,N(K754)-MAX(K$1:K753)&gt;180),"⚠ Gap &gt; 3h",IF(C754-I754&gt;=0.99,"next day",IF(C754-I754&gt;0.4,"12h → 24h","")))))))))))</f>
        <v/>
      </c>
      <c r="H754" s="4" t="str">
        <f t="shared" si="55"/>
        <v/>
      </c>
      <c r="I754" s="5" t="str">
        <f t="shared" si="56"/>
        <v/>
      </c>
      <c r="J754" s="6">
        <f t="shared" si="57"/>
        <v>0</v>
      </c>
      <c r="K754" s="4" t="str">
        <f t="shared" si="58"/>
        <v/>
      </c>
      <c r="L754" s="4" t="str">
        <f t="shared" si="59"/>
        <v/>
      </c>
      <c r="M754" s="4" t="b" cm="1">
        <f t="array" ref="M754">IF(H754="",FALSE,SUMPRODUCT(--(H$1:H753=H754))&gt;0)</f>
        <v>0</v>
      </c>
    </row>
    <row r="755" spans="1:13" x14ac:dyDescent="0.25">
      <c r="A755" s="9" t="str">
        <f>IF(OR(B755="",M755,G755="— ignored"),"",MAX(A$1:A754)+1)</f>
        <v/>
      </c>
      <c r="B755" s="10"/>
      <c r="C755" s="11" t="str">
        <f>IF(I755="","",ROUND((I755+0.5*MAX(0,CEILING(ROUND((MAX(C$1:C754)-1/48-I755)/0.5,6),1)))*1440,0)/1440)</f>
        <v/>
      </c>
      <c r="D755" s="9" t="str" cm="1">
        <f t="array" ref="D755">IF(H755="","",IFERROR(INDEX(Log!$C$19:$G$19,VALUE(MID(H755,FIND("#",H755)+1,1))),""))</f>
        <v/>
      </c>
      <c r="E755" s="9" t="str" cm="1">
        <f t="array" ref="E755">IF(OR(H755="",M755),"",IFERROR(_xlfn.LET(_xlpm.t,SUBSTITUTE(UPPER(H755),"م","M"),_xlpm.u,SUBSTITUTE(_xlpm.t,"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55" s="12"/>
      <c r="G755" s="13" t="str">
        <f>IF(B755="","",IF(M755,"⚠ Duplicate (not counted)",IF(AND(I755="",D755="",E755=""),"— ignored",IF(C755="","⚠ Time",IF(D755="","⚠ Plant",IF(E755="","⚠ Quantity",IF(AND(ISNUMBER(L755),COUNTIF(L$1:L754,L755)&gt;0),"⚠ Same serial "&amp;L755,IF(AND(ISNUMBER(L755),L755&gt;MIN($L$2:$L$1001),COUNTIF($L$2:$L$1001,L755-1)=0,COUNTIF($L$2:$L$1001,L755-2)&lt;2),"⚠ Missing serial "&amp;(L755-1),IF(AND(MAX(K$1:K754)&gt;0,N(K755)-MAX(K$1:K754)&gt;180),"⚠ Gap &gt; 3h",IF(C755-I755&gt;=0.99,"next day",IF(C755-I755&gt;0.4,"12h → 24h","")))))))))))</f>
        <v/>
      </c>
      <c r="H755" s="4" t="str">
        <f t="shared" si="55"/>
        <v/>
      </c>
      <c r="I755" s="5" t="str">
        <f t="shared" si="56"/>
        <v/>
      </c>
      <c r="J755" s="6">
        <f t="shared" si="57"/>
        <v>0</v>
      </c>
      <c r="K755" s="4" t="str">
        <f t="shared" si="58"/>
        <v/>
      </c>
      <c r="L755" s="4" t="str">
        <f t="shared" si="59"/>
        <v/>
      </c>
      <c r="M755" s="4" t="b" cm="1">
        <f t="array" ref="M755">IF(H755="",FALSE,SUMPRODUCT(--(H$1:H754=H755))&gt;0)</f>
        <v>0</v>
      </c>
    </row>
    <row r="756" spans="1:13" x14ac:dyDescent="0.25">
      <c r="A756" s="9" t="str">
        <f>IF(OR(B756="",M756,G756="— ignored"),"",MAX(A$1:A755)+1)</f>
        <v/>
      </c>
      <c r="B756" s="10"/>
      <c r="C756" s="11" t="str">
        <f>IF(I756="","",ROUND((I756+0.5*MAX(0,CEILING(ROUND((MAX(C$1:C755)-1/48-I756)/0.5,6),1)))*1440,0)/1440)</f>
        <v/>
      </c>
      <c r="D756" s="9" t="str" cm="1">
        <f t="array" ref="D756">IF(H756="","",IFERROR(INDEX(Log!$C$19:$G$19,VALUE(MID(H756,FIND("#",H756)+1,1))),""))</f>
        <v/>
      </c>
      <c r="E756" s="9" t="str" cm="1">
        <f t="array" ref="E756">IF(OR(H756="",M756),"",IFERROR(_xlfn.LET(_xlpm.t,SUBSTITUTE(UPPER(H756),"م","M"),_xlpm.u,SUBSTITUTE(_xlpm.t,"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56" s="12"/>
      <c r="G756" s="13" t="str">
        <f>IF(B756="","",IF(M756,"⚠ Duplicate (not counted)",IF(AND(I756="",D756="",E756=""),"— ignored",IF(C756="","⚠ Time",IF(D756="","⚠ Plant",IF(E756="","⚠ Quantity",IF(AND(ISNUMBER(L756),COUNTIF(L$1:L755,L756)&gt;0),"⚠ Same serial "&amp;L756,IF(AND(ISNUMBER(L756),L756&gt;MIN($L$2:$L$1001),COUNTIF($L$2:$L$1001,L756-1)=0,COUNTIF($L$2:$L$1001,L756-2)&lt;2),"⚠ Missing serial "&amp;(L756-1),IF(AND(MAX(K$1:K755)&gt;0,N(K756)-MAX(K$1:K755)&gt;180),"⚠ Gap &gt; 3h",IF(C756-I756&gt;=0.99,"next day",IF(C756-I756&gt;0.4,"12h → 24h","")))))))))))</f>
        <v/>
      </c>
      <c r="H756" s="4" t="str">
        <f t="shared" si="55"/>
        <v/>
      </c>
      <c r="I756" s="5" t="str">
        <f t="shared" si="56"/>
        <v/>
      </c>
      <c r="J756" s="6">
        <f t="shared" si="57"/>
        <v>0</v>
      </c>
      <c r="K756" s="4" t="str">
        <f t="shared" si="58"/>
        <v/>
      </c>
      <c r="L756" s="4" t="str">
        <f t="shared" si="59"/>
        <v/>
      </c>
      <c r="M756" s="4" t="b" cm="1">
        <f t="array" ref="M756">IF(H756="",FALSE,SUMPRODUCT(--(H$1:H755=H756))&gt;0)</f>
        <v>0</v>
      </c>
    </row>
    <row r="757" spans="1:13" x14ac:dyDescent="0.25">
      <c r="A757" s="9" t="str">
        <f>IF(OR(B757="",M757,G757="— ignored"),"",MAX(A$1:A756)+1)</f>
        <v/>
      </c>
      <c r="B757" s="10"/>
      <c r="C757" s="11" t="str">
        <f>IF(I757="","",ROUND((I757+0.5*MAX(0,CEILING(ROUND((MAX(C$1:C756)-1/48-I757)/0.5,6),1)))*1440,0)/1440)</f>
        <v/>
      </c>
      <c r="D757" s="9" t="str" cm="1">
        <f t="array" ref="D757">IF(H757="","",IFERROR(INDEX(Log!$C$19:$G$19,VALUE(MID(H757,FIND("#",H757)+1,1))),""))</f>
        <v/>
      </c>
      <c r="E757" s="9" t="str" cm="1">
        <f t="array" ref="E757">IF(OR(H757="",M757),"",IFERROR(_xlfn.LET(_xlpm.t,SUBSTITUTE(UPPER(H757),"م","M"),_xlpm.u,SUBSTITUTE(_xlpm.t,"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57" s="12"/>
      <c r="G757" s="13" t="str">
        <f>IF(B757="","",IF(M757,"⚠ Duplicate (not counted)",IF(AND(I757="",D757="",E757=""),"— ignored",IF(C757="","⚠ Time",IF(D757="","⚠ Plant",IF(E757="","⚠ Quantity",IF(AND(ISNUMBER(L757),COUNTIF(L$1:L756,L757)&gt;0),"⚠ Same serial "&amp;L757,IF(AND(ISNUMBER(L757),L757&gt;MIN($L$2:$L$1001),COUNTIF($L$2:$L$1001,L757-1)=0,COUNTIF($L$2:$L$1001,L757-2)&lt;2),"⚠ Missing serial "&amp;(L757-1),IF(AND(MAX(K$1:K756)&gt;0,N(K757)-MAX(K$1:K756)&gt;180),"⚠ Gap &gt; 3h",IF(C757-I757&gt;=0.99,"next day",IF(C757-I757&gt;0.4,"12h → 24h","")))))))))))</f>
        <v/>
      </c>
      <c r="H757" s="4" t="str">
        <f t="shared" si="55"/>
        <v/>
      </c>
      <c r="I757" s="5" t="str">
        <f t="shared" si="56"/>
        <v/>
      </c>
      <c r="J757" s="6">
        <f t="shared" si="57"/>
        <v>0</v>
      </c>
      <c r="K757" s="4" t="str">
        <f t="shared" si="58"/>
        <v/>
      </c>
      <c r="L757" s="4" t="str">
        <f t="shared" si="59"/>
        <v/>
      </c>
      <c r="M757" s="4" t="b" cm="1">
        <f t="array" ref="M757">IF(H757="",FALSE,SUMPRODUCT(--(H$1:H756=H757))&gt;0)</f>
        <v>0</v>
      </c>
    </row>
    <row r="758" spans="1:13" x14ac:dyDescent="0.25">
      <c r="A758" s="9" t="str">
        <f>IF(OR(B758="",M758,G758="— ignored"),"",MAX(A$1:A757)+1)</f>
        <v/>
      </c>
      <c r="B758" s="10"/>
      <c r="C758" s="11" t="str">
        <f>IF(I758="","",ROUND((I758+0.5*MAX(0,CEILING(ROUND((MAX(C$1:C757)-1/48-I758)/0.5,6),1)))*1440,0)/1440)</f>
        <v/>
      </c>
      <c r="D758" s="9" t="str" cm="1">
        <f t="array" ref="D758">IF(H758="","",IFERROR(INDEX(Log!$C$19:$G$19,VALUE(MID(H758,FIND("#",H758)+1,1))),""))</f>
        <v/>
      </c>
      <c r="E758" s="9" t="str" cm="1">
        <f t="array" ref="E758">IF(OR(H758="",M758),"",IFERROR(_xlfn.LET(_xlpm.t,SUBSTITUTE(UPPER(H758),"م","M"),_xlpm.u,SUBSTITUTE(_xlpm.t,"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58" s="12"/>
      <c r="G758" s="13" t="str">
        <f>IF(B758="","",IF(M758,"⚠ Duplicate (not counted)",IF(AND(I758="",D758="",E758=""),"— ignored",IF(C758="","⚠ Time",IF(D758="","⚠ Plant",IF(E758="","⚠ Quantity",IF(AND(ISNUMBER(L758),COUNTIF(L$1:L757,L758)&gt;0),"⚠ Same serial "&amp;L758,IF(AND(ISNUMBER(L758),L758&gt;MIN($L$2:$L$1001),COUNTIF($L$2:$L$1001,L758-1)=0,COUNTIF($L$2:$L$1001,L758-2)&lt;2),"⚠ Missing serial "&amp;(L758-1),IF(AND(MAX(K$1:K757)&gt;0,N(K758)-MAX(K$1:K757)&gt;180),"⚠ Gap &gt; 3h",IF(C758-I758&gt;=0.99,"next day",IF(C758-I758&gt;0.4,"12h → 24h","")))))))))))</f>
        <v/>
      </c>
      <c r="H758" s="4" t="str">
        <f t="shared" si="55"/>
        <v/>
      </c>
      <c r="I758" s="5" t="str">
        <f t="shared" si="56"/>
        <v/>
      </c>
      <c r="J758" s="6">
        <f t="shared" si="57"/>
        <v>0</v>
      </c>
      <c r="K758" s="4" t="str">
        <f t="shared" si="58"/>
        <v/>
      </c>
      <c r="L758" s="4" t="str">
        <f t="shared" si="59"/>
        <v/>
      </c>
      <c r="M758" s="4" t="b" cm="1">
        <f t="array" ref="M758">IF(H758="",FALSE,SUMPRODUCT(--(H$1:H757=H758))&gt;0)</f>
        <v>0</v>
      </c>
    </row>
    <row r="759" spans="1:13" x14ac:dyDescent="0.25">
      <c r="A759" s="9" t="str">
        <f>IF(OR(B759="",M759,G759="— ignored"),"",MAX(A$1:A758)+1)</f>
        <v/>
      </c>
      <c r="B759" s="10"/>
      <c r="C759" s="11" t="str">
        <f>IF(I759="","",ROUND((I759+0.5*MAX(0,CEILING(ROUND((MAX(C$1:C758)-1/48-I759)/0.5,6),1)))*1440,0)/1440)</f>
        <v/>
      </c>
      <c r="D759" s="9" t="str" cm="1">
        <f t="array" ref="D759">IF(H759="","",IFERROR(INDEX(Log!$C$19:$G$19,VALUE(MID(H759,FIND("#",H759)+1,1))),""))</f>
        <v/>
      </c>
      <c r="E759" s="9" t="str" cm="1">
        <f t="array" ref="E759">IF(OR(H759="",M759),"",IFERROR(_xlfn.LET(_xlpm.t,SUBSTITUTE(UPPER(H759),"م","M"),_xlpm.u,SUBSTITUTE(_xlpm.t,"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59" s="12"/>
      <c r="G759" s="13" t="str">
        <f>IF(B759="","",IF(M759,"⚠ Duplicate (not counted)",IF(AND(I759="",D759="",E759=""),"— ignored",IF(C759="","⚠ Time",IF(D759="","⚠ Plant",IF(E759="","⚠ Quantity",IF(AND(ISNUMBER(L759),COUNTIF(L$1:L758,L759)&gt;0),"⚠ Same serial "&amp;L759,IF(AND(ISNUMBER(L759),L759&gt;MIN($L$2:$L$1001),COUNTIF($L$2:$L$1001,L759-1)=0,COUNTIF($L$2:$L$1001,L759-2)&lt;2),"⚠ Missing serial "&amp;(L759-1),IF(AND(MAX(K$1:K758)&gt;0,N(K759)-MAX(K$1:K758)&gt;180),"⚠ Gap &gt; 3h",IF(C759-I759&gt;=0.99,"next day",IF(C759-I759&gt;0.4,"12h → 24h","")))))))))))</f>
        <v/>
      </c>
      <c r="H759" s="4" t="str">
        <f t="shared" si="55"/>
        <v/>
      </c>
      <c r="I759" s="5" t="str">
        <f t="shared" si="56"/>
        <v/>
      </c>
      <c r="J759" s="6">
        <f t="shared" si="57"/>
        <v>0</v>
      </c>
      <c r="K759" s="4" t="str">
        <f t="shared" si="58"/>
        <v/>
      </c>
      <c r="L759" s="4" t="str">
        <f t="shared" si="59"/>
        <v/>
      </c>
      <c r="M759" s="4" t="b" cm="1">
        <f t="array" ref="M759">IF(H759="",FALSE,SUMPRODUCT(--(H$1:H758=H759))&gt;0)</f>
        <v>0</v>
      </c>
    </row>
    <row r="760" spans="1:13" x14ac:dyDescent="0.25">
      <c r="A760" s="9" t="str">
        <f>IF(OR(B760="",M760,G760="— ignored"),"",MAX(A$1:A759)+1)</f>
        <v/>
      </c>
      <c r="B760" s="10"/>
      <c r="C760" s="11" t="str">
        <f>IF(I760="","",ROUND((I760+0.5*MAX(0,CEILING(ROUND((MAX(C$1:C759)-1/48-I760)/0.5,6),1)))*1440,0)/1440)</f>
        <v/>
      </c>
      <c r="D760" s="9" t="str" cm="1">
        <f t="array" ref="D760">IF(H760="","",IFERROR(INDEX(Log!$C$19:$G$19,VALUE(MID(H760,FIND("#",H760)+1,1))),""))</f>
        <v/>
      </c>
      <c r="E760" s="9" t="str" cm="1">
        <f t="array" ref="E760">IF(OR(H760="",M760),"",IFERROR(_xlfn.LET(_xlpm.t,SUBSTITUTE(UPPER(H760),"م","M"),_xlpm.u,SUBSTITUTE(_xlpm.t,"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60" s="12"/>
      <c r="G760" s="13" t="str">
        <f>IF(B760="","",IF(M760,"⚠ Duplicate (not counted)",IF(AND(I760="",D760="",E760=""),"— ignored",IF(C760="","⚠ Time",IF(D760="","⚠ Plant",IF(E760="","⚠ Quantity",IF(AND(ISNUMBER(L760),COUNTIF(L$1:L759,L760)&gt;0),"⚠ Same serial "&amp;L760,IF(AND(ISNUMBER(L760),L760&gt;MIN($L$2:$L$1001),COUNTIF($L$2:$L$1001,L760-1)=0,COUNTIF($L$2:$L$1001,L760-2)&lt;2),"⚠ Missing serial "&amp;(L760-1),IF(AND(MAX(K$1:K759)&gt;0,N(K760)-MAX(K$1:K759)&gt;180),"⚠ Gap &gt; 3h",IF(C760-I760&gt;=0.99,"next day",IF(C760-I760&gt;0.4,"12h → 24h","")))))))))))</f>
        <v/>
      </c>
      <c r="H760" s="4" t="str">
        <f t="shared" si="55"/>
        <v/>
      </c>
      <c r="I760" s="5" t="str">
        <f t="shared" si="56"/>
        <v/>
      </c>
      <c r="J760" s="6">
        <f t="shared" si="57"/>
        <v>0</v>
      </c>
      <c r="K760" s="4" t="str">
        <f t="shared" si="58"/>
        <v/>
      </c>
      <c r="L760" s="4" t="str">
        <f t="shared" si="59"/>
        <v/>
      </c>
      <c r="M760" s="4" t="b" cm="1">
        <f t="array" ref="M760">IF(H760="",FALSE,SUMPRODUCT(--(H$1:H759=H760))&gt;0)</f>
        <v>0</v>
      </c>
    </row>
    <row r="761" spans="1:13" x14ac:dyDescent="0.25">
      <c r="A761" s="9" t="str">
        <f>IF(OR(B761="",M761,G761="— ignored"),"",MAX(A$1:A760)+1)</f>
        <v/>
      </c>
      <c r="B761" s="10"/>
      <c r="C761" s="11" t="str">
        <f>IF(I761="","",ROUND((I761+0.5*MAX(0,CEILING(ROUND((MAX(C$1:C760)-1/48-I761)/0.5,6),1)))*1440,0)/1440)</f>
        <v/>
      </c>
      <c r="D761" s="9" t="str" cm="1">
        <f t="array" ref="D761">IF(H761="","",IFERROR(INDEX(Log!$C$19:$G$19,VALUE(MID(H761,FIND("#",H761)+1,1))),""))</f>
        <v/>
      </c>
      <c r="E761" s="9" t="str" cm="1">
        <f t="array" ref="E761">IF(OR(H761="",M761),"",IFERROR(_xlfn.LET(_xlpm.t,SUBSTITUTE(UPPER(H761),"م","M"),_xlpm.u,SUBSTITUTE(_xlpm.t,"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61" s="12"/>
      <c r="G761" s="13" t="str">
        <f>IF(B761="","",IF(M761,"⚠ Duplicate (not counted)",IF(AND(I761="",D761="",E761=""),"— ignored",IF(C761="","⚠ Time",IF(D761="","⚠ Plant",IF(E761="","⚠ Quantity",IF(AND(ISNUMBER(L761),COUNTIF(L$1:L760,L761)&gt;0),"⚠ Same serial "&amp;L761,IF(AND(ISNUMBER(L761),L761&gt;MIN($L$2:$L$1001),COUNTIF($L$2:$L$1001,L761-1)=0,COUNTIF($L$2:$L$1001,L761-2)&lt;2),"⚠ Missing serial "&amp;(L761-1),IF(AND(MAX(K$1:K760)&gt;0,N(K761)-MAX(K$1:K760)&gt;180),"⚠ Gap &gt; 3h",IF(C761-I761&gt;=0.99,"next day",IF(C761-I761&gt;0.4,"12h → 24h","")))))))))))</f>
        <v/>
      </c>
      <c r="H761" s="4" t="str">
        <f t="shared" si="55"/>
        <v/>
      </c>
      <c r="I761" s="5" t="str">
        <f t="shared" si="56"/>
        <v/>
      </c>
      <c r="J761" s="6">
        <f t="shared" si="57"/>
        <v>0</v>
      </c>
      <c r="K761" s="4" t="str">
        <f t="shared" si="58"/>
        <v/>
      </c>
      <c r="L761" s="4" t="str">
        <f t="shared" si="59"/>
        <v/>
      </c>
      <c r="M761" s="4" t="b" cm="1">
        <f t="array" ref="M761">IF(H761="",FALSE,SUMPRODUCT(--(H$1:H760=H761))&gt;0)</f>
        <v>0</v>
      </c>
    </row>
    <row r="762" spans="1:13" x14ac:dyDescent="0.25">
      <c r="A762" s="9" t="str">
        <f>IF(OR(B762="",M762,G762="— ignored"),"",MAX(A$1:A761)+1)</f>
        <v/>
      </c>
      <c r="B762" s="10"/>
      <c r="C762" s="11" t="str">
        <f>IF(I762="","",ROUND((I762+0.5*MAX(0,CEILING(ROUND((MAX(C$1:C761)-1/48-I762)/0.5,6),1)))*1440,0)/1440)</f>
        <v/>
      </c>
      <c r="D762" s="9" t="str" cm="1">
        <f t="array" ref="D762">IF(H762="","",IFERROR(INDEX(Log!$C$19:$G$19,VALUE(MID(H762,FIND("#",H762)+1,1))),""))</f>
        <v/>
      </c>
      <c r="E762" s="9" t="str" cm="1">
        <f t="array" ref="E762">IF(OR(H762="",M762),"",IFERROR(_xlfn.LET(_xlpm.t,SUBSTITUTE(UPPER(H762),"م","M"),_xlpm.u,SUBSTITUTE(_xlpm.t,"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62" s="12"/>
      <c r="G762" s="13" t="str">
        <f>IF(B762="","",IF(M762,"⚠ Duplicate (not counted)",IF(AND(I762="",D762="",E762=""),"— ignored",IF(C762="","⚠ Time",IF(D762="","⚠ Plant",IF(E762="","⚠ Quantity",IF(AND(ISNUMBER(L762),COUNTIF(L$1:L761,L762)&gt;0),"⚠ Same serial "&amp;L762,IF(AND(ISNUMBER(L762),L762&gt;MIN($L$2:$L$1001),COUNTIF($L$2:$L$1001,L762-1)=0,COUNTIF($L$2:$L$1001,L762-2)&lt;2),"⚠ Missing serial "&amp;(L762-1),IF(AND(MAX(K$1:K761)&gt;0,N(K762)-MAX(K$1:K761)&gt;180),"⚠ Gap &gt; 3h",IF(C762-I762&gt;=0.99,"next day",IF(C762-I762&gt;0.4,"12h → 24h","")))))))))))</f>
        <v/>
      </c>
      <c r="H762" s="4" t="str">
        <f t="shared" si="55"/>
        <v/>
      </c>
      <c r="I762" s="5" t="str">
        <f t="shared" si="56"/>
        <v/>
      </c>
      <c r="J762" s="6">
        <f t="shared" si="57"/>
        <v>0</v>
      </c>
      <c r="K762" s="4" t="str">
        <f t="shared" si="58"/>
        <v/>
      </c>
      <c r="L762" s="4" t="str">
        <f t="shared" si="59"/>
        <v/>
      </c>
      <c r="M762" s="4" t="b" cm="1">
        <f t="array" ref="M762">IF(H762="",FALSE,SUMPRODUCT(--(H$1:H761=H762))&gt;0)</f>
        <v>0</v>
      </c>
    </row>
    <row r="763" spans="1:13" x14ac:dyDescent="0.25">
      <c r="A763" s="9" t="str">
        <f>IF(OR(B763="",M763,G763="— ignored"),"",MAX(A$1:A762)+1)</f>
        <v/>
      </c>
      <c r="B763" s="10"/>
      <c r="C763" s="11" t="str">
        <f>IF(I763="","",ROUND((I763+0.5*MAX(0,CEILING(ROUND((MAX(C$1:C762)-1/48-I763)/0.5,6),1)))*1440,0)/1440)</f>
        <v/>
      </c>
      <c r="D763" s="9" t="str" cm="1">
        <f t="array" ref="D763">IF(H763="","",IFERROR(INDEX(Log!$C$19:$G$19,VALUE(MID(H763,FIND("#",H763)+1,1))),""))</f>
        <v/>
      </c>
      <c r="E763" s="9" t="str" cm="1">
        <f t="array" ref="E763">IF(OR(H763="",M763),"",IFERROR(_xlfn.LET(_xlpm.t,SUBSTITUTE(UPPER(H763),"م","M"),_xlpm.u,SUBSTITUTE(_xlpm.t,"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63" s="12"/>
      <c r="G763" s="13" t="str">
        <f>IF(B763="","",IF(M763,"⚠ Duplicate (not counted)",IF(AND(I763="",D763="",E763=""),"— ignored",IF(C763="","⚠ Time",IF(D763="","⚠ Plant",IF(E763="","⚠ Quantity",IF(AND(ISNUMBER(L763),COUNTIF(L$1:L762,L763)&gt;0),"⚠ Same serial "&amp;L763,IF(AND(ISNUMBER(L763),L763&gt;MIN($L$2:$L$1001),COUNTIF($L$2:$L$1001,L763-1)=0,COUNTIF($L$2:$L$1001,L763-2)&lt;2),"⚠ Missing serial "&amp;(L763-1),IF(AND(MAX(K$1:K762)&gt;0,N(K763)-MAX(K$1:K762)&gt;180),"⚠ Gap &gt; 3h",IF(C763-I763&gt;=0.99,"next day",IF(C763-I763&gt;0.4,"12h → 24h","")))))))))))</f>
        <v/>
      </c>
      <c r="H763" s="4" t="str">
        <f t="shared" si="55"/>
        <v/>
      </c>
      <c r="I763" s="5" t="str">
        <f t="shared" si="56"/>
        <v/>
      </c>
      <c r="J763" s="6">
        <f t="shared" si="57"/>
        <v>0</v>
      </c>
      <c r="K763" s="4" t="str">
        <f t="shared" si="58"/>
        <v/>
      </c>
      <c r="L763" s="4" t="str">
        <f t="shared" si="59"/>
        <v/>
      </c>
      <c r="M763" s="4" t="b" cm="1">
        <f t="array" ref="M763">IF(H763="",FALSE,SUMPRODUCT(--(H$1:H762=H763))&gt;0)</f>
        <v>0</v>
      </c>
    </row>
    <row r="764" spans="1:13" x14ac:dyDescent="0.25">
      <c r="A764" s="9" t="str">
        <f>IF(OR(B764="",M764,G764="— ignored"),"",MAX(A$1:A763)+1)</f>
        <v/>
      </c>
      <c r="B764" s="10"/>
      <c r="C764" s="11" t="str">
        <f>IF(I764="","",ROUND((I764+0.5*MAX(0,CEILING(ROUND((MAX(C$1:C763)-1/48-I764)/0.5,6),1)))*1440,0)/1440)</f>
        <v/>
      </c>
      <c r="D764" s="9" t="str" cm="1">
        <f t="array" ref="D764">IF(H764="","",IFERROR(INDEX(Log!$C$19:$G$19,VALUE(MID(H764,FIND("#",H764)+1,1))),""))</f>
        <v/>
      </c>
      <c r="E764" s="9" t="str" cm="1">
        <f t="array" ref="E764">IF(OR(H764="",M764),"",IFERROR(_xlfn.LET(_xlpm.t,SUBSTITUTE(UPPER(H764),"م","M"),_xlpm.u,SUBSTITUTE(_xlpm.t,"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64" s="12"/>
      <c r="G764" s="13" t="str">
        <f>IF(B764="","",IF(M764,"⚠ Duplicate (not counted)",IF(AND(I764="",D764="",E764=""),"— ignored",IF(C764="","⚠ Time",IF(D764="","⚠ Plant",IF(E764="","⚠ Quantity",IF(AND(ISNUMBER(L764),COUNTIF(L$1:L763,L764)&gt;0),"⚠ Same serial "&amp;L764,IF(AND(ISNUMBER(L764),L764&gt;MIN($L$2:$L$1001),COUNTIF($L$2:$L$1001,L764-1)=0,COUNTIF($L$2:$L$1001,L764-2)&lt;2),"⚠ Missing serial "&amp;(L764-1),IF(AND(MAX(K$1:K763)&gt;0,N(K764)-MAX(K$1:K763)&gt;180),"⚠ Gap &gt; 3h",IF(C764-I764&gt;=0.99,"next day",IF(C764-I764&gt;0.4,"12h → 24h","")))))))))))</f>
        <v/>
      </c>
      <c r="H764" s="4" t="str">
        <f t="shared" si="55"/>
        <v/>
      </c>
      <c r="I764" s="5" t="str">
        <f t="shared" si="56"/>
        <v/>
      </c>
      <c r="J764" s="6">
        <f t="shared" si="57"/>
        <v>0</v>
      </c>
      <c r="K764" s="4" t="str">
        <f t="shared" si="58"/>
        <v/>
      </c>
      <c r="L764" s="4" t="str">
        <f t="shared" si="59"/>
        <v/>
      </c>
      <c r="M764" s="4" t="b" cm="1">
        <f t="array" ref="M764">IF(H764="",FALSE,SUMPRODUCT(--(H$1:H763=H764))&gt;0)</f>
        <v>0</v>
      </c>
    </row>
    <row r="765" spans="1:13" x14ac:dyDescent="0.25">
      <c r="A765" s="9" t="str">
        <f>IF(OR(B765="",M765,G765="— ignored"),"",MAX(A$1:A764)+1)</f>
        <v/>
      </c>
      <c r="B765" s="10"/>
      <c r="C765" s="11" t="str">
        <f>IF(I765="","",ROUND((I765+0.5*MAX(0,CEILING(ROUND((MAX(C$1:C764)-1/48-I765)/0.5,6),1)))*1440,0)/1440)</f>
        <v/>
      </c>
      <c r="D765" s="9" t="str" cm="1">
        <f t="array" ref="D765">IF(H765="","",IFERROR(INDEX(Log!$C$19:$G$19,VALUE(MID(H765,FIND("#",H765)+1,1))),""))</f>
        <v/>
      </c>
      <c r="E765" s="9" t="str" cm="1">
        <f t="array" ref="E765">IF(OR(H765="",M765),"",IFERROR(_xlfn.LET(_xlpm.t,SUBSTITUTE(UPPER(H765),"م","M"),_xlpm.u,SUBSTITUTE(_xlpm.t,"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65" s="12"/>
      <c r="G765" s="13" t="str">
        <f>IF(B765="","",IF(M765,"⚠ Duplicate (not counted)",IF(AND(I765="",D765="",E765=""),"— ignored",IF(C765="","⚠ Time",IF(D765="","⚠ Plant",IF(E765="","⚠ Quantity",IF(AND(ISNUMBER(L765),COUNTIF(L$1:L764,L765)&gt;0),"⚠ Same serial "&amp;L765,IF(AND(ISNUMBER(L765),L765&gt;MIN($L$2:$L$1001),COUNTIF($L$2:$L$1001,L765-1)=0,COUNTIF($L$2:$L$1001,L765-2)&lt;2),"⚠ Missing serial "&amp;(L765-1),IF(AND(MAX(K$1:K764)&gt;0,N(K765)-MAX(K$1:K764)&gt;180),"⚠ Gap &gt; 3h",IF(C765-I765&gt;=0.99,"next day",IF(C765-I765&gt;0.4,"12h → 24h","")))))))))))</f>
        <v/>
      </c>
      <c r="H765" s="4" t="str">
        <f t="shared" si="55"/>
        <v/>
      </c>
      <c r="I765" s="5" t="str">
        <f t="shared" si="56"/>
        <v/>
      </c>
      <c r="J765" s="6">
        <f t="shared" si="57"/>
        <v>0</v>
      </c>
      <c r="K765" s="4" t="str">
        <f t="shared" si="58"/>
        <v/>
      </c>
      <c r="L765" s="4" t="str">
        <f t="shared" si="59"/>
        <v/>
      </c>
      <c r="M765" s="4" t="b" cm="1">
        <f t="array" ref="M765">IF(H765="",FALSE,SUMPRODUCT(--(H$1:H764=H765))&gt;0)</f>
        <v>0</v>
      </c>
    </row>
    <row r="766" spans="1:13" x14ac:dyDescent="0.25">
      <c r="A766" s="9" t="str">
        <f>IF(OR(B766="",M766,G766="— ignored"),"",MAX(A$1:A765)+1)</f>
        <v/>
      </c>
      <c r="B766" s="10"/>
      <c r="C766" s="11" t="str">
        <f>IF(I766="","",ROUND((I766+0.5*MAX(0,CEILING(ROUND((MAX(C$1:C765)-1/48-I766)/0.5,6),1)))*1440,0)/1440)</f>
        <v/>
      </c>
      <c r="D766" s="9" t="str" cm="1">
        <f t="array" ref="D766">IF(H766="","",IFERROR(INDEX(Log!$C$19:$G$19,VALUE(MID(H766,FIND("#",H766)+1,1))),""))</f>
        <v/>
      </c>
      <c r="E766" s="9" t="str" cm="1">
        <f t="array" ref="E766">IF(OR(H766="",M766),"",IFERROR(_xlfn.LET(_xlpm.t,SUBSTITUTE(UPPER(H766),"م","M"),_xlpm.u,SUBSTITUTE(_xlpm.t,"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66" s="12"/>
      <c r="G766" s="13" t="str">
        <f>IF(B766="","",IF(M766,"⚠ Duplicate (not counted)",IF(AND(I766="",D766="",E766=""),"— ignored",IF(C766="","⚠ Time",IF(D766="","⚠ Plant",IF(E766="","⚠ Quantity",IF(AND(ISNUMBER(L766),COUNTIF(L$1:L765,L766)&gt;0),"⚠ Same serial "&amp;L766,IF(AND(ISNUMBER(L766),L766&gt;MIN($L$2:$L$1001),COUNTIF($L$2:$L$1001,L766-1)=0,COUNTIF($L$2:$L$1001,L766-2)&lt;2),"⚠ Missing serial "&amp;(L766-1),IF(AND(MAX(K$1:K765)&gt;0,N(K766)-MAX(K$1:K765)&gt;180),"⚠ Gap &gt; 3h",IF(C766-I766&gt;=0.99,"next day",IF(C766-I766&gt;0.4,"12h → 24h","")))))))))))</f>
        <v/>
      </c>
      <c r="H766" s="4" t="str">
        <f t="shared" si="55"/>
        <v/>
      </c>
      <c r="I766" s="5" t="str">
        <f t="shared" si="56"/>
        <v/>
      </c>
      <c r="J766" s="6">
        <f t="shared" si="57"/>
        <v>0</v>
      </c>
      <c r="K766" s="4" t="str">
        <f t="shared" si="58"/>
        <v/>
      </c>
      <c r="L766" s="4" t="str">
        <f t="shared" si="59"/>
        <v/>
      </c>
      <c r="M766" s="4" t="b" cm="1">
        <f t="array" ref="M766">IF(H766="",FALSE,SUMPRODUCT(--(H$1:H765=H766))&gt;0)</f>
        <v>0</v>
      </c>
    </row>
    <row r="767" spans="1:13" x14ac:dyDescent="0.25">
      <c r="A767" s="9" t="str">
        <f>IF(OR(B767="",M767,G767="— ignored"),"",MAX(A$1:A766)+1)</f>
        <v/>
      </c>
      <c r="B767" s="10"/>
      <c r="C767" s="11" t="str">
        <f>IF(I767="","",ROUND((I767+0.5*MAX(0,CEILING(ROUND((MAX(C$1:C766)-1/48-I767)/0.5,6),1)))*1440,0)/1440)</f>
        <v/>
      </c>
      <c r="D767" s="9" t="str" cm="1">
        <f t="array" ref="D767">IF(H767="","",IFERROR(INDEX(Log!$C$19:$G$19,VALUE(MID(H767,FIND("#",H767)+1,1))),""))</f>
        <v/>
      </c>
      <c r="E767" s="9" t="str" cm="1">
        <f t="array" ref="E767">IF(OR(H767="",M767),"",IFERROR(_xlfn.LET(_xlpm.t,SUBSTITUTE(UPPER(H767),"م","M"),_xlpm.u,SUBSTITUTE(_xlpm.t,"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67" s="12"/>
      <c r="G767" s="13" t="str">
        <f>IF(B767="","",IF(M767,"⚠ Duplicate (not counted)",IF(AND(I767="",D767="",E767=""),"— ignored",IF(C767="","⚠ Time",IF(D767="","⚠ Plant",IF(E767="","⚠ Quantity",IF(AND(ISNUMBER(L767),COUNTIF(L$1:L766,L767)&gt;0),"⚠ Same serial "&amp;L767,IF(AND(ISNUMBER(L767),L767&gt;MIN($L$2:$L$1001),COUNTIF($L$2:$L$1001,L767-1)=0,COUNTIF($L$2:$L$1001,L767-2)&lt;2),"⚠ Missing serial "&amp;(L767-1),IF(AND(MAX(K$1:K766)&gt;0,N(K767)-MAX(K$1:K766)&gt;180),"⚠ Gap &gt; 3h",IF(C767-I767&gt;=0.99,"next day",IF(C767-I767&gt;0.4,"12h → 24h","")))))))))))</f>
        <v/>
      </c>
      <c r="H767" s="4" t="str">
        <f t="shared" si="55"/>
        <v/>
      </c>
      <c r="I767" s="5" t="str">
        <f t="shared" si="56"/>
        <v/>
      </c>
      <c r="J767" s="6">
        <f t="shared" si="57"/>
        <v>0</v>
      </c>
      <c r="K767" s="4" t="str">
        <f t="shared" si="58"/>
        <v/>
      </c>
      <c r="L767" s="4" t="str">
        <f t="shared" si="59"/>
        <v/>
      </c>
      <c r="M767" s="4" t="b" cm="1">
        <f t="array" ref="M767">IF(H767="",FALSE,SUMPRODUCT(--(H$1:H766=H767))&gt;0)</f>
        <v>0</v>
      </c>
    </row>
    <row r="768" spans="1:13" x14ac:dyDescent="0.25">
      <c r="A768" s="9" t="str">
        <f>IF(OR(B768="",M768,G768="— ignored"),"",MAX(A$1:A767)+1)</f>
        <v/>
      </c>
      <c r="B768" s="10"/>
      <c r="C768" s="11" t="str">
        <f>IF(I768="","",ROUND((I768+0.5*MAX(0,CEILING(ROUND((MAX(C$1:C767)-1/48-I768)/0.5,6),1)))*1440,0)/1440)</f>
        <v/>
      </c>
      <c r="D768" s="9" t="str" cm="1">
        <f t="array" ref="D768">IF(H768="","",IFERROR(INDEX(Log!$C$19:$G$19,VALUE(MID(H768,FIND("#",H768)+1,1))),""))</f>
        <v/>
      </c>
      <c r="E768" s="9" t="str" cm="1">
        <f t="array" ref="E768">IF(OR(H768="",M768),"",IFERROR(_xlfn.LET(_xlpm.t,SUBSTITUTE(UPPER(H768),"م","M"),_xlpm.u,SUBSTITUTE(_xlpm.t,"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68" s="12"/>
      <c r="G768" s="13" t="str">
        <f>IF(B768="","",IF(M768,"⚠ Duplicate (not counted)",IF(AND(I768="",D768="",E768=""),"— ignored",IF(C768="","⚠ Time",IF(D768="","⚠ Plant",IF(E768="","⚠ Quantity",IF(AND(ISNUMBER(L768),COUNTIF(L$1:L767,L768)&gt;0),"⚠ Same serial "&amp;L768,IF(AND(ISNUMBER(L768),L768&gt;MIN($L$2:$L$1001),COUNTIF($L$2:$L$1001,L768-1)=0,COUNTIF($L$2:$L$1001,L768-2)&lt;2),"⚠ Missing serial "&amp;(L768-1),IF(AND(MAX(K$1:K767)&gt;0,N(K768)-MAX(K$1:K767)&gt;180),"⚠ Gap &gt; 3h",IF(C768-I768&gt;=0.99,"next day",IF(C768-I768&gt;0.4,"12h → 24h","")))))))))))</f>
        <v/>
      </c>
      <c r="H768" s="4" t="str">
        <f t="shared" si="55"/>
        <v/>
      </c>
      <c r="I768" s="5" t="str">
        <f t="shared" si="56"/>
        <v/>
      </c>
      <c r="J768" s="6">
        <f t="shared" si="57"/>
        <v>0</v>
      </c>
      <c r="K768" s="4" t="str">
        <f t="shared" si="58"/>
        <v/>
      </c>
      <c r="L768" s="4" t="str">
        <f t="shared" si="59"/>
        <v/>
      </c>
      <c r="M768" s="4" t="b" cm="1">
        <f t="array" ref="M768">IF(H768="",FALSE,SUMPRODUCT(--(H$1:H767=H768))&gt;0)</f>
        <v>0</v>
      </c>
    </row>
    <row r="769" spans="1:13" x14ac:dyDescent="0.25">
      <c r="A769" s="9" t="str">
        <f>IF(OR(B769="",M769,G769="— ignored"),"",MAX(A$1:A768)+1)</f>
        <v/>
      </c>
      <c r="B769" s="10"/>
      <c r="C769" s="11" t="str">
        <f>IF(I769="","",ROUND((I769+0.5*MAX(0,CEILING(ROUND((MAX(C$1:C768)-1/48-I769)/0.5,6),1)))*1440,0)/1440)</f>
        <v/>
      </c>
      <c r="D769" s="9" t="str" cm="1">
        <f t="array" ref="D769">IF(H769="","",IFERROR(INDEX(Log!$C$19:$G$19,VALUE(MID(H769,FIND("#",H769)+1,1))),""))</f>
        <v/>
      </c>
      <c r="E769" s="9" t="str" cm="1">
        <f t="array" ref="E769">IF(OR(H769="",M769),"",IFERROR(_xlfn.LET(_xlpm.t,SUBSTITUTE(UPPER(H769),"م","M"),_xlpm.u,SUBSTITUTE(_xlpm.t,"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69" s="12"/>
      <c r="G769" s="13" t="str">
        <f>IF(B769="","",IF(M769,"⚠ Duplicate (not counted)",IF(AND(I769="",D769="",E769=""),"— ignored",IF(C769="","⚠ Time",IF(D769="","⚠ Plant",IF(E769="","⚠ Quantity",IF(AND(ISNUMBER(L769),COUNTIF(L$1:L768,L769)&gt;0),"⚠ Same serial "&amp;L769,IF(AND(ISNUMBER(L769),L769&gt;MIN($L$2:$L$1001),COUNTIF($L$2:$L$1001,L769-1)=0,COUNTIF($L$2:$L$1001,L769-2)&lt;2),"⚠ Missing serial "&amp;(L769-1),IF(AND(MAX(K$1:K768)&gt;0,N(K769)-MAX(K$1:K768)&gt;180),"⚠ Gap &gt; 3h",IF(C769-I769&gt;=0.99,"next day",IF(C769-I769&gt;0.4,"12h → 24h","")))))))))))</f>
        <v/>
      </c>
      <c r="H769" s="4" t="str">
        <f t="shared" si="55"/>
        <v/>
      </c>
      <c r="I769" s="5" t="str">
        <f t="shared" si="56"/>
        <v/>
      </c>
      <c r="J769" s="6">
        <f t="shared" si="57"/>
        <v>0</v>
      </c>
      <c r="K769" s="4" t="str">
        <f t="shared" si="58"/>
        <v/>
      </c>
      <c r="L769" s="4" t="str">
        <f t="shared" si="59"/>
        <v/>
      </c>
      <c r="M769" s="4" t="b" cm="1">
        <f t="array" ref="M769">IF(H769="",FALSE,SUMPRODUCT(--(H$1:H768=H769))&gt;0)</f>
        <v>0</v>
      </c>
    </row>
    <row r="770" spans="1:13" x14ac:dyDescent="0.25">
      <c r="A770" s="9" t="str">
        <f>IF(OR(B770="",M770,G770="— ignored"),"",MAX(A$1:A769)+1)</f>
        <v/>
      </c>
      <c r="B770" s="10"/>
      <c r="C770" s="11" t="str">
        <f>IF(I770="","",ROUND((I770+0.5*MAX(0,CEILING(ROUND((MAX(C$1:C769)-1/48-I770)/0.5,6),1)))*1440,0)/1440)</f>
        <v/>
      </c>
      <c r="D770" s="9" t="str" cm="1">
        <f t="array" ref="D770">IF(H770="","",IFERROR(INDEX(Log!$C$19:$G$19,VALUE(MID(H770,FIND("#",H770)+1,1))),""))</f>
        <v/>
      </c>
      <c r="E770" s="9" t="str" cm="1">
        <f t="array" ref="E770">IF(OR(H770="",M770),"",IFERROR(_xlfn.LET(_xlpm.t,SUBSTITUTE(UPPER(H770),"م","M"),_xlpm.u,SUBSTITUTE(_xlpm.t,"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70" s="12"/>
      <c r="G770" s="13" t="str">
        <f>IF(B770="","",IF(M770,"⚠ Duplicate (not counted)",IF(AND(I770="",D770="",E770=""),"— ignored",IF(C770="","⚠ Time",IF(D770="","⚠ Plant",IF(E770="","⚠ Quantity",IF(AND(ISNUMBER(L770),COUNTIF(L$1:L769,L770)&gt;0),"⚠ Same serial "&amp;L770,IF(AND(ISNUMBER(L770),L770&gt;MIN($L$2:$L$1001),COUNTIF($L$2:$L$1001,L770-1)=0,COUNTIF($L$2:$L$1001,L770-2)&lt;2),"⚠ Missing serial "&amp;(L770-1),IF(AND(MAX(K$1:K769)&gt;0,N(K770)-MAX(K$1:K769)&gt;180),"⚠ Gap &gt; 3h",IF(C770-I770&gt;=0.99,"next day",IF(C770-I770&gt;0.4,"12h → 24h","")))))))))))</f>
        <v/>
      </c>
      <c r="H770" s="4" t="str">
        <f t="shared" ref="H770:H833" si="60">IF(B770="","",_xlfn.LET(_xlpm.t,TRIM(B770),IF(LEFT(_xlpm.t,1)="[",IFERROR(TRIM(MID(_xlpm.t,FIND(": ",_xlpm.t,FIND("]",_xlpm.t))+2,500)),_xlpm.t),_xlpm.t)))</f>
        <v/>
      </c>
      <c r="I770" s="5" t="str">
        <f t="shared" ref="I770:I833" si="61">IF(H770="","",IFERROR(TIMEVALUE(TRIM(SUBSTITUTE(SUBSTITUTE(MID(H770,SEARCH(":",H770)-2,5),".",""),"*",""))),""))</f>
        <v/>
      </c>
      <c r="J770" s="6">
        <f t="shared" ref="J770:J833" si="62">IF(OR(B770="",F770="",M770),0,IF(ISNUMBER(F770),F770,N(E770)))</f>
        <v>0</v>
      </c>
      <c r="K770" s="4" t="str">
        <f t="shared" ref="K770:K833" si="63">IF(OR(C770="",M770),"",ROUND(C770*1440,0))</f>
        <v/>
      </c>
      <c r="L770" s="4" t="str">
        <f t="shared" ref="L770:L833" si="64">IF(OR(H770="",AND(I770="",D770="")),"",IFERROR(_xlfn.LET(_xlpm.t,TRIM(SUBSTITUTE(SUBSTITUTE(H770,"*",""),"_","")),VALUE(SUBSTITUTE(LEFT(_xlpm.t,FIND(" ",_xlpm.t&amp;" ")-1),".",""))),""))</f>
        <v/>
      </c>
      <c r="M770" s="4" t="b" cm="1">
        <f t="array" ref="M770">IF(H770="",FALSE,SUMPRODUCT(--(H$1:H769=H770))&gt;0)</f>
        <v>0</v>
      </c>
    </row>
    <row r="771" spans="1:13" x14ac:dyDescent="0.25">
      <c r="A771" s="9" t="str">
        <f>IF(OR(B771="",M771,G771="— ignored"),"",MAX(A$1:A770)+1)</f>
        <v/>
      </c>
      <c r="B771" s="10"/>
      <c r="C771" s="11" t="str">
        <f>IF(I771="","",ROUND((I771+0.5*MAX(0,CEILING(ROUND((MAX(C$1:C770)-1/48-I771)/0.5,6),1)))*1440,0)/1440)</f>
        <v/>
      </c>
      <c r="D771" s="9" t="str" cm="1">
        <f t="array" ref="D771">IF(H771="","",IFERROR(INDEX(Log!$C$19:$G$19,VALUE(MID(H771,FIND("#",H771)+1,1))),""))</f>
        <v/>
      </c>
      <c r="E771" s="9" t="str" cm="1">
        <f t="array" ref="E771">IF(OR(H771="",M771),"",IFERROR(_xlfn.LET(_xlpm.t,SUBSTITUTE(UPPER(H771),"م","M"),_xlpm.u,SUBSTITUTE(_xlpm.t,"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71" s="12"/>
      <c r="G771" s="13" t="str">
        <f>IF(B771="","",IF(M771,"⚠ Duplicate (not counted)",IF(AND(I771="",D771="",E771=""),"— ignored",IF(C771="","⚠ Time",IF(D771="","⚠ Plant",IF(E771="","⚠ Quantity",IF(AND(ISNUMBER(L771),COUNTIF(L$1:L770,L771)&gt;0),"⚠ Same serial "&amp;L771,IF(AND(ISNUMBER(L771),L771&gt;MIN($L$2:$L$1001),COUNTIF($L$2:$L$1001,L771-1)=0,COUNTIF($L$2:$L$1001,L771-2)&lt;2),"⚠ Missing serial "&amp;(L771-1),IF(AND(MAX(K$1:K770)&gt;0,N(K771)-MAX(K$1:K770)&gt;180),"⚠ Gap &gt; 3h",IF(C771-I771&gt;=0.99,"next day",IF(C771-I771&gt;0.4,"12h → 24h","")))))))))))</f>
        <v/>
      </c>
      <c r="H771" s="4" t="str">
        <f t="shared" si="60"/>
        <v/>
      </c>
      <c r="I771" s="5" t="str">
        <f t="shared" si="61"/>
        <v/>
      </c>
      <c r="J771" s="6">
        <f t="shared" si="62"/>
        <v>0</v>
      </c>
      <c r="K771" s="4" t="str">
        <f t="shared" si="63"/>
        <v/>
      </c>
      <c r="L771" s="4" t="str">
        <f t="shared" si="64"/>
        <v/>
      </c>
      <c r="M771" s="4" t="b" cm="1">
        <f t="array" ref="M771">IF(H771="",FALSE,SUMPRODUCT(--(H$1:H770=H771))&gt;0)</f>
        <v>0</v>
      </c>
    </row>
    <row r="772" spans="1:13" x14ac:dyDescent="0.25">
      <c r="A772" s="9" t="str">
        <f>IF(OR(B772="",M772,G772="— ignored"),"",MAX(A$1:A771)+1)</f>
        <v/>
      </c>
      <c r="B772" s="10"/>
      <c r="C772" s="11" t="str">
        <f>IF(I772="","",ROUND((I772+0.5*MAX(0,CEILING(ROUND((MAX(C$1:C771)-1/48-I772)/0.5,6),1)))*1440,0)/1440)</f>
        <v/>
      </c>
      <c r="D772" s="9" t="str" cm="1">
        <f t="array" ref="D772">IF(H772="","",IFERROR(INDEX(Log!$C$19:$G$19,VALUE(MID(H772,FIND("#",H772)+1,1))),""))</f>
        <v/>
      </c>
      <c r="E772" s="9" t="str" cm="1">
        <f t="array" ref="E772">IF(OR(H772="",M772),"",IFERROR(_xlfn.LET(_xlpm.t,SUBSTITUTE(UPPER(H772),"م","M"),_xlpm.u,SUBSTITUTE(_xlpm.t,"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72" s="12"/>
      <c r="G772" s="13" t="str">
        <f>IF(B772="","",IF(M772,"⚠ Duplicate (not counted)",IF(AND(I772="",D772="",E772=""),"— ignored",IF(C772="","⚠ Time",IF(D772="","⚠ Plant",IF(E772="","⚠ Quantity",IF(AND(ISNUMBER(L772),COUNTIF(L$1:L771,L772)&gt;0),"⚠ Same serial "&amp;L772,IF(AND(ISNUMBER(L772),L772&gt;MIN($L$2:$L$1001),COUNTIF($L$2:$L$1001,L772-1)=0,COUNTIF($L$2:$L$1001,L772-2)&lt;2),"⚠ Missing serial "&amp;(L772-1),IF(AND(MAX(K$1:K771)&gt;0,N(K772)-MAX(K$1:K771)&gt;180),"⚠ Gap &gt; 3h",IF(C772-I772&gt;=0.99,"next day",IF(C772-I772&gt;0.4,"12h → 24h","")))))))))))</f>
        <v/>
      </c>
      <c r="H772" s="4" t="str">
        <f t="shared" si="60"/>
        <v/>
      </c>
      <c r="I772" s="5" t="str">
        <f t="shared" si="61"/>
        <v/>
      </c>
      <c r="J772" s="6">
        <f t="shared" si="62"/>
        <v>0</v>
      </c>
      <c r="K772" s="4" t="str">
        <f t="shared" si="63"/>
        <v/>
      </c>
      <c r="L772" s="4" t="str">
        <f t="shared" si="64"/>
        <v/>
      </c>
      <c r="M772" s="4" t="b" cm="1">
        <f t="array" ref="M772">IF(H772="",FALSE,SUMPRODUCT(--(H$1:H771=H772))&gt;0)</f>
        <v>0</v>
      </c>
    </row>
    <row r="773" spans="1:13" x14ac:dyDescent="0.25">
      <c r="A773" s="9" t="str">
        <f>IF(OR(B773="",M773,G773="— ignored"),"",MAX(A$1:A772)+1)</f>
        <v/>
      </c>
      <c r="B773" s="10"/>
      <c r="C773" s="11" t="str">
        <f>IF(I773="","",ROUND((I773+0.5*MAX(0,CEILING(ROUND((MAX(C$1:C772)-1/48-I773)/0.5,6),1)))*1440,0)/1440)</f>
        <v/>
      </c>
      <c r="D773" s="9" t="str" cm="1">
        <f t="array" ref="D773">IF(H773="","",IFERROR(INDEX(Log!$C$19:$G$19,VALUE(MID(H773,FIND("#",H773)+1,1))),""))</f>
        <v/>
      </c>
      <c r="E773" s="9" t="str" cm="1">
        <f t="array" ref="E773">IF(OR(H773="",M773),"",IFERROR(_xlfn.LET(_xlpm.t,SUBSTITUTE(UPPER(H773),"م","M"),_xlpm.u,SUBSTITUTE(_xlpm.t,"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73" s="12"/>
      <c r="G773" s="13" t="str">
        <f>IF(B773="","",IF(M773,"⚠ Duplicate (not counted)",IF(AND(I773="",D773="",E773=""),"— ignored",IF(C773="","⚠ Time",IF(D773="","⚠ Plant",IF(E773="","⚠ Quantity",IF(AND(ISNUMBER(L773),COUNTIF(L$1:L772,L773)&gt;0),"⚠ Same serial "&amp;L773,IF(AND(ISNUMBER(L773),L773&gt;MIN($L$2:$L$1001),COUNTIF($L$2:$L$1001,L773-1)=0,COUNTIF($L$2:$L$1001,L773-2)&lt;2),"⚠ Missing serial "&amp;(L773-1),IF(AND(MAX(K$1:K772)&gt;0,N(K773)-MAX(K$1:K772)&gt;180),"⚠ Gap &gt; 3h",IF(C773-I773&gt;=0.99,"next day",IF(C773-I773&gt;0.4,"12h → 24h","")))))))))))</f>
        <v/>
      </c>
      <c r="H773" s="4" t="str">
        <f t="shared" si="60"/>
        <v/>
      </c>
      <c r="I773" s="5" t="str">
        <f t="shared" si="61"/>
        <v/>
      </c>
      <c r="J773" s="6">
        <f t="shared" si="62"/>
        <v>0</v>
      </c>
      <c r="K773" s="4" t="str">
        <f t="shared" si="63"/>
        <v/>
      </c>
      <c r="L773" s="4" t="str">
        <f t="shared" si="64"/>
        <v/>
      </c>
      <c r="M773" s="4" t="b" cm="1">
        <f t="array" ref="M773">IF(H773="",FALSE,SUMPRODUCT(--(H$1:H772=H773))&gt;0)</f>
        <v>0</v>
      </c>
    </row>
    <row r="774" spans="1:13" x14ac:dyDescent="0.25">
      <c r="A774" s="9" t="str">
        <f>IF(OR(B774="",M774,G774="— ignored"),"",MAX(A$1:A773)+1)</f>
        <v/>
      </c>
      <c r="B774" s="10"/>
      <c r="C774" s="11" t="str">
        <f>IF(I774="","",ROUND((I774+0.5*MAX(0,CEILING(ROUND((MAX(C$1:C773)-1/48-I774)/0.5,6),1)))*1440,0)/1440)</f>
        <v/>
      </c>
      <c r="D774" s="9" t="str" cm="1">
        <f t="array" ref="D774">IF(H774="","",IFERROR(INDEX(Log!$C$19:$G$19,VALUE(MID(H774,FIND("#",H774)+1,1))),""))</f>
        <v/>
      </c>
      <c r="E774" s="9" t="str" cm="1">
        <f t="array" ref="E774">IF(OR(H774="",M774),"",IFERROR(_xlfn.LET(_xlpm.t,SUBSTITUTE(UPPER(H774),"م","M"),_xlpm.u,SUBSTITUTE(_xlpm.t,"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74" s="12"/>
      <c r="G774" s="13" t="str">
        <f>IF(B774="","",IF(M774,"⚠ Duplicate (not counted)",IF(AND(I774="",D774="",E774=""),"— ignored",IF(C774="","⚠ Time",IF(D774="","⚠ Plant",IF(E774="","⚠ Quantity",IF(AND(ISNUMBER(L774),COUNTIF(L$1:L773,L774)&gt;0),"⚠ Same serial "&amp;L774,IF(AND(ISNUMBER(L774),L774&gt;MIN($L$2:$L$1001),COUNTIF($L$2:$L$1001,L774-1)=0,COUNTIF($L$2:$L$1001,L774-2)&lt;2),"⚠ Missing serial "&amp;(L774-1),IF(AND(MAX(K$1:K773)&gt;0,N(K774)-MAX(K$1:K773)&gt;180),"⚠ Gap &gt; 3h",IF(C774-I774&gt;=0.99,"next day",IF(C774-I774&gt;0.4,"12h → 24h","")))))))))))</f>
        <v/>
      </c>
      <c r="H774" s="4" t="str">
        <f t="shared" si="60"/>
        <v/>
      </c>
      <c r="I774" s="5" t="str">
        <f t="shared" si="61"/>
        <v/>
      </c>
      <c r="J774" s="6">
        <f t="shared" si="62"/>
        <v>0</v>
      </c>
      <c r="K774" s="4" t="str">
        <f t="shared" si="63"/>
        <v/>
      </c>
      <c r="L774" s="4" t="str">
        <f t="shared" si="64"/>
        <v/>
      </c>
      <c r="M774" s="4" t="b" cm="1">
        <f t="array" ref="M774">IF(H774="",FALSE,SUMPRODUCT(--(H$1:H773=H774))&gt;0)</f>
        <v>0</v>
      </c>
    </row>
    <row r="775" spans="1:13" x14ac:dyDescent="0.25">
      <c r="A775" s="9" t="str">
        <f>IF(OR(B775="",M775,G775="— ignored"),"",MAX(A$1:A774)+1)</f>
        <v/>
      </c>
      <c r="B775" s="10"/>
      <c r="C775" s="11" t="str">
        <f>IF(I775="","",ROUND((I775+0.5*MAX(0,CEILING(ROUND((MAX(C$1:C774)-1/48-I775)/0.5,6),1)))*1440,0)/1440)</f>
        <v/>
      </c>
      <c r="D775" s="9" t="str" cm="1">
        <f t="array" ref="D775">IF(H775="","",IFERROR(INDEX(Log!$C$19:$G$19,VALUE(MID(H775,FIND("#",H775)+1,1))),""))</f>
        <v/>
      </c>
      <c r="E775" s="9" t="str" cm="1">
        <f t="array" ref="E775">IF(OR(H775="",M775),"",IFERROR(_xlfn.LET(_xlpm.t,SUBSTITUTE(UPPER(H775),"م","M"),_xlpm.u,SUBSTITUTE(_xlpm.t,"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75" s="12"/>
      <c r="G775" s="13" t="str">
        <f>IF(B775="","",IF(M775,"⚠ Duplicate (not counted)",IF(AND(I775="",D775="",E775=""),"— ignored",IF(C775="","⚠ Time",IF(D775="","⚠ Plant",IF(E775="","⚠ Quantity",IF(AND(ISNUMBER(L775),COUNTIF(L$1:L774,L775)&gt;0),"⚠ Same serial "&amp;L775,IF(AND(ISNUMBER(L775),L775&gt;MIN($L$2:$L$1001),COUNTIF($L$2:$L$1001,L775-1)=0,COUNTIF($L$2:$L$1001,L775-2)&lt;2),"⚠ Missing serial "&amp;(L775-1),IF(AND(MAX(K$1:K774)&gt;0,N(K775)-MAX(K$1:K774)&gt;180),"⚠ Gap &gt; 3h",IF(C775-I775&gt;=0.99,"next day",IF(C775-I775&gt;0.4,"12h → 24h","")))))))))))</f>
        <v/>
      </c>
      <c r="H775" s="4" t="str">
        <f t="shared" si="60"/>
        <v/>
      </c>
      <c r="I775" s="5" t="str">
        <f t="shared" si="61"/>
        <v/>
      </c>
      <c r="J775" s="6">
        <f t="shared" si="62"/>
        <v>0</v>
      </c>
      <c r="K775" s="4" t="str">
        <f t="shared" si="63"/>
        <v/>
      </c>
      <c r="L775" s="4" t="str">
        <f t="shared" si="64"/>
        <v/>
      </c>
      <c r="M775" s="4" t="b" cm="1">
        <f t="array" ref="M775">IF(H775="",FALSE,SUMPRODUCT(--(H$1:H774=H775))&gt;0)</f>
        <v>0</v>
      </c>
    </row>
    <row r="776" spans="1:13" x14ac:dyDescent="0.25">
      <c r="A776" s="9" t="str">
        <f>IF(OR(B776="",M776,G776="— ignored"),"",MAX(A$1:A775)+1)</f>
        <v/>
      </c>
      <c r="B776" s="10"/>
      <c r="C776" s="11" t="str">
        <f>IF(I776="","",ROUND((I776+0.5*MAX(0,CEILING(ROUND((MAX(C$1:C775)-1/48-I776)/0.5,6),1)))*1440,0)/1440)</f>
        <v/>
      </c>
      <c r="D776" s="9" t="str" cm="1">
        <f t="array" ref="D776">IF(H776="","",IFERROR(INDEX(Log!$C$19:$G$19,VALUE(MID(H776,FIND("#",H776)+1,1))),""))</f>
        <v/>
      </c>
      <c r="E776" s="9" t="str" cm="1">
        <f t="array" ref="E776">IF(OR(H776="",M776),"",IFERROR(_xlfn.LET(_xlpm.t,SUBSTITUTE(UPPER(H776),"م","M"),_xlpm.u,SUBSTITUTE(_xlpm.t,"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76" s="12"/>
      <c r="G776" s="13" t="str">
        <f>IF(B776="","",IF(M776,"⚠ Duplicate (not counted)",IF(AND(I776="",D776="",E776=""),"— ignored",IF(C776="","⚠ Time",IF(D776="","⚠ Plant",IF(E776="","⚠ Quantity",IF(AND(ISNUMBER(L776),COUNTIF(L$1:L775,L776)&gt;0),"⚠ Same serial "&amp;L776,IF(AND(ISNUMBER(L776),L776&gt;MIN($L$2:$L$1001),COUNTIF($L$2:$L$1001,L776-1)=0,COUNTIF($L$2:$L$1001,L776-2)&lt;2),"⚠ Missing serial "&amp;(L776-1),IF(AND(MAX(K$1:K775)&gt;0,N(K776)-MAX(K$1:K775)&gt;180),"⚠ Gap &gt; 3h",IF(C776-I776&gt;=0.99,"next day",IF(C776-I776&gt;0.4,"12h → 24h","")))))))))))</f>
        <v/>
      </c>
      <c r="H776" s="4" t="str">
        <f t="shared" si="60"/>
        <v/>
      </c>
      <c r="I776" s="5" t="str">
        <f t="shared" si="61"/>
        <v/>
      </c>
      <c r="J776" s="6">
        <f t="shared" si="62"/>
        <v>0</v>
      </c>
      <c r="K776" s="4" t="str">
        <f t="shared" si="63"/>
        <v/>
      </c>
      <c r="L776" s="4" t="str">
        <f t="shared" si="64"/>
        <v/>
      </c>
      <c r="M776" s="4" t="b" cm="1">
        <f t="array" ref="M776">IF(H776="",FALSE,SUMPRODUCT(--(H$1:H775=H776))&gt;0)</f>
        <v>0</v>
      </c>
    </row>
    <row r="777" spans="1:13" x14ac:dyDescent="0.25">
      <c r="A777" s="9" t="str">
        <f>IF(OR(B777="",M777,G777="— ignored"),"",MAX(A$1:A776)+1)</f>
        <v/>
      </c>
      <c r="B777" s="10"/>
      <c r="C777" s="11" t="str">
        <f>IF(I777="","",ROUND((I777+0.5*MAX(0,CEILING(ROUND((MAX(C$1:C776)-1/48-I777)/0.5,6),1)))*1440,0)/1440)</f>
        <v/>
      </c>
      <c r="D777" s="9" t="str" cm="1">
        <f t="array" ref="D777">IF(H777="","",IFERROR(INDEX(Log!$C$19:$G$19,VALUE(MID(H777,FIND("#",H777)+1,1))),""))</f>
        <v/>
      </c>
      <c r="E777" s="9" t="str" cm="1">
        <f t="array" ref="E777">IF(OR(H777="",M777),"",IFERROR(_xlfn.LET(_xlpm.t,SUBSTITUTE(UPPER(H777),"م","M"),_xlpm.u,SUBSTITUTE(_xlpm.t,"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77" s="12"/>
      <c r="G777" s="13" t="str">
        <f>IF(B777="","",IF(M777,"⚠ Duplicate (not counted)",IF(AND(I777="",D777="",E777=""),"— ignored",IF(C777="","⚠ Time",IF(D777="","⚠ Plant",IF(E777="","⚠ Quantity",IF(AND(ISNUMBER(L777),COUNTIF(L$1:L776,L777)&gt;0),"⚠ Same serial "&amp;L777,IF(AND(ISNUMBER(L777),L777&gt;MIN($L$2:$L$1001),COUNTIF($L$2:$L$1001,L777-1)=0,COUNTIF($L$2:$L$1001,L777-2)&lt;2),"⚠ Missing serial "&amp;(L777-1),IF(AND(MAX(K$1:K776)&gt;0,N(K777)-MAX(K$1:K776)&gt;180),"⚠ Gap &gt; 3h",IF(C777-I777&gt;=0.99,"next day",IF(C777-I777&gt;0.4,"12h → 24h","")))))))))))</f>
        <v/>
      </c>
      <c r="H777" s="4" t="str">
        <f t="shared" si="60"/>
        <v/>
      </c>
      <c r="I777" s="5" t="str">
        <f t="shared" si="61"/>
        <v/>
      </c>
      <c r="J777" s="6">
        <f t="shared" si="62"/>
        <v>0</v>
      </c>
      <c r="K777" s="4" t="str">
        <f t="shared" si="63"/>
        <v/>
      </c>
      <c r="L777" s="4" t="str">
        <f t="shared" si="64"/>
        <v/>
      </c>
      <c r="M777" s="4" t="b" cm="1">
        <f t="array" ref="M777">IF(H777="",FALSE,SUMPRODUCT(--(H$1:H776=H777))&gt;0)</f>
        <v>0</v>
      </c>
    </row>
    <row r="778" spans="1:13" x14ac:dyDescent="0.25">
      <c r="A778" s="9" t="str">
        <f>IF(OR(B778="",M778,G778="— ignored"),"",MAX(A$1:A777)+1)</f>
        <v/>
      </c>
      <c r="B778" s="10"/>
      <c r="C778" s="11" t="str">
        <f>IF(I778="","",ROUND((I778+0.5*MAX(0,CEILING(ROUND((MAX(C$1:C777)-1/48-I778)/0.5,6),1)))*1440,0)/1440)</f>
        <v/>
      </c>
      <c r="D778" s="9" t="str" cm="1">
        <f t="array" ref="D778">IF(H778="","",IFERROR(INDEX(Log!$C$19:$G$19,VALUE(MID(H778,FIND("#",H778)+1,1))),""))</f>
        <v/>
      </c>
      <c r="E778" s="9" t="str" cm="1">
        <f t="array" ref="E778">IF(OR(H778="",M778),"",IFERROR(_xlfn.LET(_xlpm.t,SUBSTITUTE(UPPER(H778),"م","M"),_xlpm.u,SUBSTITUTE(_xlpm.t,"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78" s="12"/>
      <c r="G778" s="13" t="str">
        <f>IF(B778="","",IF(M778,"⚠ Duplicate (not counted)",IF(AND(I778="",D778="",E778=""),"— ignored",IF(C778="","⚠ Time",IF(D778="","⚠ Plant",IF(E778="","⚠ Quantity",IF(AND(ISNUMBER(L778),COUNTIF(L$1:L777,L778)&gt;0),"⚠ Same serial "&amp;L778,IF(AND(ISNUMBER(L778),L778&gt;MIN($L$2:$L$1001),COUNTIF($L$2:$L$1001,L778-1)=0,COUNTIF($L$2:$L$1001,L778-2)&lt;2),"⚠ Missing serial "&amp;(L778-1),IF(AND(MAX(K$1:K777)&gt;0,N(K778)-MAX(K$1:K777)&gt;180),"⚠ Gap &gt; 3h",IF(C778-I778&gt;=0.99,"next day",IF(C778-I778&gt;0.4,"12h → 24h","")))))))))))</f>
        <v/>
      </c>
      <c r="H778" s="4" t="str">
        <f t="shared" si="60"/>
        <v/>
      </c>
      <c r="I778" s="5" t="str">
        <f t="shared" si="61"/>
        <v/>
      </c>
      <c r="J778" s="6">
        <f t="shared" si="62"/>
        <v>0</v>
      </c>
      <c r="K778" s="4" t="str">
        <f t="shared" si="63"/>
        <v/>
      </c>
      <c r="L778" s="4" t="str">
        <f t="shared" si="64"/>
        <v/>
      </c>
      <c r="M778" s="4" t="b" cm="1">
        <f t="array" ref="M778">IF(H778="",FALSE,SUMPRODUCT(--(H$1:H777=H778))&gt;0)</f>
        <v>0</v>
      </c>
    </row>
    <row r="779" spans="1:13" x14ac:dyDescent="0.25">
      <c r="A779" s="9" t="str">
        <f>IF(OR(B779="",M779,G779="— ignored"),"",MAX(A$1:A778)+1)</f>
        <v/>
      </c>
      <c r="B779" s="10"/>
      <c r="C779" s="11" t="str">
        <f>IF(I779="","",ROUND((I779+0.5*MAX(0,CEILING(ROUND((MAX(C$1:C778)-1/48-I779)/0.5,6),1)))*1440,0)/1440)</f>
        <v/>
      </c>
      <c r="D779" s="9" t="str" cm="1">
        <f t="array" ref="D779">IF(H779="","",IFERROR(INDEX(Log!$C$19:$G$19,VALUE(MID(H779,FIND("#",H779)+1,1))),""))</f>
        <v/>
      </c>
      <c r="E779" s="9" t="str" cm="1">
        <f t="array" ref="E779">IF(OR(H779="",M779),"",IFERROR(_xlfn.LET(_xlpm.t,SUBSTITUTE(UPPER(H779),"م","M"),_xlpm.u,SUBSTITUTE(_xlpm.t,"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79" s="12"/>
      <c r="G779" s="13" t="str">
        <f>IF(B779="","",IF(M779,"⚠ Duplicate (not counted)",IF(AND(I779="",D779="",E779=""),"— ignored",IF(C779="","⚠ Time",IF(D779="","⚠ Plant",IF(E779="","⚠ Quantity",IF(AND(ISNUMBER(L779),COUNTIF(L$1:L778,L779)&gt;0),"⚠ Same serial "&amp;L779,IF(AND(ISNUMBER(L779),L779&gt;MIN($L$2:$L$1001),COUNTIF($L$2:$L$1001,L779-1)=0,COUNTIF($L$2:$L$1001,L779-2)&lt;2),"⚠ Missing serial "&amp;(L779-1),IF(AND(MAX(K$1:K778)&gt;0,N(K779)-MAX(K$1:K778)&gt;180),"⚠ Gap &gt; 3h",IF(C779-I779&gt;=0.99,"next day",IF(C779-I779&gt;0.4,"12h → 24h","")))))))))))</f>
        <v/>
      </c>
      <c r="H779" s="4" t="str">
        <f t="shared" si="60"/>
        <v/>
      </c>
      <c r="I779" s="5" t="str">
        <f t="shared" si="61"/>
        <v/>
      </c>
      <c r="J779" s="6">
        <f t="shared" si="62"/>
        <v>0</v>
      </c>
      <c r="K779" s="4" t="str">
        <f t="shared" si="63"/>
        <v/>
      </c>
      <c r="L779" s="4" t="str">
        <f t="shared" si="64"/>
        <v/>
      </c>
      <c r="M779" s="4" t="b" cm="1">
        <f t="array" ref="M779">IF(H779="",FALSE,SUMPRODUCT(--(H$1:H778=H779))&gt;0)</f>
        <v>0</v>
      </c>
    </row>
    <row r="780" spans="1:13" x14ac:dyDescent="0.25">
      <c r="A780" s="9" t="str">
        <f>IF(OR(B780="",M780,G780="— ignored"),"",MAX(A$1:A779)+1)</f>
        <v/>
      </c>
      <c r="B780" s="10"/>
      <c r="C780" s="11" t="str">
        <f>IF(I780="","",ROUND((I780+0.5*MAX(0,CEILING(ROUND((MAX(C$1:C779)-1/48-I780)/0.5,6),1)))*1440,0)/1440)</f>
        <v/>
      </c>
      <c r="D780" s="9" t="str" cm="1">
        <f t="array" ref="D780">IF(H780="","",IFERROR(INDEX(Log!$C$19:$G$19,VALUE(MID(H780,FIND("#",H780)+1,1))),""))</f>
        <v/>
      </c>
      <c r="E780" s="9" t="str" cm="1">
        <f t="array" ref="E780">IF(OR(H780="",M780),"",IFERROR(_xlfn.LET(_xlpm.t,SUBSTITUTE(UPPER(H780),"م","M"),_xlpm.u,SUBSTITUTE(_xlpm.t,"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80" s="12"/>
      <c r="G780" s="13" t="str">
        <f>IF(B780="","",IF(M780,"⚠ Duplicate (not counted)",IF(AND(I780="",D780="",E780=""),"— ignored",IF(C780="","⚠ Time",IF(D780="","⚠ Plant",IF(E780="","⚠ Quantity",IF(AND(ISNUMBER(L780),COUNTIF(L$1:L779,L780)&gt;0),"⚠ Same serial "&amp;L780,IF(AND(ISNUMBER(L780),L780&gt;MIN($L$2:$L$1001),COUNTIF($L$2:$L$1001,L780-1)=0,COUNTIF($L$2:$L$1001,L780-2)&lt;2),"⚠ Missing serial "&amp;(L780-1),IF(AND(MAX(K$1:K779)&gt;0,N(K780)-MAX(K$1:K779)&gt;180),"⚠ Gap &gt; 3h",IF(C780-I780&gt;=0.99,"next day",IF(C780-I780&gt;0.4,"12h → 24h","")))))))))))</f>
        <v/>
      </c>
      <c r="H780" s="4" t="str">
        <f t="shared" si="60"/>
        <v/>
      </c>
      <c r="I780" s="5" t="str">
        <f t="shared" si="61"/>
        <v/>
      </c>
      <c r="J780" s="6">
        <f t="shared" si="62"/>
        <v>0</v>
      </c>
      <c r="K780" s="4" t="str">
        <f t="shared" si="63"/>
        <v/>
      </c>
      <c r="L780" s="4" t="str">
        <f t="shared" si="64"/>
        <v/>
      </c>
      <c r="M780" s="4" t="b" cm="1">
        <f t="array" ref="M780">IF(H780="",FALSE,SUMPRODUCT(--(H$1:H779=H780))&gt;0)</f>
        <v>0</v>
      </c>
    </row>
    <row r="781" spans="1:13" x14ac:dyDescent="0.25">
      <c r="A781" s="9" t="str">
        <f>IF(OR(B781="",M781,G781="— ignored"),"",MAX(A$1:A780)+1)</f>
        <v/>
      </c>
      <c r="B781" s="10"/>
      <c r="C781" s="11" t="str">
        <f>IF(I781="","",ROUND((I781+0.5*MAX(0,CEILING(ROUND((MAX(C$1:C780)-1/48-I781)/0.5,6),1)))*1440,0)/1440)</f>
        <v/>
      </c>
      <c r="D781" s="9" t="str" cm="1">
        <f t="array" ref="D781">IF(H781="","",IFERROR(INDEX(Log!$C$19:$G$19,VALUE(MID(H781,FIND("#",H781)+1,1))),""))</f>
        <v/>
      </c>
      <c r="E781" s="9" t="str" cm="1">
        <f t="array" ref="E781">IF(OR(H781="",M781),"",IFERROR(_xlfn.LET(_xlpm.t,SUBSTITUTE(UPPER(H781),"م","M"),_xlpm.u,SUBSTITUTE(_xlpm.t,"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81" s="12"/>
      <c r="G781" s="13" t="str">
        <f>IF(B781="","",IF(M781,"⚠ Duplicate (not counted)",IF(AND(I781="",D781="",E781=""),"— ignored",IF(C781="","⚠ Time",IF(D781="","⚠ Plant",IF(E781="","⚠ Quantity",IF(AND(ISNUMBER(L781),COUNTIF(L$1:L780,L781)&gt;0),"⚠ Same serial "&amp;L781,IF(AND(ISNUMBER(L781),L781&gt;MIN($L$2:$L$1001),COUNTIF($L$2:$L$1001,L781-1)=0,COUNTIF($L$2:$L$1001,L781-2)&lt;2),"⚠ Missing serial "&amp;(L781-1),IF(AND(MAX(K$1:K780)&gt;0,N(K781)-MAX(K$1:K780)&gt;180),"⚠ Gap &gt; 3h",IF(C781-I781&gt;=0.99,"next day",IF(C781-I781&gt;0.4,"12h → 24h","")))))))))))</f>
        <v/>
      </c>
      <c r="H781" s="4" t="str">
        <f t="shared" si="60"/>
        <v/>
      </c>
      <c r="I781" s="5" t="str">
        <f t="shared" si="61"/>
        <v/>
      </c>
      <c r="J781" s="6">
        <f t="shared" si="62"/>
        <v>0</v>
      </c>
      <c r="K781" s="4" t="str">
        <f t="shared" si="63"/>
        <v/>
      </c>
      <c r="L781" s="4" t="str">
        <f t="shared" si="64"/>
        <v/>
      </c>
      <c r="M781" s="4" t="b" cm="1">
        <f t="array" ref="M781">IF(H781="",FALSE,SUMPRODUCT(--(H$1:H780=H781))&gt;0)</f>
        <v>0</v>
      </c>
    </row>
    <row r="782" spans="1:13" x14ac:dyDescent="0.25">
      <c r="A782" s="9" t="str">
        <f>IF(OR(B782="",M782,G782="— ignored"),"",MAX(A$1:A781)+1)</f>
        <v/>
      </c>
      <c r="B782" s="10"/>
      <c r="C782" s="11" t="str">
        <f>IF(I782="","",ROUND((I782+0.5*MAX(0,CEILING(ROUND((MAX(C$1:C781)-1/48-I782)/0.5,6),1)))*1440,0)/1440)</f>
        <v/>
      </c>
      <c r="D782" s="9" t="str" cm="1">
        <f t="array" ref="D782">IF(H782="","",IFERROR(INDEX(Log!$C$19:$G$19,VALUE(MID(H782,FIND("#",H782)+1,1))),""))</f>
        <v/>
      </c>
      <c r="E782" s="9" t="str" cm="1">
        <f t="array" ref="E782">IF(OR(H782="",M782),"",IFERROR(_xlfn.LET(_xlpm.t,SUBSTITUTE(UPPER(H782),"م","M"),_xlpm.u,SUBSTITUTE(_xlpm.t,"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82" s="12"/>
      <c r="G782" s="13" t="str">
        <f>IF(B782="","",IF(M782,"⚠ Duplicate (not counted)",IF(AND(I782="",D782="",E782=""),"— ignored",IF(C782="","⚠ Time",IF(D782="","⚠ Plant",IF(E782="","⚠ Quantity",IF(AND(ISNUMBER(L782),COUNTIF(L$1:L781,L782)&gt;0),"⚠ Same serial "&amp;L782,IF(AND(ISNUMBER(L782),L782&gt;MIN($L$2:$L$1001),COUNTIF($L$2:$L$1001,L782-1)=0,COUNTIF($L$2:$L$1001,L782-2)&lt;2),"⚠ Missing serial "&amp;(L782-1),IF(AND(MAX(K$1:K781)&gt;0,N(K782)-MAX(K$1:K781)&gt;180),"⚠ Gap &gt; 3h",IF(C782-I782&gt;=0.99,"next day",IF(C782-I782&gt;0.4,"12h → 24h","")))))))))))</f>
        <v/>
      </c>
      <c r="H782" s="4" t="str">
        <f t="shared" si="60"/>
        <v/>
      </c>
      <c r="I782" s="5" t="str">
        <f t="shared" si="61"/>
        <v/>
      </c>
      <c r="J782" s="6">
        <f t="shared" si="62"/>
        <v>0</v>
      </c>
      <c r="K782" s="4" t="str">
        <f t="shared" si="63"/>
        <v/>
      </c>
      <c r="L782" s="4" t="str">
        <f t="shared" si="64"/>
        <v/>
      </c>
      <c r="M782" s="4" t="b" cm="1">
        <f t="array" ref="M782">IF(H782="",FALSE,SUMPRODUCT(--(H$1:H781=H782))&gt;0)</f>
        <v>0</v>
      </c>
    </row>
    <row r="783" spans="1:13" x14ac:dyDescent="0.25">
      <c r="A783" s="9" t="str">
        <f>IF(OR(B783="",M783,G783="— ignored"),"",MAX(A$1:A782)+1)</f>
        <v/>
      </c>
      <c r="B783" s="10"/>
      <c r="C783" s="11" t="str">
        <f>IF(I783="","",ROUND((I783+0.5*MAX(0,CEILING(ROUND((MAX(C$1:C782)-1/48-I783)/0.5,6),1)))*1440,0)/1440)</f>
        <v/>
      </c>
      <c r="D783" s="9" t="str" cm="1">
        <f t="array" ref="D783">IF(H783="","",IFERROR(INDEX(Log!$C$19:$G$19,VALUE(MID(H783,FIND("#",H783)+1,1))),""))</f>
        <v/>
      </c>
      <c r="E783" s="9" t="str" cm="1">
        <f t="array" ref="E783">IF(OR(H783="",M783),"",IFERROR(_xlfn.LET(_xlpm.t,SUBSTITUTE(UPPER(H783),"م","M"),_xlpm.u,SUBSTITUTE(_xlpm.t,"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83" s="12"/>
      <c r="G783" s="13" t="str">
        <f>IF(B783="","",IF(M783,"⚠ Duplicate (not counted)",IF(AND(I783="",D783="",E783=""),"— ignored",IF(C783="","⚠ Time",IF(D783="","⚠ Plant",IF(E783="","⚠ Quantity",IF(AND(ISNUMBER(L783),COUNTIF(L$1:L782,L783)&gt;0),"⚠ Same serial "&amp;L783,IF(AND(ISNUMBER(L783),L783&gt;MIN($L$2:$L$1001),COUNTIF($L$2:$L$1001,L783-1)=0,COUNTIF($L$2:$L$1001,L783-2)&lt;2),"⚠ Missing serial "&amp;(L783-1),IF(AND(MAX(K$1:K782)&gt;0,N(K783)-MAX(K$1:K782)&gt;180),"⚠ Gap &gt; 3h",IF(C783-I783&gt;=0.99,"next day",IF(C783-I783&gt;0.4,"12h → 24h","")))))))))))</f>
        <v/>
      </c>
      <c r="H783" s="4" t="str">
        <f t="shared" si="60"/>
        <v/>
      </c>
      <c r="I783" s="5" t="str">
        <f t="shared" si="61"/>
        <v/>
      </c>
      <c r="J783" s="6">
        <f t="shared" si="62"/>
        <v>0</v>
      </c>
      <c r="K783" s="4" t="str">
        <f t="shared" si="63"/>
        <v/>
      </c>
      <c r="L783" s="4" t="str">
        <f t="shared" si="64"/>
        <v/>
      </c>
      <c r="M783" s="4" t="b" cm="1">
        <f t="array" ref="M783">IF(H783="",FALSE,SUMPRODUCT(--(H$1:H782=H783))&gt;0)</f>
        <v>0</v>
      </c>
    </row>
    <row r="784" spans="1:13" x14ac:dyDescent="0.25">
      <c r="A784" s="9" t="str">
        <f>IF(OR(B784="",M784,G784="— ignored"),"",MAX(A$1:A783)+1)</f>
        <v/>
      </c>
      <c r="B784" s="10"/>
      <c r="C784" s="11" t="str">
        <f>IF(I784="","",ROUND((I784+0.5*MAX(0,CEILING(ROUND((MAX(C$1:C783)-1/48-I784)/0.5,6),1)))*1440,0)/1440)</f>
        <v/>
      </c>
      <c r="D784" s="9" t="str" cm="1">
        <f t="array" ref="D784">IF(H784="","",IFERROR(INDEX(Log!$C$19:$G$19,VALUE(MID(H784,FIND("#",H784)+1,1))),""))</f>
        <v/>
      </c>
      <c r="E784" s="9" t="str" cm="1">
        <f t="array" ref="E784">IF(OR(H784="",M784),"",IFERROR(_xlfn.LET(_xlpm.t,SUBSTITUTE(UPPER(H784),"م","M"),_xlpm.u,SUBSTITUTE(_xlpm.t,"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84" s="12"/>
      <c r="G784" s="13" t="str">
        <f>IF(B784="","",IF(M784,"⚠ Duplicate (not counted)",IF(AND(I784="",D784="",E784=""),"— ignored",IF(C784="","⚠ Time",IF(D784="","⚠ Plant",IF(E784="","⚠ Quantity",IF(AND(ISNUMBER(L784),COUNTIF(L$1:L783,L784)&gt;0),"⚠ Same serial "&amp;L784,IF(AND(ISNUMBER(L784),L784&gt;MIN($L$2:$L$1001),COUNTIF($L$2:$L$1001,L784-1)=0,COUNTIF($L$2:$L$1001,L784-2)&lt;2),"⚠ Missing serial "&amp;(L784-1),IF(AND(MAX(K$1:K783)&gt;0,N(K784)-MAX(K$1:K783)&gt;180),"⚠ Gap &gt; 3h",IF(C784-I784&gt;=0.99,"next day",IF(C784-I784&gt;0.4,"12h → 24h","")))))))))))</f>
        <v/>
      </c>
      <c r="H784" s="4" t="str">
        <f t="shared" si="60"/>
        <v/>
      </c>
      <c r="I784" s="5" t="str">
        <f t="shared" si="61"/>
        <v/>
      </c>
      <c r="J784" s="6">
        <f t="shared" si="62"/>
        <v>0</v>
      </c>
      <c r="K784" s="4" t="str">
        <f t="shared" si="63"/>
        <v/>
      </c>
      <c r="L784" s="4" t="str">
        <f t="shared" si="64"/>
        <v/>
      </c>
      <c r="M784" s="4" t="b" cm="1">
        <f t="array" ref="M784">IF(H784="",FALSE,SUMPRODUCT(--(H$1:H783=H784))&gt;0)</f>
        <v>0</v>
      </c>
    </row>
    <row r="785" spans="1:13" x14ac:dyDescent="0.25">
      <c r="A785" s="9" t="str">
        <f>IF(OR(B785="",M785,G785="— ignored"),"",MAX(A$1:A784)+1)</f>
        <v/>
      </c>
      <c r="B785" s="10"/>
      <c r="C785" s="11" t="str">
        <f>IF(I785="","",ROUND((I785+0.5*MAX(0,CEILING(ROUND((MAX(C$1:C784)-1/48-I785)/0.5,6),1)))*1440,0)/1440)</f>
        <v/>
      </c>
      <c r="D785" s="9" t="str" cm="1">
        <f t="array" ref="D785">IF(H785="","",IFERROR(INDEX(Log!$C$19:$G$19,VALUE(MID(H785,FIND("#",H785)+1,1))),""))</f>
        <v/>
      </c>
      <c r="E785" s="9" t="str" cm="1">
        <f t="array" ref="E785">IF(OR(H785="",M785),"",IFERROR(_xlfn.LET(_xlpm.t,SUBSTITUTE(UPPER(H785),"م","M"),_xlpm.u,SUBSTITUTE(_xlpm.t,"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85" s="12"/>
      <c r="G785" s="13" t="str">
        <f>IF(B785="","",IF(M785,"⚠ Duplicate (not counted)",IF(AND(I785="",D785="",E785=""),"— ignored",IF(C785="","⚠ Time",IF(D785="","⚠ Plant",IF(E785="","⚠ Quantity",IF(AND(ISNUMBER(L785),COUNTIF(L$1:L784,L785)&gt;0),"⚠ Same serial "&amp;L785,IF(AND(ISNUMBER(L785),L785&gt;MIN($L$2:$L$1001),COUNTIF($L$2:$L$1001,L785-1)=0,COUNTIF($L$2:$L$1001,L785-2)&lt;2),"⚠ Missing serial "&amp;(L785-1),IF(AND(MAX(K$1:K784)&gt;0,N(K785)-MAX(K$1:K784)&gt;180),"⚠ Gap &gt; 3h",IF(C785-I785&gt;=0.99,"next day",IF(C785-I785&gt;0.4,"12h → 24h","")))))))))))</f>
        <v/>
      </c>
      <c r="H785" s="4" t="str">
        <f t="shared" si="60"/>
        <v/>
      </c>
      <c r="I785" s="5" t="str">
        <f t="shared" si="61"/>
        <v/>
      </c>
      <c r="J785" s="6">
        <f t="shared" si="62"/>
        <v>0</v>
      </c>
      <c r="K785" s="4" t="str">
        <f t="shared" si="63"/>
        <v/>
      </c>
      <c r="L785" s="4" t="str">
        <f t="shared" si="64"/>
        <v/>
      </c>
      <c r="M785" s="4" t="b" cm="1">
        <f t="array" ref="M785">IF(H785="",FALSE,SUMPRODUCT(--(H$1:H784=H785))&gt;0)</f>
        <v>0</v>
      </c>
    </row>
    <row r="786" spans="1:13" x14ac:dyDescent="0.25">
      <c r="A786" s="9" t="str">
        <f>IF(OR(B786="",M786,G786="— ignored"),"",MAX(A$1:A785)+1)</f>
        <v/>
      </c>
      <c r="B786" s="10"/>
      <c r="C786" s="11" t="str">
        <f>IF(I786="","",ROUND((I786+0.5*MAX(0,CEILING(ROUND((MAX(C$1:C785)-1/48-I786)/0.5,6),1)))*1440,0)/1440)</f>
        <v/>
      </c>
      <c r="D786" s="9" t="str" cm="1">
        <f t="array" ref="D786">IF(H786="","",IFERROR(INDEX(Log!$C$19:$G$19,VALUE(MID(H786,FIND("#",H786)+1,1))),""))</f>
        <v/>
      </c>
      <c r="E786" s="9" t="str" cm="1">
        <f t="array" ref="E786">IF(OR(H786="",M786),"",IFERROR(_xlfn.LET(_xlpm.t,SUBSTITUTE(UPPER(H786),"م","M"),_xlpm.u,SUBSTITUTE(_xlpm.t,"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86" s="12"/>
      <c r="G786" s="13" t="str">
        <f>IF(B786="","",IF(M786,"⚠ Duplicate (not counted)",IF(AND(I786="",D786="",E786=""),"— ignored",IF(C786="","⚠ Time",IF(D786="","⚠ Plant",IF(E786="","⚠ Quantity",IF(AND(ISNUMBER(L786),COUNTIF(L$1:L785,L786)&gt;0),"⚠ Same serial "&amp;L786,IF(AND(ISNUMBER(L786),L786&gt;MIN($L$2:$L$1001),COUNTIF($L$2:$L$1001,L786-1)=0,COUNTIF($L$2:$L$1001,L786-2)&lt;2),"⚠ Missing serial "&amp;(L786-1),IF(AND(MAX(K$1:K785)&gt;0,N(K786)-MAX(K$1:K785)&gt;180),"⚠ Gap &gt; 3h",IF(C786-I786&gt;=0.99,"next day",IF(C786-I786&gt;0.4,"12h → 24h","")))))))))))</f>
        <v/>
      </c>
      <c r="H786" s="4" t="str">
        <f t="shared" si="60"/>
        <v/>
      </c>
      <c r="I786" s="5" t="str">
        <f t="shared" si="61"/>
        <v/>
      </c>
      <c r="J786" s="6">
        <f t="shared" si="62"/>
        <v>0</v>
      </c>
      <c r="K786" s="4" t="str">
        <f t="shared" si="63"/>
        <v/>
      </c>
      <c r="L786" s="4" t="str">
        <f t="shared" si="64"/>
        <v/>
      </c>
      <c r="M786" s="4" t="b" cm="1">
        <f t="array" ref="M786">IF(H786="",FALSE,SUMPRODUCT(--(H$1:H785=H786))&gt;0)</f>
        <v>0</v>
      </c>
    </row>
    <row r="787" spans="1:13" x14ac:dyDescent="0.25">
      <c r="A787" s="9" t="str">
        <f>IF(OR(B787="",M787,G787="— ignored"),"",MAX(A$1:A786)+1)</f>
        <v/>
      </c>
      <c r="B787" s="10"/>
      <c r="C787" s="11" t="str">
        <f>IF(I787="","",ROUND((I787+0.5*MAX(0,CEILING(ROUND((MAX(C$1:C786)-1/48-I787)/0.5,6),1)))*1440,0)/1440)</f>
        <v/>
      </c>
      <c r="D787" s="9" t="str" cm="1">
        <f t="array" ref="D787">IF(H787="","",IFERROR(INDEX(Log!$C$19:$G$19,VALUE(MID(H787,FIND("#",H787)+1,1))),""))</f>
        <v/>
      </c>
      <c r="E787" s="9" t="str" cm="1">
        <f t="array" ref="E787">IF(OR(H787="",M787),"",IFERROR(_xlfn.LET(_xlpm.t,SUBSTITUTE(UPPER(H787),"م","M"),_xlpm.u,SUBSTITUTE(_xlpm.t,"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87" s="12"/>
      <c r="G787" s="13" t="str">
        <f>IF(B787="","",IF(M787,"⚠ Duplicate (not counted)",IF(AND(I787="",D787="",E787=""),"— ignored",IF(C787="","⚠ Time",IF(D787="","⚠ Plant",IF(E787="","⚠ Quantity",IF(AND(ISNUMBER(L787),COUNTIF(L$1:L786,L787)&gt;0),"⚠ Same serial "&amp;L787,IF(AND(ISNUMBER(L787),L787&gt;MIN($L$2:$L$1001),COUNTIF($L$2:$L$1001,L787-1)=0,COUNTIF($L$2:$L$1001,L787-2)&lt;2),"⚠ Missing serial "&amp;(L787-1),IF(AND(MAX(K$1:K786)&gt;0,N(K787)-MAX(K$1:K786)&gt;180),"⚠ Gap &gt; 3h",IF(C787-I787&gt;=0.99,"next day",IF(C787-I787&gt;0.4,"12h → 24h","")))))))))))</f>
        <v/>
      </c>
      <c r="H787" s="4" t="str">
        <f t="shared" si="60"/>
        <v/>
      </c>
      <c r="I787" s="5" t="str">
        <f t="shared" si="61"/>
        <v/>
      </c>
      <c r="J787" s="6">
        <f t="shared" si="62"/>
        <v>0</v>
      </c>
      <c r="K787" s="4" t="str">
        <f t="shared" si="63"/>
        <v/>
      </c>
      <c r="L787" s="4" t="str">
        <f t="shared" si="64"/>
        <v/>
      </c>
      <c r="M787" s="4" t="b" cm="1">
        <f t="array" ref="M787">IF(H787="",FALSE,SUMPRODUCT(--(H$1:H786=H787))&gt;0)</f>
        <v>0</v>
      </c>
    </row>
    <row r="788" spans="1:13" x14ac:dyDescent="0.25">
      <c r="A788" s="9" t="str">
        <f>IF(OR(B788="",M788,G788="— ignored"),"",MAX(A$1:A787)+1)</f>
        <v/>
      </c>
      <c r="B788" s="10"/>
      <c r="C788" s="11" t="str">
        <f>IF(I788="","",ROUND((I788+0.5*MAX(0,CEILING(ROUND((MAX(C$1:C787)-1/48-I788)/0.5,6),1)))*1440,0)/1440)</f>
        <v/>
      </c>
      <c r="D788" s="9" t="str" cm="1">
        <f t="array" ref="D788">IF(H788="","",IFERROR(INDEX(Log!$C$19:$G$19,VALUE(MID(H788,FIND("#",H788)+1,1))),""))</f>
        <v/>
      </c>
      <c r="E788" s="9" t="str" cm="1">
        <f t="array" ref="E788">IF(OR(H788="",M788),"",IFERROR(_xlfn.LET(_xlpm.t,SUBSTITUTE(UPPER(H788),"م","M"),_xlpm.u,SUBSTITUTE(_xlpm.t,"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88" s="12"/>
      <c r="G788" s="13" t="str">
        <f>IF(B788="","",IF(M788,"⚠ Duplicate (not counted)",IF(AND(I788="",D788="",E788=""),"— ignored",IF(C788="","⚠ Time",IF(D788="","⚠ Plant",IF(E788="","⚠ Quantity",IF(AND(ISNUMBER(L788),COUNTIF(L$1:L787,L788)&gt;0),"⚠ Same serial "&amp;L788,IF(AND(ISNUMBER(L788),L788&gt;MIN($L$2:$L$1001),COUNTIF($L$2:$L$1001,L788-1)=0,COUNTIF($L$2:$L$1001,L788-2)&lt;2),"⚠ Missing serial "&amp;(L788-1),IF(AND(MAX(K$1:K787)&gt;0,N(K788)-MAX(K$1:K787)&gt;180),"⚠ Gap &gt; 3h",IF(C788-I788&gt;=0.99,"next day",IF(C788-I788&gt;0.4,"12h → 24h","")))))))))))</f>
        <v/>
      </c>
      <c r="H788" s="4" t="str">
        <f t="shared" si="60"/>
        <v/>
      </c>
      <c r="I788" s="5" t="str">
        <f t="shared" si="61"/>
        <v/>
      </c>
      <c r="J788" s="6">
        <f t="shared" si="62"/>
        <v>0</v>
      </c>
      <c r="K788" s="4" t="str">
        <f t="shared" si="63"/>
        <v/>
      </c>
      <c r="L788" s="4" t="str">
        <f t="shared" si="64"/>
        <v/>
      </c>
      <c r="M788" s="4" t="b" cm="1">
        <f t="array" ref="M788">IF(H788="",FALSE,SUMPRODUCT(--(H$1:H787=H788))&gt;0)</f>
        <v>0</v>
      </c>
    </row>
    <row r="789" spans="1:13" x14ac:dyDescent="0.25">
      <c r="A789" s="9" t="str">
        <f>IF(OR(B789="",M789,G789="— ignored"),"",MAX(A$1:A788)+1)</f>
        <v/>
      </c>
      <c r="B789" s="10"/>
      <c r="C789" s="11" t="str">
        <f>IF(I789="","",ROUND((I789+0.5*MAX(0,CEILING(ROUND((MAX(C$1:C788)-1/48-I789)/0.5,6),1)))*1440,0)/1440)</f>
        <v/>
      </c>
      <c r="D789" s="9" t="str" cm="1">
        <f t="array" ref="D789">IF(H789="","",IFERROR(INDEX(Log!$C$19:$G$19,VALUE(MID(H789,FIND("#",H789)+1,1))),""))</f>
        <v/>
      </c>
      <c r="E789" s="9" t="str" cm="1">
        <f t="array" ref="E789">IF(OR(H789="",M789),"",IFERROR(_xlfn.LET(_xlpm.t,SUBSTITUTE(UPPER(H789),"م","M"),_xlpm.u,SUBSTITUTE(_xlpm.t,"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89" s="12"/>
      <c r="G789" s="13" t="str">
        <f>IF(B789="","",IF(M789,"⚠ Duplicate (not counted)",IF(AND(I789="",D789="",E789=""),"— ignored",IF(C789="","⚠ Time",IF(D789="","⚠ Plant",IF(E789="","⚠ Quantity",IF(AND(ISNUMBER(L789),COUNTIF(L$1:L788,L789)&gt;0),"⚠ Same serial "&amp;L789,IF(AND(ISNUMBER(L789),L789&gt;MIN($L$2:$L$1001),COUNTIF($L$2:$L$1001,L789-1)=0,COUNTIF($L$2:$L$1001,L789-2)&lt;2),"⚠ Missing serial "&amp;(L789-1),IF(AND(MAX(K$1:K788)&gt;0,N(K789)-MAX(K$1:K788)&gt;180),"⚠ Gap &gt; 3h",IF(C789-I789&gt;=0.99,"next day",IF(C789-I789&gt;0.4,"12h → 24h","")))))))))))</f>
        <v/>
      </c>
      <c r="H789" s="4" t="str">
        <f t="shared" si="60"/>
        <v/>
      </c>
      <c r="I789" s="5" t="str">
        <f t="shared" si="61"/>
        <v/>
      </c>
      <c r="J789" s="6">
        <f t="shared" si="62"/>
        <v>0</v>
      </c>
      <c r="K789" s="4" t="str">
        <f t="shared" si="63"/>
        <v/>
      </c>
      <c r="L789" s="4" t="str">
        <f t="shared" si="64"/>
        <v/>
      </c>
      <c r="M789" s="4" t="b" cm="1">
        <f t="array" ref="M789">IF(H789="",FALSE,SUMPRODUCT(--(H$1:H788=H789))&gt;0)</f>
        <v>0</v>
      </c>
    </row>
    <row r="790" spans="1:13" x14ac:dyDescent="0.25">
      <c r="A790" s="9" t="str">
        <f>IF(OR(B790="",M790,G790="— ignored"),"",MAX(A$1:A789)+1)</f>
        <v/>
      </c>
      <c r="B790" s="10"/>
      <c r="C790" s="11" t="str">
        <f>IF(I790="","",ROUND((I790+0.5*MAX(0,CEILING(ROUND((MAX(C$1:C789)-1/48-I790)/0.5,6),1)))*1440,0)/1440)</f>
        <v/>
      </c>
      <c r="D790" s="9" t="str" cm="1">
        <f t="array" ref="D790">IF(H790="","",IFERROR(INDEX(Log!$C$19:$G$19,VALUE(MID(H790,FIND("#",H790)+1,1))),""))</f>
        <v/>
      </c>
      <c r="E790" s="9" t="str" cm="1">
        <f t="array" ref="E790">IF(OR(H790="",M790),"",IFERROR(_xlfn.LET(_xlpm.t,SUBSTITUTE(UPPER(H790),"م","M"),_xlpm.u,SUBSTITUTE(_xlpm.t,"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90" s="12"/>
      <c r="G790" s="13" t="str">
        <f>IF(B790="","",IF(M790,"⚠ Duplicate (not counted)",IF(AND(I790="",D790="",E790=""),"— ignored",IF(C790="","⚠ Time",IF(D790="","⚠ Plant",IF(E790="","⚠ Quantity",IF(AND(ISNUMBER(L790),COUNTIF(L$1:L789,L790)&gt;0),"⚠ Same serial "&amp;L790,IF(AND(ISNUMBER(L790),L790&gt;MIN($L$2:$L$1001),COUNTIF($L$2:$L$1001,L790-1)=0,COUNTIF($L$2:$L$1001,L790-2)&lt;2),"⚠ Missing serial "&amp;(L790-1),IF(AND(MAX(K$1:K789)&gt;0,N(K790)-MAX(K$1:K789)&gt;180),"⚠ Gap &gt; 3h",IF(C790-I790&gt;=0.99,"next day",IF(C790-I790&gt;0.4,"12h → 24h","")))))))))))</f>
        <v/>
      </c>
      <c r="H790" s="4" t="str">
        <f t="shared" si="60"/>
        <v/>
      </c>
      <c r="I790" s="5" t="str">
        <f t="shared" si="61"/>
        <v/>
      </c>
      <c r="J790" s="6">
        <f t="shared" si="62"/>
        <v>0</v>
      </c>
      <c r="K790" s="4" t="str">
        <f t="shared" si="63"/>
        <v/>
      </c>
      <c r="L790" s="4" t="str">
        <f t="shared" si="64"/>
        <v/>
      </c>
      <c r="M790" s="4" t="b" cm="1">
        <f t="array" ref="M790">IF(H790="",FALSE,SUMPRODUCT(--(H$1:H789=H790))&gt;0)</f>
        <v>0</v>
      </c>
    </row>
    <row r="791" spans="1:13" x14ac:dyDescent="0.25">
      <c r="A791" s="9" t="str">
        <f>IF(OR(B791="",M791,G791="— ignored"),"",MAX(A$1:A790)+1)</f>
        <v/>
      </c>
      <c r="B791" s="10"/>
      <c r="C791" s="11" t="str">
        <f>IF(I791="","",ROUND((I791+0.5*MAX(0,CEILING(ROUND((MAX(C$1:C790)-1/48-I791)/0.5,6),1)))*1440,0)/1440)</f>
        <v/>
      </c>
      <c r="D791" s="9" t="str" cm="1">
        <f t="array" ref="D791">IF(H791="","",IFERROR(INDEX(Log!$C$19:$G$19,VALUE(MID(H791,FIND("#",H791)+1,1))),""))</f>
        <v/>
      </c>
      <c r="E791" s="9" t="str" cm="1">
        <f t="array" ref="E791">IF(OR(H791="",M791),"",IFERROR(_xlfn.LET(_xlpm.t,SUBSTITUTE(UPPER(H791),"م","M"),_xlpm.u,SUBSTITUTE(_xlpm.t,"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91" s="12"/>
      <c r="G791" s="13" t="str">
        <f>IF(B791="","",IF(M791,"⚠ Duplicate (not counted)",IF(AND(I791="",D791="",E791=""),"— ignored",IF(C791="","⚠ Time",IF(D791="","⚠ Plant",IF(E791="","⚠ Quantity",IF(AND(ISNUMBER(L791),COUNTIF(L$1:L790,L791)&gt;0),"⚠ Same serial "&amp;L791,IF(AND(ISNUMBER(L791),L791&gt;MIN($L$2:$L$1001),COUNTIF($L$2:$L$1001,L791-1)=0,COUNTIF($L$2:$L$1001,L791-2)&lt;2),"⚠ Missing serial "&amp;(L791-1),IF(AND(MAX(K$1:K790)&gt;0,N(K791)-MAX(K$1:K790)&gt;180),"⚠ Gap &gt; 3h",IF(C791-I791&gt;=0.99,"next day",IF(C791-I791&gt;0.4,"12h → 24h","")))))))))))</f>
        <v/>
      </c>
      <c r="H791" s="4" t="str">
        <f t="shared" si="60"/>
        <v/>
      </c>
      <c r="I791" s="5" t="str">
        <f t="shared" si="61"/>
        <v/>
      </c>
      <c r="J791" s="6">
        <f t="shared" si="62"/>
        <v>0</v>
      </c>
      <c r="K791" s="4" t="str">
        <f t="shared" si="63"/>
        <v/>
      </c>
      <c r="L791" s="4" t="str">
        <f t="shared" si="64"/>
        <v/>
      </c>
      <c r="M791" s="4" t="b" cm="1">
        <f t="array" ref="M791">IF(H791="",FALSE,SUMPRODUCT(--(H$1:H790=H791))&gt;0)</f>
        <v>0</v>
      </c>
    </row>
    <row r="792" spans="1:13" x14ac:dyDescent="0.25">
      <c r="A792" s="9" t="str">
        <f>IF(OR(B792="",M792,G792="— ignored"),"",MAX(A$1:A791)+1)</f>
        <v/>
      </c>
      <c r="B792" s="10"/>
      <c r="C792" s="11" t="str">
        <f>IF(I792="","",ROUND((I792+0.5*MAX(0,CEILING(ROUND((MAX(C$1:C791)-1/48-I792)/0.5,6),1)))*1440,0)/1440)</f>
        <v/>
      </c>
      <c r="D792" s="9" t="str" cm="1">
        <f t="array" ref="D792">IF(H792="","",IFERROR(INDEX(Log!$C$19:$G$19,VALUE(MID(H792,FIND("#",H792)+1,1))),""))</f>
        <v/>
      </c>
      <c r="E792" s="9" t="str" cm="1">
        <f t="array" ref="E792">IF(OR(H792="",M792),"",IFERROR(_xlfn.LET(_xlpm.t,SUBSTITUTE(UPPER(H792),"م","M"),_xlpm.u,SUBSTITUTE(_xlpm.t,"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92" s="12"/>
      <c r="G792" s="13" t="str">
        <f>IF(B792="","",IF(M792,"⚠ Duplicate (not counted)",IF(AND(I792="",D792="",E792=""),"— ignored",IF(C792="","⚠ Time",IF(D792="","⚠ Plant",IF(E792="","⚠ Quantity",IF(AND(ISNUMBER(L792),COUNTIF(L$1:L791,L792)&gt;0),"⚠ Same serial "&amp;L792,IF(AND(ISNUMBER(L792),L792&gt;MIN($L$2:$L$1001),COUNTIF($L$2:$L$1001,L792-1)=0,COUNTIF($L$2:$L$1001,L792-2)&lt;2),"⚠ Missing serial "&amp;(L792-1),IF(AND(MAX(K$1:K791)&gt;0,N(K792)-MAX(K$1:K791)&gt;180),"⚠ Gap &gt; 3h",IF(C792-I792&gt;=0.99,"next day",IF(C792-I792&gt;0.4,"12h → 24h","")))))))))))</f>
        <v/>
      </c>
      <c r="H792" s="4" t="str">
        <f t="shared" si="60"/>
        <v/>
      </c>
      <c r="I792" s="5" t="str">
        <f t="shared" si="61"/>
        <v/>
      </c>
      <c r="J792" s="6">
        <f t="shared" si="62"/>
        <v>0</v>
      </c>
      <c r="K792" s="4" t="str">
        <f t="shared" si="63"/>
        <v/>
      </c>
      <c r="L792" s="4" t="str">
        <f t="shared" si="64"/>
        <v/>
      </c>
      <c r="M792" s="4" t="b" cm="1">
        <f t="array" ref="M792">IF(H792="",FALSE,SUMPRODUCT(--(H$1:H791=H792))&gt;0)</f>
        <v>0</v>
      </c>
    </row>
    <row r="793" spans="1:13" x14ac:dyDescent="0.25">
      <c r="A793" s="9" t="str">
        <f>IF(OR(B793="",M793,G793="— ignored"),"",MAX(A$1:A792)+1)</f>
        <v/>
      </c>
      <c r="B793" s="10"/>
      <c r="C793" s="11" t="str">
        <f>IF(I793="","",ROUND((I793+0.5*MAX(0,CEILING(ROUND((MAX(C$1:C792)-1/48-I793)/0.5,6),1)))*1440,0)/1440)</f>
        <v/>
      </c>
      <c r="D793" s="9" t="str" cm="1">
        <f t="array" ref="D793">IF(H793="","",IFERROR(INDEX(Log!$C$19:$G$19,VALUE(MID(H793,FIND("#",H793)+1,1))),""))</f>
        <v/>
      </c>
      <c r="E793" s="9" t="str" cm="1">
        <f t="array" ref="E793">IF(OR(H793="",M793),"",IFERROR(_xlfn.LET(_xlpm.t,SUBSTITUTE(UPPER(H793),"م","M"),_xlpm.u,SUBSTITUTE(_xlpm.t,"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93" s="12"/>
      <c r="G793" s="13" t="str">
        <f>IF(B793="","",IF(M793,"⚠ Duplicate (not counted)",IF(AND(I793="",D793="",E793=""),"— ignored",IF(C793="","⚠ Time",IF(D793="","⚠ Plant",IF(E793="","⚠ Quantity",IF(AND(ISNUMBER(L793),COUNTIF(L$1:L792,L793)&gt;0),"⚠ Same serial "&amp;L793,IF(AND(ISNUMBER(L793),L793&gt;MIN($L$2:$L$1001),COUNTIF($L$2:$L$1001,L793-1)=0,COUNTIF($L$2:$L$1001,L793-2)&lt;2),"⚠ Missing serial "&amp;(L793-1),IF(AND(MAX(K$1:K792)&gt;0,N(K793)-MAX(K$1:K792)&gt;180),"⚠ Gap &gt; 3h",IF(C793-I793&gt;=0.99,"next day",IF(C793-I793&gt;0.4,"12h → 24h","")))))))))))</f>
        <v/>
      </c>
      <c r="H793" s="4" t="str">
        <f t="shared" si="60"/>
        <v/>
      </c>
      <c r="I793" s="5" t="str">
        <f t="shared" si="61"/>
        <v/>
      </c>
      <c r="J793" s="6">
        <f t="shared" si="62"/>
        <v>0</v>
      </c>
      <c r="K793" s="4" t="str">
        <f t="shared" si="63"/>
        <v/>
      </c>
      <c r="L793" s="4" t="str">
        <f t="shared" si="64"/>
        <v/>
      </c>
      <c r="M793" s="4" t="b" cm="1">
        <f t="array" ref="M793">IF(H793="",FALSE,SUMPRODUCT(--(H$1:H792=H793))&gt;0)</f>
        <v>0</v>
      </c>
    </row>
    <row r="794" spans="1:13" x14ac:dyDescent="0.25">
      <c r="A794" s="9" t="str">
        <f>IF(OR(B794="",M794,G794="— ignored"),"",MAX(A$1:A793)+1)</f>
        <v/>
      </c>
      <c r="B794" s="10"/>
      <c r="C794" s="11" t="str">
        <f>IF(I794="","",ROUND((I794+0.5*MAX(0,CEILING(ROUND((MAX(C$1:C793)-1/48-I794)/0.5,6),1)))*1440,0)/1440)</f>
        <v/>
      </c>
      <c r="D794" s="9" t="str" cm="1">
        <f t="array" ref="D794">IF(H794="","",IFERROR(INDEX(Log!$C$19:$G$19,VALUE(MID(H794,FIND("#",H794)+1,1))),""))</f>
        <v/>
      </c>
      <c r="E794" s="9" t="str" cm="1">
        <f t="array" ref="E794">IF(OR(H794="",M794),"",IFERROR(_xlfn.LET(_xlpm.t,SUBSTITUTE(UPPER(H794),"م","M"),_xlpm.u,SUBSTITUTE(_xlpm.t,"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94" s="12"/>
      <c r="G794" s="13" t="str">
        <f>IF(B794="","",IF(M794,"⚠ Duplicate (not counted)",IF(AND(I794="",D794="",E794=""),"— ignored",IF(C794="","⚠ Time",IF(D794="","⚠ Plant",IF(E794="","⚠ Quantity",IF(AND(ISNUMBER(L794),COUNTIF(L$1:L793,L794)&gt;0),"⚠ Same serial "&amp;L794,IF(AND(ISNUMBER(L794),L794&gt;MIN($L$2:$L$1001),COUNTIF($L$2:$L$1001,L794-1)=0,COUNTIF($L$2:$L$1001,L794-2)&lt;2),"⚠ Missing serial "&amp;(L794-1),IF(AND(MAX(K$1:K793)&gt;0,N(K794)-MAX(K$1:K793)&gt;180),"⚠ Gap &gt; 3h",IF(C794-I794&gt;=0.99,"next day",IF(C794-I794&gt;0.4,"12h → 24h","")))))))))))</f>
        <v/>
      </c>
      <c r="H794" s="4" t="str">
        <f t="shared" si="60"/>
        <v/>
      </c>
      <c r="I794" s="5" t="str">
        <f t="shared" si="61"/>
        <v/>
      </c>
      <c r="J794" s="6">
        <f t="shared" si="62"/>
        <v>0</v>
      </c>
      <c r="K794" s="4" t="str">
        <f t="shared" si="63"/>
        <v/>
      </c>
      <c r="L794" s="4" t="str">
        <f t="shared" si="64"/>
        <v/>
      </c>
      <c r="M794" s="4" t="b" cm="1">
        <f t="array" ref="M794">IF(H794="",FALSE,SUMPRODUCT(--(H$1:H793=H794))&gt;0)</f>
        <v>0</v>
      </c>
    </row>
    <row r="795" spans="1:13" x14ac:dyDescent="0.25">
      <c r="A795" s="9" t="str">
        <f>IF(OR(B795="",M795,G795="— ignored"),"",MAX(A$1:A794)+1)</f>
        <v/>
      </c>
      <c r="B795" s="10"/>
      <c r="C795" s="11" t="str">
        <f>IF(I795="","",ROUND((I795+0.5*MAX(0,CEILING(ROUND((MAX(C$1:C794)-1/48-I795)/0.5,6),1)))*1440,0)/1440)</f>
        <v/>
      </c>
      <c r="D795" s="9" t="str" cm="1">
        <f t="array" ref="D795">IF(H795="","",IFERROR(INDEX(Log!$C$19:$G$19,VALUE(MID(H795,FIND("#",H795)+1,1))),""))</f>
        <v/>
      </c>
      <c r="E795" s="9" t="str" cm="1">
        <f t="array" ref="E795">IF(OR(H795="",M795),"",IFERROR(_xlfn.LET(_xlpm.t,SUBSTITUTE(UPPER(H795),"م","M"),_xlpm.u,SUBSTITUTE(_xlpm.t,"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95" s="12"/>
      <c r="G795" s="13" t="str">
        <f>IF(B795="","",IF(M795,"⚠ Duplicate (not counted)",IF(AND(I795="",D795="",E795=""),"— ignored",IF(C795="","⚠ Time",IF(D795="","⚠ Plant",IF(E795="","⚠ Quantity",IF(AND(ISNUMBER(L795),COUNTIF(L$1:L794,L795)&gt;0),"⚠ Same serial "&amp;L795,IF(AND(ISNUMBER(L795),L795&gt;MIN($L$2:$L$1001),COUNTIF($L$2:$L$1001,L795-1)=0,COUNTIF($L$2:$L$1001,L795-2)&lt;2),"⚠ Missing serial "&amp;(L795-1),IF(AND(MAX(K$1:K794)&gt;0,N(K795)-MAX(K$1:K794)&gt;180),"⚠ Gap &gt; 3h",IF(C795-I795&gt;=0.99,"next day",IF(C795-I795&gt;0.4,"12h → 24h","")))))))))))</f>
        <v/>
      </c>
      <c r="H795" s="4" t="str">
        <f t="shared" si="60"/>
        <v/>
      </c>
      <c r="I795" s="5" t="str">
        <f t="shared" si="61"/>
        <v/>
      </c>
      <c r="J795" s="6">
        <f t="shared" si="62"/>
        <v>0</v>
      </c>
      <c r="K795" s="4" t="str">
        <f t="shared" si="63"/>
        <v/>
      </c>
      <c r="L795" s="4" t="str">
        <f t="shared" si="64"/>
        <v/>
      </c>
      <c r="M795" s="4" t="b" cm="1">
        <f t="array" ref="M795">IF(H795="",FALSE,SUMPRODUCT(--(H$1:H794=H795))&gt;0)</f>
        <v>0</v>
      </c>
    </row>
    <row r="796" spans="1:13" x14ac:dyDescent="0.25">
      <c r="A796" s="9" t="str">
        <f>IF(OR(B796="",M796,G796="— ignored"),"",MAX(A$1:A795)+1)</f>
        <v/>
      </c>
      <c r="B796" s="10"/>
      <c r="C796" s="11" t="str">
        <f>IF(I796="","",ROUND((I796+0.5*MAX(0,CEILING(ROUND((MAX(C$1:C795)-1/48-I796)/0.5,6),1)))*1440,0)/1440)</f>
        <v/>
      </c>
      <c r="D796" s="9" t="str" cm="1">
        <f t="array" ref="D796">IF(H796="","",IFERROR(INDEX(Log!$C$19:$G$19,VALUE(MID(H796,FIND("#",H796)+1,1))),""))</f>
        <v/>
      </c>
      <c r="E796" s="9" t="str" cm="1">
        <f t="array" ref="E796">IF(OR(H796="",M796),"",IFERROR(_xlfn.LET(_xlpm.t,SUBSTITUTE(UPPER(H796),"م","M"),_xlpm.u,SUBSTITUTE(_xlpm.t,"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96" s="12"/>
      <c r="G796" s="13" t="str">
        <f>IF(B796="","",IF(M796,"⚠ Duplicate (not counted)",IF(AND(I796="",D796="",E796=""),"— ignored",IF(C796="","⚠ Time",IF(D796="","⚠ Plant",IF(E796="","⚠ Quantity",IF(AND(ISNUMBER(L796),COUNTIF(L$1:L795,L796)&gt;0),"⚠ Same serial "&amp;L796,IF(AND(ISNUMBER(L796),L796&gt;MIN($L$2:$L$1001),COUNTIF($L$2:$L$1001,L796-1)=0,COUNTIF($L$2:$L$1001,L796-2)&lt;2),"⚠ Missing serial "&amp;(L796-1),IF(AND(MAX(K$1:K795)&gt;0,N(K796)-MAX(K$1:K795)&gt;180),"⚠ Gap &gt; 3h",IF(C796-I796&gt;=0.99,"next day",IF(C796-I796&gt;0.4,"12h → 24h","")))))))))))</f>
        <v/>
      </c>
      <c r="H796" s="4" t="str">
        <f t="shared" si="60"/>
        <v/>
      </c>
      <c r="I796" s="5" t="str">
        <f t="shared" si="61"/>
        <v/>
      </c>
      <c r="J796" s="6">
        <f t="shared" si="62"/>
        <v>0</v>
      </c>
      <c r="K796" s="4" t="str">
        <f t="shared" si="63"/>
        <v/>
      </c>
      <c r="L796" s="4" t="str">
        <f t="shared" si="64"/>
        <v/>
      </c>
      <c r="M796" s="4" t="b" cm="1">
        <f t="array" ref="M796">IF(H796="",FALSE,SUMPRODUCT(--(H$1:H795=H796))&gt;0)</f>
        <v>0</v>
      </c>
    </row>
    <row r="797" spans="1:13" x14ac:dyDescent="0.25">
      <c r="A797" s="9" t="str">
        <f>IF(OR(B797="",M797,G797="— ignored"),"",MAX(A$1:A796)+1)</f>
        <v/>
      </c>
      <c r="B797" s="10"/>
      <c r="C797" s="11" t="str">
        <f>IF(I797="","",ROUND((I797+0.5*MAX(0,CEILING(ROUND((MAX(C$1:C796)-1/48-I797)/0.5,6),1)))*1440,0)/1440)</f>
        <v/>
      </c>
      <c r="D797" s="9" t="str" cm="1">
        <f t="array" ref="D797">IF(H797="","",IFERROR(INDEX(Log!$C$19:$G$19,VALUE(MID(H797,FIND("#",H797)+1,1))),""))</f>
        <v/>
      </c>
      <c r="E797" s="9" t="str" cm="1">
        <f t="array" ref="E797">IF(OR(H797="",M797),"",IFERROR(_xlfn.LET(_xlpm.t,SUBSTITUTE(UPPER(H797),"م","M"),_xlpm.u,SUBSTITUTE(_xlpm.t,"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97" s="12"/>
      <c r="G797" s="13" t="str">
        <f>IF(B797="","",IF(M797,"⚠ Duplicate (not counted)",IF(AND(I797="",D797="",E797=""),"— ignored",IF(C797="","⚠ Time",IF(D797="","⚠ Plant",IF(E797="","⚠ Quantity",IF(AND(ISNUMBER(L797),COUNTIF(L$1:L796,L797)&gt;0),"⚠ Same serial "&amp;L797,IF(AND(ISNUMBER(L797),L797&gt;MIN($L$2:$L$1001),COUNTIF($L$2:$L$1001,L797-1)=0,COUNTIF($L$2:$L$1001,L797-2)&lt;2),"⚠ Missing serial "&amp;(L797-1),IF(AND(MAX(K$1:K796)&gt;0,N(K797)-MAX(K$1:K796)&gt;180),"⚠ Gap &gt; 3h",IF(C797-I797&gt;=0.99,"next day",IF(C797-I797&gt;0.4,"12h → 24h","")))))))))))</f>
        <v/>
      </c>
      <c r="H797" s="4" t="str">
        <f t="shared" si="60"/>
        <v/>
      </c>
      <c r="I797" s="5" t="str">
        <f t="shared" si="61"/>
        <v/>
      </c>
      <c r="J797" s="6">
        <f t="shared" si="62"/>
        <v>0</v>
      </c>
      <c r="K797" s="4" t="str">
        <f t="shared" si="63"/>
        <v/>
      </c>
      <c r="L797" s="4" t="str">
        <f t="shared" si="64"/>
        <v/>
      </c>
      <c r="M797" s="4" t="b" cm="1">
        <f t="array" ref="M797">IF(H797="",FALSE,SUMPRODUCT(--(H$1:H796=H797))&gt;0)</f>
        <v>0</v>
      </c>
    </row>
    <row r="798" spans="1:13" x14ac:dyDescent="0.25">
      <c r="A798" s="9" t="str">
        <f>IF(OR(B798="",M798,G798="— ignored"),"",MAX(A$1:A797)+1)</f>
        <v/>
      </c>
      <c r="B798" s="10"/>
      <c r="C798" s="11" t="str">
        <f>IF(I798="","",ROUND((I798+0.5*MAX(0,CEILING(ROUND((MAX(C$1:C797)-1/48-I798)/0.5,6),1)))*1440,0)/1440)</f>
        <v/>
      </c>
      <c r="D798" s="9" t="str" cm="1">
        <f t="array" ref="D798">IF(H798="","",IFERROR(INDEX(Log!$C$19:$G$19,VALUE(MID(H798,FIND("#",H798)+1,1))),""))</f>
        <v/>
      </c>
      <c r="E798" s="9" t="str" cm="1">
        <f t="array" ref="E798">IF(OR(H798="",M798),"",IFERROR(_xlfn.LET(_xlpm.t,SUBSTITUTE(UPPER(H798),"م","M"),_xlpm.u,SUBSTITUTE(_xlpm.t,"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98" s="12"/>
      <c r="G798" s="13" t="str">
        <f>IF(B798="","",IF(M798,"⚠ Duplicate (not counted)",IF(AND(I798="",D798="",E798=""),"— ignored",IF(C798="","⚠ Time",IF(D798="","⚠ Plant",IF(E798="","⚠ Quantity",IF(AND(ISNUMBER(L798),COUNTIF(L$1:L797,L798)&gt;0),"⚠ Same serial "&amp;L798,IF(AND(ISNUMBER(L798),L798&gt;MIN($L$2:$L$1001),COUNTIF($L$2:$L$1001,L798-1)=0,COUNTIF($L$2:$L$1001,L798-2)&lt;2),"⚠ Missing serial "&amp;(L798-1),IF(AND(MAX(K$1:K797)&gt;0,N(K798)-MAX(K$1:K797)&gt;180),"⚠ Gap &gt; 3h",IF(C798-I798&gt;=0.99,"next day",IF(C798-I798&gt;0.4,"12h → 24h","")))))))))))</f>
        <v/>
      </c>
      <c r="H798" s="4" t="str">
        <f t="shared" si="60"/>
        <v/>
      </c>
      <c r="I798" s="5" t="str">
        <f t="shared" si="61"/>
        <v/>
      </c>
      <c r="J798" s="6">
        <f t="shared" si="62"/>
        <v>0</v>
      </c>
      <c r="K798" s="4" t="str">
        <f t="shared" si="63"/>
        <v/>
      </c>
      <c r="L798" s="4" t="str">
        <f t="shared" si="64"/>
        <v/>
      </c>
      <c r="M798" s="4" t="b" cm="1">
        <f t="array" ref="M798">IF(H798="",FALSE,SUMPRODUCT(--(H$1:H797=H798))&gt;0)</f>
        <v>0</v>
      </c>
    </row>
    <row r="799" spans="1:13" x14ac:dyDescent="0.25">
      <c r="A799" s="9" t="str">
        <f>IF(OR(B799="",M799,G799="— ignored"),"",MAX(A$1:A798)+1)</f>
        <v/>
      </c>
      <c r="B799" s="10"/>
      <c r="C799" s="11" t="str">
        <f>IF(I799="","",ROUND((I799+0.5*MAX(0,CEILING(ROUND((MAX(C$1:C798)-1/48-I799)/0.5,6),1)))*1440,0)/1440)</f>
        <v/>
      </c>
      <c r="D799" s="9" t="str" cm="1">
        <f t="array" ref="D799">IF(H799="","",IFERROR(INDEX(Log!$C$19:$G$19,VALUE(MID(H799,FIND("#",H799)+1,1))),""))</f>
        <v/>
      </c>
      <c r="E799" s="9" t="str" cm="1">
        <f t="array" ref="E799">IF(OR(H799="",M799),"",IFERROR(_xlfn.LET(_xlpm.t,SUBSTITUTE(UPPER(H799),"م","M"),_xlpm.u,SUBSTITUTE(_xlpm.t,"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799" s="12"/>
      <c r="G799" s="13" t="str">
        <f>IF(B799="","",IF(M799,"⚠ Duplicate (not counted)",IF(AND(I799="",D799="",E799=""),"— ignored",IF(C799="","⚠ Time",IF(D799="","⚠ Plant",IF(E799="","⚠ Quantity",IF(AND(ISNUMBER(L799),COUNTIF(L$1:L798,L799)&gt;0),"⚠ Same serial "&amp;L799,IF(AND(ISNUMBER(L799),L799&gt;MIN($L$2:$L$1001),COUNTIF($L$2:$L$1001,L799-1)=0,COUNTIF($L$2:$L$1001,L799-2)&lt;2),"⚠ Missing serial "&amp;(L799-1),IF(AND(MAX(K$1:K798)&gt;0,N(K799)-MAX(K$1:K798)&gt;180),"⚠ Gap &gt; 3h",IF(C799-I799&gt;=0.99,"next day",IF(C799-I799&gt;0.4,"12h → 24h","")))))))))))</f>
        <v/>
      </c>
      <c r="H799" s="4" t="str">
        <f t="shared" si="60"/>
        <v/>
      </c>
      <c r="I799" s="5" t="str">
        <f t="shared" si="61"/>
        <v/>
      </c>
      <c r="J799" s="6">
        <f t="shared" si="62"/>
        <v>0</v>
      </c>
      <c r="K799" s="4" t="str">
        <f t="shared" si="63"/>
        <v/>
      </c>
      <c r="L799" s="4" t="str">
        <f t="shared" si="64"/>
        <v/>
      </c>
      <c r="M799" s="4" t="b" cm="1">
        <f t="array" ref="M799">IF(H799="",FALSE,SUMPRODUCT(--(H$1:H798=H799))&gt;0)</f>
        <v>0</v>
      </c>
    </row>
    <row r="800" spans="1:13" x14ac:dyDescent="0.25">
      <c r="A800" s="9" t="str">
        <f>IF(OR(B800="",M800,G800="— ignored"),"",MAX(A$1:A799)+1)</f>
        <v/>
      </c>
      <c r="B800" s="10"/>
      <c r="C800" s="11" t="str">
        <f>IF(I800="","",ROUND((I800+0.5*MAX(0,CEILING(ROUND((MAX(C$1:C799)-1/48-I800)/0.5,6),1)))*1440,0)/1440)</f>
        <v/>
      </c>
      <c r="D800" s="9" t="str" cm="1">
        <f t="array" ref="D800">IF(H800="","",IFERROR(INDEX(Log!$C$19:$G$19,VALUE(MID(H800,FIND("#",H800)+1,1))),""))</f>
        <v/>
      </c>
      <c r="E800" s="9" t="str" cm="1">
        <f t="array" ref="E800">IF(OR(H800="",M800),"",IFERROR(_xlfn.LET(_xlpm.t,SUBSTITUTE(UPPER(H800),"م","M"),_xlpm.u,SUBSTITUTE(_xlpm.t,"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00" s="12"/>
      <c r="G800" s="13" t="str">
        <f>IF(B800="","",IF(M800,"⚠ Duplicate (not counted)",IF(AND(I800="",D800="",E800=""),"— ignored",IF(C800="","⚠ Time",IF(D800="","⚠ Plant",IF(E800="","⚠ Quantity",IF(AND(ISNUMBER(L800),COUNTIF(L$1:L799,L800)&gt;0),"⚠ Same serial "&amp;L800,IF(AND(ISNUMBER(L800),L800&gt;MIN($L$2:$L$1001),COUNTIF($L$2:$L$1001,L800-1)=0,COUNTIF($L$2:$L$1001,L800-2)&lt;2),"⚠ Missing serial "&amp;(L800-1),IF(AND(MAX(K$1:K799)&gt;0,N(K800)-MAX(K$1:K799)&gt;180),"⚠ Gap &gt; 3h",IF(C800-I800&gt;=0.99,"next day",IF(C800-I800&gt;0.4,"12h → 24h","")))))))))))</f>
        <v/>
      </c>
      <c r="H800" s="4" t="str">
        <f t="shared" si="60"/>
        <v/>
      </c>
      <c r="I800" s="5" t="str">
        <f t="shared" si="61"/>
        <v/>
      </c>
      <c r="J800" s="6">
        <f t="shared" si="62"/>
        <v>0</v>
      </c>
      <c r="K800" s="4" t="str">
        <f t="shared" si="63"/>
        <v/>
      </c>
      <c r="L800" s="4" t="str">
        <f t="shared" si="64"/>
        <v/>
      </c>
      <c r="M800" s="4" t="b" cm="1">
        <f t="array" ref="M800">IF(H800="",FALSE,SUMPRODUCT(--(H$1:H799=H800))&gt;0)</f>
        <v>0</v>
      </c>
    </row>
    <row r="801" spans="1:13" x14ac:dyDescent="0.25">
      <c r="A801" s="9" t="str">
        <f>IF(OR(B801="",M801,G801="— ignored"),"",MAX(A$1:A800)+1)</f>
        <v/>
      </c>
      <c r="B801" s="10"/>
      <c r="C801" s="11" t="str">
        <f>IF(I801="","",ROUND((I801+0.5*MAX(0,CEILING(ROUND((MAX(C$1:C800)-1/48-I801)/0.5,6),1)))*1440,0)/1440)</f>
        <v/>
      </c>
      <c r="D801" s="9" t="str" cm="1">
        <f t="array" ref="D801">IF(H801="","",IFERROR(INDEX(Log!$C$19:$G$19,VALUE(MID(H801,FIND("#",H801)+1,1))),""))</f>
        <v/>
      </c>
      <c r="E801" s="9" t="str" cm="1">
        <f t="array" ref="E801">IF(OR(H801="",M801),"",IFERROR(_xlfn.LET(_xlpm.t,SUBSTITUTE(UPPER(H801),"م","M"),_xlpm.u,SUBSTITUTE(_xlpm.t,"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01" s="12"/>
      <c r="G801" s="13" t="str">
        <f>IF(B801="","",IF(M801,"⚠ Duplicate (not counted)",IF(AND(I801="",D801="",E801=""),"— ignored",IF(C801="","⚠ Time",IF(D801="","⚠ Plant",IF(E801="","⚠ Quantity",IF(AND(ISNUMBER(L801),COUNTIF(L$1:L800,L801)&gt;0),"⚠ Same serial "&amp;L801,IF(AND(ISNUMBER(L801),L801&gt;MIN($L$2:$L$1001),COUNTIF($L$2:$L$1001,L801-1)=0,COUNTIF($L$2:$L$1001,L801-2)&lt;2),"⚠ Missing serial "&amp;(L801-1),IF(AND(MAX(K$1:K800)&gt;0,N(K801)-MAX(K$1:K800)&gt;180),"⚠ Gap &gt; 3h",IF(C801-I801&gt;=0.99,"next day",IF(C801-I801&gt;0.4,"12h → 24h","")))))))))))</f>
        <v/>
      </c>
      <c r="H801" s="4" t="str">
        <f t="shared" si="60"/>
        <v/>
      </c>
      <c r="I801" s="5" t="str">
        <f t="shared" si="61"/>
        <v/>
      </c>
      <c r="J801" s="6">
        <f t="shared" si="62"/>
        <v>0</v>
      </c>
      <c r="K801" s="4" t="str">
        <f t="shared" si="63"/>
        <v/>
      </c>
      <c r="L801" s="4" t="str">
        <f t="shared" si="64"/>
        <v/>
      </c>
      <c r="M801" s="4" t="b" cm="1">
        <f t="array" ref="M801">IF(H801="",FALSE,SUMPRODUCT(--(H$1:H800=H801))&gt;0)</f>
        <v>0</v>
      </c>
    </row>
    <row r="802" spans="1:13" x14ac:dyDescent="0.25">
      <c r="A802" s="9" t="str">
        <f>IF(OR(B802="",M802,G802="— ignored"),"",MAX(A$1:A801)+1)</f>
        <v/>
      </c>
      <c r="B802" s="10"/>
      <c r="C802" s="11" t="str">
        <f>IF(I802="","",ROUND((I802+0.5*MAX(0,CEILING(ROUND((MAX(C$1:C801)-1/48-I802)/0.5,6),1)))*1440,0)/1440)</f>
        <v/>
      </c>
      <c r="D802" s="9" t="str" cm="1">
        <f t="array" ref="D802">IF(H802="","",IFERROR(INDEX(Log!$C$19:$G$19,VALUE(MID(H802,FIND("#",H802)+1,1))),""))</f>
        <v/>
      </c>
      <c r="E802" s="9" t="str" cm="1">
        <f t="array" ref="E802">IF(OR(H802="",M802),"",IFERROR(_xlfn.LET(_xlpm.t,SUBSTITUTE(UPPER(H802),"م","M"),_xlpm.u,SUBSTITUTE(_xlpm.t,"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02" s="12"/>
      <c r="G802" s="13" t="str">
        <f>IF(B802="","",IF(M802,"⚠ Duplicate (not counted)",IF(AND(I802="",D802="",E802=""),"— ignored",IF(C802="","⚠ Time",IF(D802="","⚠ Plant",IF(E802="","⚠ Quantity",IF(AND(ISNUMBER(L802),COUNTIF(L$1:L801,L802)&gt;0),"⚠ Same serial "&amp;L802,IF(AND(ISNUMBER(L802),L802&gt;MIN($L$2:$L$1001),COUNTIF($L$2:$L$1001,L802-1)=0,COUNTIF($L$2:$L$1001,L802-2)&lt;2),"⚠ Missing serial "&amp;(L802-1),IF(AND(MAX(K$1:K801)&gt;0,N(K802)-MAX(K$1:K801)&gt;180),"⚠ Gap &gt; 3h",IF(C802-I802&gt;=0.99,"next day",IF(C802-I802&gt;0.4,"12h → 24h","")))))))))))</f>
        <v/>
      </c>
      <c r="H802" s="4" t="str">
        <f t="shared" si="60"/>
        <v/>
      </c>
      <c r="I802" s="5" t="str">
        <f t="shared" si="61"/>
        <v/>
      </c>
      <c r="J802" s="6">
        <f t="shared" si="62"/>
        <v>0</v>
      </c>
      <c r="K802" s="4" t="str">
        <f t="shared" si="63"/>
        <v/>
      </c>
      <c r="L802" s="4" t="str">
        <f t="shared" si="64"/>
        <v/>
      </c>
      <c r="M802" s="4" t="b" cm="1">
        <f t="array" ref="M802">IF(H802="",FALSE,SUMPRODUCT(--(H$1:H801=H802))&gt;0)</f>
        <v>0</v>
      </c>
    </row>
    <row r="803" spans="1:13" x14ac:dyDescent="0.25">
      <c r="A803" s="9" t="str">
        <f>IF(OR(B803="",M803,G803="— ignored"),"",MAX(A$1:A802)+1)</f>
        <v/>
      </c>
      <c r="B803" s="10"/>
      <c r="C803" s="11" t="str">
        <f>IF(I803="","",ROUND((I803+0.5*MAX(0,CEILING(ROUND((MAX(C$1:C802)-1/48-I803)/0.5,6),1)))*1440,0)/1440)</f>
        <v/>
      </c>
      <c r="D803" s="9" t="str" cm="1">
        <f t="array" ref="D803">IF(H803="","",IFERROR(INDEX(Log!$C$19:$G$19,VALUE(MID(H803,FIND("#",H803)+1,1))),""))</f>
        <v/>
      </c>
      <c r="E803" s="9" t="str" cm="1">
        <f t="array" ref="E803">IF(OR(H803="",M803),"",IFERROR(_xlfn.LET(_xlpm.t,SUBSTITUTE(UPPER(H803),"م","M"),_xlpm.u,SUBSTITUTE(_xlpm.t,"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03" s="12"/>
      <c r="G803" s="13" t="str">
        <f>IF(B803="","",IF(M803,"⚠ Duplicate (not counted)",IF(AND(I803="",D803="",E803=""),"— ignored",IF(C803="","⚠ Time",IF(D803="","⚠ Plant",IF(E803="","⚠ Quantity",IF(AND(ISNUMBER(L803),COUNTIF(L$1:L802,L803)&gt;0),"⚠ Same serial "&amp;L803,IF(AND(ISNUMBER(L803),L803&gt;MIN($L$2:$L$1001),COUNTIF($L$2:$L$1001,L803-1)=0,COUNTIF($L$2:$L$1001,L803-2)&lt;2),"⚠ Missing serial "&amp;(L803-1),IF(AND(MAX(K$1:K802)&gt;0,N(K803)-MAX(K$1:K802)&gt;180),"⚠ Gap &gt; 3h",IF(C803-I803&gt;=0.99,"next day",IF(C803-I803&gt;0.4,"12h → 24h","")))))))))))</f>
        <v/>
      </c>
      <c r="H803" s="4" t="str">
        <f t="shared" si="60"/>
        <v/>
      </c>
      <c r="I803" s="5" t="str">
        <f t="shared" si="61"/>
        <v/>
      </c>
      <c r="J803" s="6">
        <f t="shared" si="62"/>
        <v>0</v>
      </c>
      <c r="K803" s="4" t="str">
        <f t="shared" si="63"/>
        <v/>
      </c>
      <c r="L803" s="4" t="str">
        <f t="shared" si="64"/>
        <v/>
      </c>
      <c r="M803" s="4" t="b" cm="1">
        <f t="array" ref="M803">IF(H803="",FALSE,SUMPRODUCT(--(H$1:H802=H803))&gt;0)</f>
        <v>0</v>
      </c>
    </row>
    <row r="804" spans="1:13" x14ac:dyDescent="0.25">
      <c r="A804" s="9" t="str">
        <f>IF(OR(B804="",M804,G804="— ignored"),"",MAX(A$1:A803)+1)</f>
        <v/>
      </c>
      <c r="B804" s="10"/>
      <c r="C804" s="11" t="str">
        <f>IF(I804="","",ROUND((I804+0.5*MAX(0,CEILING(ROUND((MAX(C$1:C803)-1/48-I804)/0.5,6),1)))*1440,0)/1440)</f>
        <v/>
      </c>
      <c r="D804" s="9" t="str" cm="1">
        <f t="array" ref="D804">IF(H804="","",IFERROR(INDEX(Log!$C$19:$G$19,VALUE(MID(H804,FIND("#",H804)+1,1))),""))</f>
        <v/>
      </c>
      <c r="E804" s="9" t="str" cm="1">
        <f t="array" ref="E804">IF(OR(H804="",M804),"",IFERROR(_xlfn.LET(_xlpm.t,SUBSTITUTE(UPPER(H804),"م","M"),_xlpm.u,SUBSTITUTE(_xlpm.t,"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04" s="12"/>
      <c r="G804" s="13" t="str">
        <f>IF(B804="","",IF(M804,"⚠ Duplicate (not counted)",IF(AND(I804="",D804="",E804=""),"— ignored",IF(C804="","⚠ Time",IF(D804="","⚠ Plant",IF(E804="","⚠ Quantity",IF(AND(ISNUMBER(L804),COUNTIF(L$1:L803,L804)&gt;0),"⚠ Same serial "&amp;L804,IF(AND(ISNUMBER(L804),L804&gt;MIN($L$2:$L$1001),COUNTIF($L$2:$L$1001,L804-1)=0,COUNTIF($L$2:$L$1001,L804-2)&lt;2),"⚠ Missing serial "&amp;(L804-1),IF(AND(MAX(K$1:K803)&gt;0,N(K804)-MAX(K$1:K803)&gt;180),"⚠ Gap &gt; 3h",IF(C804-I804&gt;=0.99,"next day",IF(C804-I804&gt;0.4,"12h → 24h","")))))))))))</f>
        <v/>
      </c>
      <c r="H804" s="4" t="str">
        <f t="shared" si="60"/>
        <v/>
      </c>
      <c r="I804" s="5" t="str">
        <f t="shared" si="61"/>
        <v/>
      </c>
      <c r="J804" s="6">
        <f t="shared" si="62"/>
        <v>0</v>
      </c>
      <c r="K804" s="4" t="str">
        <f t="shared" si="63"/>
        <v/>
      </c>
      <c r="L804" s="4" t="str">
        <f t="shared" si="64"/>
        <v/>
      </c>
      <c r="M804" s="4" t="b" cm="1">
        <f t="array" ref="M804">IF(H804="",FALSE,SUMPRODUCT(--(H$1:H803=H804))&gt;0)</f>
        <v>0</v>
      </c>
    </row>
    <row r="805" spans="1:13" x14ac:dyDescent="0.25">
      <c r="A805" s="9" t="str">
        <f>IF(OR(B805="",M805,G805="— ignored"),"",MAX(A$1:A804)+1)</f>
        <v/>
      </c>
      <c r="B805" s="10"/>
      <c r="C805" s="11" t="str">
        <f>IF(I805="","",ROUND((I805+0.5*MAX(0,CEILING(ROUND((MAX(C$1:C804)-1/48-I805)/0.5,6),1)))*1440,0)/1440)</f>
        <v/>
      </c>
      <c r="D805" s="9" t="str" cm="1">
        <f t="array" ref="D805">IF(H805="","",IFERROR(INDEX(Log!$C$19:$G$19,VALUE(MID(H805,FIND("#",H805)+1,1))),""))</f>
        <v/>
      </c>
      <c r="E805" s="9" t="str" cm="1">
        <f t="array" ref="E805">IF(OR(H805="",M805),"",IFERROR(_xlfn.LET(_xlpm.t,SUBSTITUTE(UPPER(H805),"م","M"),_xlpm.u,SUBSTITUTE(_xlpm.t,"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05" s="12"/>
      <c r="G805" s="13" t="str">
        <f>IF(B805="","",IF(M805,"⚠ Duplicate (not counted)",IF(AND(I805="",D805="",E805=""),"— ignored",IF(C805="","⚠ Time",IF(D805="","⚠ Plant",IF(E805="","⚠ Quantity",IF(AND(ISNUMBER(L805),COUNTIF(L$1:L804,L805)&gt;0),"⚠ Same serial "&amp;L805,IF(AND(ISNUMBER(L805),L805&gt;MIN($L$2:$L$1001),COUNTIF($L$2:$L$1001,L805-1)=0,COUNTIF($L$2:$L$1001,L805-2)&lt;2),"⚠ Missing serial "&amp;(L805-1),IF(AND(MAX(K$1:K804)&gt;0,N(K805)-MAX(K$1:K804)&gt;180),"⚠ Gap &gt; 3h",IF(C805-I805&gt;=0.99,"next day",IF(C805-I805&gt;0.4,"12h → 24h","")))))))))))</f>
        <v/>
      </c>
      <c r="H805" s="4" t="str">
        <f t="shared" si="60"/>
        <v/>
      </c>
      <c r="I805" s="5" t="str">
        <f t="shared" si="61"/>
        <v/>
      </c>
      <c r="J805" s="6">
        <f t="shared" si="62"/>
        <v>0</v>
      </c>
      <c r="K805" s="4" t="str">
        <f t="shared" si="63"/>
        <v/>
      </c>
      <c r="L805" s="4" t="str">
        <f t="shared" si="64"/>
        <v/>
      </c>
      <c r="M805" s="4" t="b" cm="1">
        <f t="array" ref="M805">IF(H805="",FALSE,SUMPRODUCT(--(H$1:H804=H805))&gt;0)</f>
        <v>0</v>
      </c>
    </row>
    <row r="806" spans="1:13" x14ac:dyDescent="0.25">
      <c r="A806" s="9" t="str">
        <f>IF(OR(B806="",M806,G806="— ignored"),"",MAX(A$1:A805)+1)</f>
        <v/>
      </c>
      <c r="B806" s="10"/>
      <c r="C806" s="11" t="str">
        <f>IF(I806="","",ROUND((I806+0.5*MAX(0,CEILING(ROUND((MAX(C$1:C805)-1/48-I806)/0.5,6),1)))*1440,0)/1440)</f>
        <v/>
      </c>
      <c r="D806" s="9" t="str" cm="1">
        <f t="array" ref="D806">IF(H806="","",IFERROR(INDEX(Log!$C$19:$G$19,VALUE(MID(H806,FIND("#",H806)+1,1))),""))</f>
        <v/>
      </c>
      <c r="E806" s="9" t="str" cm="1">
        <f t="array" ref="E806">IF(OR(H806="",M806),"",IFERROR(_xlfn.LET(_xlpm.t,SUBSTITUTE(UPPER(H806),"م","M"),_xlpm.u,SUBSTITUTE(_xlpm.t,"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06" s="12"/>
      <c r="G806" s="13" t="str">
        <f>IF(B806="","",IF(M806,"⚠ Duplicate (not counted)",IF(AND(I806="",D806="",E806=""),"— ignored",IF(C806="","⚠ Time",IF(D806="","⚠ Plant",IF(E806="","⚠ Quantity",IF(AND(ISNUMBER(L806),COUNTIF(L$1:L805,L806)&gt;0),"⚠ Same serial "&amp;L806,IF(AND(ISNUMBER(L806),L806&gt;MIN($L$2:$L$1001),COUNTIF($L$2:$L$1001,L806-1)=0,COUNTIF($L$2:$L$1001,L806-2)&lt;2),"⚠ Missing serial "&amp;(L806-1),IF(AND(MAX(K$1:K805)&gt;0,N(K806)-MAX(K$1:K805)&gt;180),"⚠ Gap &gt; 3h",IF(C806-I806&gt;=0.99,"next day",IF(C806-I806&gt;0.4,"12h → 24h","")))))))))))</f>
        <v/>
      </c>
      <c r="H806" s="4" t="str">
        <f t="shared" si="60"/>
        <v/>
      </c>
      <c r="I806" s="5" t="str">
        <f t="shared" si="61"/>
        <v/>
      </c>
      <c r="J806" s="6">
        <f t="shared" si="62"/>
        <v>0</v>
      </c>
      <c r="K806" s="4" t="str">
        <f t="shared" si="63"/>
        <v/>
      </c>
      <c r="L806" s="4" t="str">
        <f t="shared" si="64"/>
        <v/>
      </c>
      <c r="M806" s="4" t="b" cm="1">
        <f t="array" ref="M806">IF(H806="",FALSE,SUMPRODUCT(--(H$1:H805=H806))&gt;0)</f>
        <v>0</v>
      </c>
    </row>
    <row r="807" spans="1:13" x14ac:dyDescent="0.25">
      <c r="A807" s="9" t="str">
        <f>IF(OR(B807="",M807,G807="— ignored"),"",MAX(A$1:A806)+1)</f>
        <v/>
      </c>
      <c r="B807" s="10"/>
      <c r="C807" s="11" t="str">
        <f>IF(I807="","",ROUND((I807+0.5*MAX(0,CEILING(ROUND((MAX(C$1:C806)-1/48-I807)/0.5,6),1)))*1440,0)/1440)</f>
        <v/>
      </c>
      <c r="D807" s="9" t="str" cm="1">
        <f t="array" ref="D807">IF(H807="","",IFERROR(INDEX(Log!$C$19:$G$19,VALUE(MID(H807,FIND("#",H807)+1,1))),""))</f>
        <v/>
      </c>
      <c r="E807" s="9" t="str" cm="1">
        <f t="array" ref="E807">IF(OR(H807="",M807),"",IFERROR(_xlfn.LET(_xlpm.t,SUBSTITUTE(UPPER(H807),"م","M"),_xlpm.u,SUBSTITUTE(_xlpm.t,"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07" s="12"/>
      <c r="G807" s="13" t="str">
        <f>IF(B807="","",IF(M807,"⚠ Duplicate (not counted)",IF(AND(I807="",D807="",E807=""),"— ignored",IF(C807="","⚠ Time",IF(D807="","⚠ Plant",IF(E807="","⚠ Quantity",IF(AND(ISNUMBER(L807),COUNTIF(L$1:L806,L807)&gt;0),"⚠ Same serial "&amp;L807,IF(AND(ISNUMBER(L807),L807&gt;MIN($L$2:$L$1001),COUNTIF($L$2:$L$1001,L807-1)=0,COUNTIF($L$2:$L$1001,L807-2)&lt;2),"⚠ Missing serial "&amp;(L807-1),IF(AND(MAX(K$1:K806)&gt;0,N(K807)-MAX(K$1:K806)&gt;180),"⚠ Gap &gt; 3h",IF(C807-I807&gt;=0.99,"next day",IF(C807-I807&gt;0.4,"12h → 24h","")))))))))))</f>
        <v/>
      </c>
      <c r="H807" s="4" t="str">
        <f t="shared" si="60"/>
        <v/>
      </c>
      <c r="I807" s="5" t="str">
        <f t="shared" si="61"/>
        <v/>
      </c>
      <c r="J807" s="6">
        <f t="shared" si="62"/>
        <v>0</v>
      </c>
      <c r="K807" s="4" t="str">
        <f t="shared" si="63"/>
        <v/>
      </c>
      <c r="L807" s="4" t="str">
        <f t="shared" si="64"/>
        <v/>
      </c>
      <c r="M807" s="4" t="b" cm="1">
        <f t="array" ref="M807">IF(H807="",FALSE,SUMPRODUCT(--(H$1:H806=H807))&gt;0)</f>
        <v>0</v>
      </c>
    </row>
    <row r="808" spans="1:13" x14ac:dyDescent="0.25">
      <c r="A808" s="9" t="str">
        <f>IF(OR(B808="",M808,G808="— ignored"),"",MAX(A$1:A807)+1)</f>
        <v/>
      </c>
      <c r="B808" s="10"/>
      <c r="C808" s="11" t="str">
        <f>IF(I808="","",ROUND((I808+0.5*MAX(0,CEILING(ROUND((MAX(C$1:C807)-1/48-I808)/0.5,6),1)))*1440,0)/1440)</f>
        <v/>
      </c>
      <c r="D808" s="9" t="str" cm="1">
        <f t="array" ref="D808">IF(H808="","",IFERROR(INDEX(Log!$C$19:$G$19,VALUE(MID(H808,FIND("#",H808)+1,1))),""))</f>
        <v/>
      </c>
      <c r="E808" s="9" t="str" cm="1">
        <f t="array" ref="E808">IF(OR(H808="",M808),"",IFERROR(_xlfn.LET(_xlpm.t,SUBSTITUTE(UPPER(H808),"م","M"),_xlpm.u,SUBSTITUTE(_xlpm.t,"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08" s="12"/>
      <c r="G808" s="13" t="str">
        <f>IF(B808="","",IF(M808,"⚠ Duplicate (not counted)",IF(AND(I808="",D808="",E808=""),"— ignored",IF(C808="","⚠ Time",IF(D808="","⚠ Plant",IF(E808="","⚠ Quantity",IF(AND(ISNUMBER(L808),COUNTIF(L$1:L807,L808)&gt;0),"⚠ Same serial "&amp;L808,IF(AND(ISNUMBER(L808),L808&gt;MIN($L$2:$L$1001),COUNTIF($L$2:$L$1001,L808-1)=0,COUNTIF($L$2:$L$1001,L808-2)&lt;2),"⚠ Missing serial "&amp;(L808-1),IF(AND(MAX(K$1:K807)&gt;0,N(K808)-MAX(K$1:K807)&gt;180),"⚠ Gap &gt; 3h",IF(C808-I808&gt;=0.99,"next day",IF(C808-I808&gt;0.4,"12h → 24h","")))))))))))</f>
        <v/>
      </c>
      <c r="H808" s="4" t="str">
        <f t="shared" si="60"/>
        <v/>
      </c>
      <c r="I808" s="5" t="str">
        <f t="shared" si="61"/>
        <v/>
      </c>
      <c r="J808" s="6">
        <f t="shared" si="62"/>
        <v>0</v>
      </c>
      <c r="K808" s="4" t="str">
        <f t="shared" si="63"/>
        <v/>
      </c>
      <c r="L808" s="4" t="str">
        <f t="shared" si="64"/>
        <v/>
      </c>
      <c r="M808" s="4" t="b" cm="1">
        <f t="array" ref="M808">IF(H808="",FALSE,SUMPRODUCT(--(H$1:H807=H808))&gt;0)</f>
        <v>0</v>
      </c>
    </row>
    <row r="809" spans="1:13" x14ac:dyDescent="0.25">
      <c r="A809" s="9" t="str">
        <f>IF(OR(B809="",M809,G809="— ignored"),"",MAX(A$1:A808)+1)</f>
        <v/>
      </c>
      <c r="B809" s="10"/>
      <c r="C809" s="11" t="str">
        <f>IF(I809="","",ROUND((I809+0.5*MAX(0,CEILING(ROUND((MAX(C$1:C808)-1/48-I809)/0.5,6),1)))*1440,0)/1440)</f>
        <v/>
      </c>
      <c r="D809" s="9" t="str" cm="1">
        <f t="array" ref="D809">IF(H809="","",IFERROR(INDEX(Log!$C$19:$G$19,VALUE(MID(H809,FIND("#",H809)+1,1))),""))</f>
        <v/>
      </c>
      <c r="E809" s="9" t="str" cm="1">
        <f t="array" ref="E809">IF(OR(H809="",M809),"",IFERROR(_xlfn.LET(_xlpm.t,SUBSTITUTE(UPPER(H809),"م","M"),_xlpm.u,SUBSTITUTE(_xlpm.t,"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09" s="12"/>
      <c r="G809" s="13" t="str">
        <f>IF(B809="","",IF(M809,"⚠ Duplicate (not counted)",IF(AND(I809="",D809="",E809=""),"— ignored",IF(C809="","⚠ Time",IF(D809="","⚠ Plant",IF(E809="","⚠ Quantity",IF(AND(ISNUMBER(L809),COUNTIF(L$1:L808,L809)&gt;0),"⚠ Same serial "&amp;L809,IF(AND(ISNUMBER(L809),L809&gt;MIN($L$2:$L$1001),COUNTIF($L$2:$L$1001,L809-1)=0,COUNTIF($L$2:$L$1001,L809-2)&lt;2),"⚠ Missing serial "&amp;(L809-1),IF(AND(MAX(K$1:K808)&gt;0,N(K809)-MAX(K$1:K808)&gt;180),"⚠ Gap &gt; 3h",IF(C809-I809&gt;=0.99,"next day",IF(C809-I809&gt;0.4,"12h → 24h","")))))))))))</f>
        <v/>
      </c>
      <c r="H809" s="4" t="str">
        <f t="shared" si="60"/>
        <v/>
      </c>
      <c r="I809" s="5" t="str">
        <f t="shared" si="61"/>
        <v/>
      </c>
      <c r="J809" s="6">
        <f t="shared" si="62"/>
        <v>0</v>
      </c>
      <c r="K809" s="4" t="str">
        <f t="shared" si="63"/>
        <v/>
      </c>
      <c r="L809" s="4" t="str">
        <f t="shared" si="64"/>
        <v/>
      </c>
      <c r="M809" s="4" t="b" cm="1">
        <f t="array" ref="M809">IF(H809="",FALSE,SUMPRODUCT(--(H$1:H808=H809))&gt;0)</f>
        <v>0</v>
      </c>
    </row>
    <row r="810" spans="1:13" x14ac:dyDescent="0.25">
      <c r="A810" s="9" t="str">
        <f>IF(OR(B810="",M810,G810="— ignored"),"",MAX(A$1:A809)+1)</f>
        <v/>
      </c>
      <c r="B810" s="10"/>
      <c r="C810" s="11" t="str">
        <f>IF(I810="","",ROUND((I810+0.5*MAX(0,CEILING(ROUND((MAX(C$1:C809)-1/48-I810)/0.5,6),1)))*1440,0)/1440)</f>
        <v/>
      </c>
      <c r="D810" s="9" t="str" cm="1">
        <f t="array" ref="D810">IF(H810="","",IFERROR(INDEX(Log!$C$19:$G$19,VALUE(MID(H810,FIND("#",H810)+1,1))),""))</f>
        <v/>
      </c>
      <c r="E810" s="9" t="str" cm="1">
        <f t="array" ref="E810">IF(OR(H810="",M810),"",IFERROR(_xlfn.LET(_xlpm.t,SUBSTITUTE(UPPER(H810),"م","M"),_xlpm.u,SUBSTITUTE(_xlpm.t,"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10" s="12"/>
      <c r="G810" s="13" t="str">
        <f>IF(B810="","",IF(M810,"⚠ Duplicate (not counted)",IF(AND(I810="",D810="",E810=""),"— ignored",IF(C810="","⚠ Time",IF(D810="","⚠ Plant",IF(E810="","⚠ Quantity",IF(AND(ISNUMBER(L810),COUNTIF(L$1:L809,L810)&gt;0),"⚠ Same serial "&amp;L810,IF(AND(ISNUMBER(L810),L810&gt;MIN($L$2:$L$1001),COUNTIF($L$2:$L$1001,L810-1)=0,COUNTIF($L$2:$L$1001,L810-2)&lt;2),"⚠ Missing serial "&amp;(L810-1),IF(AND(MAX(K$1:K809)&gt;0,N(K810)-MAX(K$1:K809)&gt;180),"⚠ Gap &gt; 3h",IF(C810-I810&gt;=0.99,"next day",IF(C810-I810&gt;0.4,"12h → 24h","")))))))))))</f>
        <v/>
      </c>
      <c r="H810" s="4" t="str">
        <f t="shared" si="60"/>
        <v/>
      </c>
      <c r="I810" s="5" t="str">
        <f t="shared" si="61"/>
        <v/>
      </c>
      <c r="J810" s="6">
        <f t="shared" si="62"/>
        <v>0</v>
      </c>
      <c r="K810" s="4" t="str">
        <f t="shared" si="63"/>
        <v/>
      </c>
      <c r="L810" s="4" t="str">
        <f t="shared" si="64"/>
        <v/>
      </c>
      <c r="M810" s="4" t="b" cm="1">
        <f t="array" ref="M810">IF(H810="",FALSE,SUMPRODUCT(--(H$1:H809=H810))&gt;0)</f>
        <v>0</v>
      </c>
    </row>
    <row r="811" spans="1:13" x14ac:dyDescent="0.25">
      <c r="A811" s="9" t="str">
        <f>IF(OR(B811="",M811,G811="— ignored"),"",MAX(A$1:A810)+1)</f>
        <v/>
      </c>
      <c r="B811" s="10"/>
      <c r="C811" s="11" t="str">
        <f>IF(I811="","",ROUND((I811+0.5*MAX(0,CEILING(ROUND((MAX(C$1:C810)-1/48-I811)/0.5,6),1)))*1440,0)/1440)</f>
        <v/>
      </c>
      <c r="D811" s="9" t="str" cm="1">
        <f t="array" ref="D811">IF(H811="","",IFERROR(INDEX(Log!$C$19:$G$19,VALUE(MID(H811,FIND("#",H811)+1,1))),""))</f>
        <v/>
      </c>
      <c r="E811" s="9" t="str" cm="1">
        <f t="array" ref="E811">IF(OR(H811="",M811),"",IFERROR(_xlfn.LET(_xlpm.t,SUBSTITUTE(UPPER(H811),"م","M"),_xlpm.u,SUBSTITUTE(_xlpm.t,"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11" s="12"/>
      <c r="G811" s="13" t="str">
        <f>IF(B811="","",IF(M811,"⚠ Duplicate (not counted)",IF(AND(I811="",D811="",E811=""),"— ignored",IF(C811="","⚠ Time",IF(D811="","⚠ Plant",IF(E811="","⚠ Quantity",IF(AND(ISNUMBER(L811),COUNTIF(L$1:L810,L811)&gt;0),"⚠ Same serial "&amp;L811,IF(AND(ISNUMBER(L811),L811&gt;MIN($L$2:$L$1001),COUNTIF($L$2:$L$1001,L811-1)=0,COUNTIF($L$2:$L$1001,L811-2)&lt;2),"⚠ Missing serial "&amp;(L811-1),IF(AND(MAX(K$1:K810)&gt;0,N(K811)-MAX(K$1:K810)&gt;180),"⚠ Gap &gt; 3h",IF(C811-I811&gt;=0.99,"next day",IF(C811-I811&gt;0.4,"12h → 24h","")))))))))))</f>
        <v/>
      </c>
      <c r="H811" s="4" t="str">
        <f t="shared" si="60"/>
        <v/>
      </c>
      <c r="I811" s="5" t="str">
        <f t="shared" si="61"/>
        <v/>
      </c>
      <c r="J811" s="6">
        <f t="shared" si="62"/>
        <v>0</v>
      </c>
      <c r="K811" s="4" t="str">
        <f t="shared" si="63"/>
        <v/>
      </c>
      <c r="L811" s="4" t="str">
        <f t="shared" si="64"/>
        <v/>
      </c>
      <c r="M811" s="4" t="b" cm="1">
        <f t="array" ref="M811">IF(H811="",FALSE,SUMPRODUCT(--(H$1:H810=H811))&gt;0)</f>
        <v>0</v>
      </c>
    </row>
    <row r="812" spans="1:13" x14ac:dyDescent="0.25">
      <c r="A812" s="9" t="str">
        <f>IF(OR(B812="",M812,G812="— ignored"),"",MAX(A$1:A811)+1)</f>
        <v/>
      </c>
      <c r="B812" s="10"/>
      <c r="C812" s="11" t="str">
        <f>IF(I812="","",ROUND((I812+0.5*MAX(0,CEILING(ROUND((MAX(C$1:C811)-1/48-I812)/0.5,6),1)))*1440,0)/1440)</f>
        <v/>
      </c>
      <c r="D812" s="9" t="str" cm="1">
        <f t="array" ref="D812">IF(H812="","",IFERROR(INDEX(Log!$C$19:$G$19,VALUE(MID(H812,FIND("#",H812)+1,1))),""))</f>
        <v/>
      </c>
      <c r="E812" s="9" t="str" cm="1">
        <f t="array" ref="E812">IF(OR(H812="",M812),"",IFERROR(_xlfn.LET(_xlpm.t,SUBSTITUTE(UPPER(H812),"م","M"),_xlpm.u,SUBSTITUTE(_xlpm.t,"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12" s="12"/>
      <c r="G812" s="13" t="str">
        <f>IF(B812="","",IF(M812,"⚠ Duplicate (not counted)",IF(AND(I812="",D812="",E812=""),"— ignored",IF(C812="","⚠ Time",IF(D812="","⚠ Plant",IF(E812="","⚠ Quantity",IF(AND(ISNUMBER(L812),COUNTIF(L$1:L811,L812)&gt;0),"⚠ Same serial "&amp;L812,IF(AND(ISNUMBER(L812),L812&gt;MIN($L$2:$L$1001),COUNTIF($L$2:$L$1001,L812-1)=0,COUNTIF($L$2:$L$1001,L812-2)&lt;2),"⚠ Missing serial "&amp;(L812-1),IF(AND(MAX(K$1:K811)&gt;0,N(K812)-MAX(K$1:K811)&gt;180),"⚠ Gap &gt; 3h",IF(C812-I812&gt;=0.99,"next day",IF(C812-I812&gt;0.4,"12h → 24h","")))))))))))</f>
        <v/>
      </c>
      <c r="H812" s="4" t="str">
        <f t="shared" si="60"/>
        <v/>
      </c>
      <c r="I812" s="5" t="str">
        <f t="shared" si="61"/>
        <v/>
      </c>
      <c r="J812" s="6">
        <f t="shared" si="62"/>
        <v>0</v>
      </c>
      <c r="K812" s="4" t="str">
        <f t="shared" si="63"/>
        <v/>
      </c>
      <c r="L812" s="4" t="str">
        <f t="shared" si="64"/>
        <v/>
      </c>
      <c r="M812" s="4" t="b" cm="1">
        <f t="array" ref="M812">IF(H812="",FALSE,SUMPRODUCT(--(H$1:H811=H812))&gt;0)</f>
        <v>0</v>
      </c>
    </row>
    <row r="813" spans="1:13" x14ac:dyDescent="0.25">
      <c r="A813" s="9" t="str">
        <f>IF(OR(B813="",M813,G813="— ignored"),"",MAX(A$1:A812)+1)</f>
        <v/>
      </c>
      <c r="B813" s="10"/>
      <c r="C813" s="11" t="str">
        <f>IF(I813="","",ROUND((I813+0.5*MAX(0,CEILING(ROUND((MAX(C$1:C812)-1/48-I813)/0.5,6),1)))*1440,0)/1440)</f>
        <v/>
      </c>
      <c r="D813" s="9" t="str" cm="1">
        <f t="array" ref="D813">IF(H813="","",IFERROR(INDEX(Log!$C$19:$G$19,VALUE(MID(H813,FIND("#",H813)+1,1))),""))</f>
        <v/>
      </c>
      <c r="E813" s="9" t="str" cm="1">
        <f t="array" ref="E813">IF(OR(H813="",M813),"",IFERROR(_xlfn.LET(_xlpm.t,SUBSTITUTE(UPPER(H813),"م","M"),_xlpm.u,SUBSTITUTE(_xlpm.t,"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13" s="12"/>
      <c r="G813" s="13" t="str">
        <f>IF(B813="","",IF(M813,"⚠ Duplicate (not counted)",IF(AND(I813="",D813="",E813=""),"— ignored",IF(C813="","⚠ Time",IF(D813="","⚠ Plant",IF(E813="","⚠ Quantity",IF(AND(ISNUMBER(L813),COUNTIF(L$1:L812,L813)&gt;0),"⚠ Same serial "&amp;L813,IF(AND(ISNUMBER(L813),L813&gt;MIN($L$2:$L$1001),COUNTIF($L$2:$L$1001,L813-1)=0,COUNTIF($L$2:$L$1001,L813-2)&lt;2),"⚠ Missing serial "&amp;(L813-1),IF(AND(MAX(K$1:K812)&gt;0,N(K813)-MAX(K$1:K812)&gt;180),"⚠ Gap &gt; 3h",IF(C813-I813&gt;=0.99,"next day",IF(C813-I813&gt;0.4,"12h → 24h","")))))))))))</f>
        <v/>
      </c>
      <c r="H813" s="4" t="str">
        <f t="shared" si="60"/>
        <v/>
      </c>
      <c r="I813" s="5" t="str">
        <f t="shared" si="61"/>
        <v/>
      </c>
      <c r="J813" s="6">
        <f t="shared" si="62"/>
        <v>0</v>
      </c>
      <c r="K813" s="4" t="str">
        <f t="shared" si="63"/>
        <v/>
      </c>
      <c r="L813" s="4" t="str">
        <f t="shared" si="64"/>
        <v/>
      </c>
      <c r="M813" s="4" t="b" cm="1">
        <f t="array" ref="M813">IF(H813="",FALSE,SUMPRODUCT(--(H$1:H812=H813))&gt;0)</f>
        <v>0</v>
      </c>
    </row>
    <row r="814" spans="1:13" x14ac:dyDescent="0.25">
      <c r="A814" s="9" t="str">
        <f>IF(OR(B814="",M814,G814="— ignored"),"",MAX(A$1:A813)+1)</f>
        <v/>
      </c>
      <c r="B814" s="10"/>
      <c r="C814" s="11" t="str">
        <f>IF(I814="","",ROUND((I814+0.5*MAX(0,CEILING(ROUND((MAX(C$1:C813)-1/48-I814)/0.5,6),1)))*1440,0)/1440)</f>
        <v/>
      </c>
      <c r="D814" s="9" t="str" cm="1">
        <f t="array" ref="D814">IF(H814="","",IFERROR(INDEX(Log!$C$19:$G$19,VALUE(MID(H814,FIND("#",H814)+1,1))),""))</f>
        <v/>
      </c>
      <c r="E814" s="9" t="str" cm="1">
        <f t="array" ref="E814">IF(OR(H814="",M814),"",IFERROR(_xlfn.LET(_xlpm.t,SUBSTITUTE(UPPER(H814),"م","M"),_xlpm.u,SUBSTITUTE(_xlpm.t,"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14" s="12"/>
      <c r="G814" s="13" t="str">
        <f>IF(B814="","",IF(M814,"⚠ Duplicate (not counted)",IF(AND(I814="",D814="",E814=""),"— ignored",IF(C814="","⚠ Time",IF(D814="","⚠ Plant",IF(E814="","⚠ Quantity",IF(AND(ISNUMBER(L814),COUNTIF(L$1:L813,L814)&gt;0),"⚠ Same serial "&amp;L814,IF(AND(ISNUMBER(L814),L814&gt;MIN($L$2:$L$1001),COUNTIF($L$2:$L$1001,L814-1)=0,COUNTIF($L$2:$L$1001,L814-2)&lt;2),"⚠ Missing serial "&amp;(L814-1),IF(AND(MAX(K$1:K813)&gt;0,N(K814)-MAX(K$1:K813)&gt;180),"⚠ Gap &gt; 3h",IF(C814-I814&gt;=0.99,"next day",IF(C814-I814&gt;0.4,"12h → 24h","")))))))))))</f>
        <v/>
      </c>
      <c r="H814" s="4" t="str">
        <f t="shared" si="60"/>
        <v/>
      </c>
      <c r="I814" s="5" t="str">
        <f t="shared" si="61"/>
        <v/>
      </c>
      <c r="J814" s="6">
        <f t="shared" si="62"/>
        <v>0</v>
      </c>
      <c r="K814" s="4" t="str">
        <f t="shared" si="63"/>
        <v/>
      </c>
      <c r="L814" s="4" t="str">
        <f t="shared" si="64"/>
        <v/>
      </c>
      <c r="M814" s="4" t="b" cm="1">
        <f t="array" ref="M814">IF(H814="",FALSE,SUMPRODUCT(--(H$1:H813=H814))&gt;0)</f>
        <v>0</v>
      </c>
    </row>
    <row r="815" spans="1:13" x14ac:dyDescent="0.25">
      <c r="A815" s="9" t="str">
        <f>IF(OR(B815="",M815,G815="— ignored"),"",MAX(A$1:A814)+1)</f>
        <v/>
      </c>
      <c r="B815" s="10"/>
      <c r="C815" s="11" t="str">
        <f>IF(I815="","",ROUND((I815+0.5*MAX(0,CEILING(ROUND((MAX(C$1:C814)-1/48-I815)/0.5,6),1)))*1440,0)/1440)</f>
        <v/>
      </c>
      <c r="D815" s="9" t="str" cm="1">
        <f t="array" ref="D815">IF(H815="","",IFERROR(INDEX(Log!$C$19:$G$19,VALUE(MID(H815,FIND("#",H815)+1,1))),""))</f>
        <v/>
      </c>
      <c r="E815" s="9" t="str" cm="1">
        <f t="array" ref="E815">IF(OR(H815="",M815),"",IFERROR(_xlfn.LET(_xlpm.t,SUBSTITUTE(UPPER(H815),"م","M"),_xlpm.u,SUBSTITUTE(_xlpm.t,"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15" s="12"/>
      <c r="G815" s="13" t="str">
        <f>IF(B815="","",IF(M815,"⚠ Duplicate (not counted)",IF(AND(I815="",D815="",E815=""),"— ignored",IF(C815="","⚠ Time",IF(D815="","⚠ Plant",IF(E815="","⚠ Quantity",IF(AND(ISNUMBER(L815),COUNTIF(L$1:L814,L815)&gt;0),"⚠ Same serial "&amp;L815,IF(AND(ISNUMBER(L815),L815&gt;MIN($L$2:$L$1001),COUNTIF($L$2:$L$1001,L815-1)=0,COUNTIF($L$2:$L$1001,L815-2)&lt;2),"⚠ Missing serial "&amp;(L815-1),IF(AND(MAX(K$1:K814)&gt;0,N(K815)-MAX(K$1:K814)&gt;180),"⚠ Gap &gt; 3h",IF(C815-I815&gt;=0.99,"next day",IF(C815-I815&gt;0.4,"12h → 24h","")))))))))))</f>
        <v/>
      </c>
      <c r="H815" s="4" t="str">
        <f t="shared" si="60"/>
        <v/>
      </c>
      <c r="I815" s="5" t="str">
        <f t="shared" si="61"/>
        <v/>
      </c>
      <c r="J815" s="6">
        <f t="shared" si="62"/>
        <v>0</v>
      </c>
      <c r="K815" s="4" t="str">
        <f t="shared" si="63"/>
        <v/>
      </c>
      <c r="L815" s="4" t="str">
        <f t="shared" si="64"/>
        <v/>
      </c>
      <c r="M815" s="4" t="b" cm="1">
        <f t="array" ref="M815">IF(H815="",FALSE,SUMPRODUCT(--(H$1:H814=H815))&gt;0)</f>
        <v>0</v>
      </c>
    </row>
    <row r="816" spans="1:13" x14ac:dyDescent="0.25">
      <c r="A816" s="9" t="str">
        <f>IF(OR(B816="",M816,G816="— ignored"),"",MAX(A$1:A815)+1)</f>
        <v/>
      </c>
      <c r="B816" s="10"/>
      <c r="C816" s="11" t="str">
        <f>IF(I816="","",ROUND((I816+0.5*MAX(0,CEILING(ROUND((MAX(C$1:C815)-1/48-I816)/0.5,6),1)))*1440,0)/1440)</f>
        <v/>
      </c>
      <c r="D816" s="9" t="str" cm="1">
        <f t="array" ref="D816">IF(H816="","",IFERROR(INDEX(Log!$C$19:$G$19,VALUE(MID(H816,FIND("#",H816)+1,1))),""))</f>
        <v/>
      </c>
      <c r="E816" s="9" t="str" cm="1">
        <f t="array" ref="E816">IF(OR(H816="",M816),"",IFERROR(_xlfn.LET(_xlpm.t,SUBSTITUTE(UPPER(H816),"م","M"),_xlpm.u,SUBSTITUTE(_xlpm.t,"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16" s="12"/>
      <c r="G816" s="13" t="str">
        <f>IF(B816="","",IF(M816,"⚠ Duplicate (not counted)",IF(AND(I816="",D816="",E816=""),"— ignored",IF(C816="","⚠ Time",IF(D816="","⚠ Plant",IF(E816="","⚠ Quantity",IF(AND(ISNUMBER(L816),COUNTIF(L$1:L815,L816)&gt;0),"⚠ Same serial "&amp;L816,IF(AND(ISNUMBER(L816),L816&gt;MIN($L$2:$L$1001),COUNTIF($L$2:$L$1001,L816-1)=0,COUNTIF($L$2:$L$1001,L816-2)&lt;2),"⚠ Missing serial "&amp;(L816-1),IF(AND(MAX(K$1:K815)&gt;0,N(K816)-MAX(K$1:K815)&gt;180),"⚠ Gap &gt; 3h",IF(C816-I816&gt;=0.99,"next day",IF(C816-I816&gt;0.4,"12h → 24h","")))))))))))</f>
        <v/>
      </c>
      <c r="H816" s="4" t="str">
        <f t="shared" si="60"/>
        <v/>
      </c>
      <c r="I816" s="5" t="str">
        <f t="shared" si="61"/>
        <v/>
      </c>
      <c r="J816" s="6">
        <f t="shared" si="62"/>
        <v>0</v>
      </c>
      <c r="K816" s="4" t="str">
        <f t="shared" si="63"/>
        <v/>
      </c>
      <c r="L816" s="4" t="str">
        <f t="shared" si="64"/>
        <v/>
      </c>
      <c r="M816" s="4" t="b" cm="1">
        <f t="array" ref="M816">IF(H816="",FALSE,SUMPRODUCT(--(H$1:H815=H816))&gt;0)</f>
        <v>0</v>
      </c>
    </row>
    <row r="817" spans="1:13" x14ac:dyDescent="0.25">
      <c r="A817" s="9" t="str">
        <f>IF(OR(B817="",M817,G817="— ignored"),"",MAX(A$1:A816)+1)</f>
        <v/>
      </c>
      <c r="B817" s="10"/>
      <c r="C817" s="11" t="str">
        <f>IF(I817="","",ROUND((I817+0.5*MAX(0,CEILING(ROUND((MAX(C$1:C816)-1/48-I817)/0.5,6),1)))*1440,0)/1440)</f>
        <v/>
      </c>
      <c r="D817" s="9" t="str" cm="1">
        <f t="array" ref="D817">IF(H817="","",IFERROR(INDEX(Log!$C$19:$G$19,VALUE(MID(H817,FIND("#",H817)+1,1))),""))</f>
        <v/>
      </c>
      <c r="E817" s="9" t="str" cm="1">
        <f t="array" ref="E817">IF(OR(H817="",M817),"",IFERROR(_xlfn.LET(_xlpm.t,SUBSTITUTE(UPPER(H817),"م","M"),_xlpm.u,SUBSTITUTE(_xlpm.t,"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17" s="12"/>
      <c r="G817" s="13" t="str">
        <f>IF(B817="","",IF(M817,"⚠ Duplicate (not counted)",IF(AND(I817="",D817="",E817=""),"— ignored",IF(C817="","⚠ Time",IF(D817="","⚠ Plant",IF(E817="","⚠ Quantity",IF(AND(ISNUMBER(L817),COUNTIF(L$1:L816,L817)&gt;0),"⚠ Same serial "&amp;L817,IF(AND(ISNUMBER(L817),L817&gt;MIN($L$2:$L$1001),COUNTIF($L$2:$L$1001,L817-1)=0,COUNTIF($L$2:$L$1001,L817-2)&lt;2),"⚠ Missing serial "&amp;(L817-1),IF(AND(MAX(K$1:K816)&gt;0,N(K817)-MAX(K$1:K816)&gt;180),"⚠ Gap &gt; 3h",IF(C817-I817&gt;=0.99,"next day",IF(C817-I817&gt;0.4,"12h → 24h","")))))))))))</f>
        <v/>
      </c>
      <c r="H817" s="4" t="str">
        <f t="shared" si="60"/>
        <v/>
      </c>
      <c r="I817" s="5" t="str">
        <f t="shared" si="61"/>
        <v/>
      </c>
      <c r="J817" s="6">
        <f t="shared" si="62"/>
        <v>0</v>
      </c>
      <c r="K817" s="4" t="str">
        <f t="shared" si="63"/>
        <v/>
      </c>
      <c r="L817" s="4" t="str">
        <f t="shared" si="64"/>
        <v/>
      </c>
      <c r="M817" s="4" t="b" cm="1">
        <f t="array" ref="M817">IF(H817="",FALSE,SUMPRODUCT(--(H$1:H816=H817))&gt;0)</f>
        <v>0</v>
      </c>
    </row>
    <row r="818" spans="1:13" x14ac:dyDescent="0.25">
      <c r="A818" s="9" t="str">
        <f>IF(OR(B818="",M818,G818="— ignored"),"",MAX(A$1:A817)+1)</f>
        <v/>
      </c>
      <c r="B818" s="10"/>
      <c r="C818" s="11" t="str">
        <f>IF(I818="","",ROUND((I818+0.5*MAX(0,CEILING(ROUND((MAX(C$1:C817)-1/48-I818)/0.5,6),1)))*1440,0)/1440)</f>
        <v/>
      </c>
      <c r="D818" s="9" t="str" cm="1">
        <f t="array" ref="D818">IF(H818="","",IFERROR(INDEX(Log!$C$19:$G$19,VALUE(MID(H818,FIND("#",H818)+1,1))),""))</f>
        <v/>
      </c>
      <c r="E818" s="9" t="str" cm="1">
        <f t="array" ref="E818">IF(OR(H818="",M818),"",IFERROR(_xlfn.LET(_xlpm.t,SUBSTITUTE(UPPER(H818),"م","M"),_xlpm.u,SUBSTITUTE(_xlpm.t,"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18" s="12"/>
      <c r="G818" s="13" t="str">
        <f>IF(B818="","",IF(M818,"⚠ Duplicate (not counted)",IF(AND(I818="",D818="",E818=""),"— ignored",IF(C818="","⚠ Time",IF(D818="","⚠ Plant",IF(E818="","⚠ Quantity",IF(AND(ISNUMBER(L818),COUNTIF(L$1:L817,L818)&gt;0),"⚠ Same serial "&amp;L818,IF(AND(ISNUMBER(L818),L818&gt;MIN($L$2:$L$1001),COUNTIF($L$2:$L$1001,L818-1)=0,COUNTIF($L$2:$L$1001,L818-2)&lt;2),"⚠ Missing serial "&amp;(L818-1),IF(AND(MAX(K$1:K817)&gt;0,N(K818)-MAX(K$1:K817)&gt;180),"⚠ Gap &gt; 3h",IF(C818-I818&gt;=0.99,"next day",IF(C818-I818&gt;0.4,"12h → 24h","")))))))))))</f>
        <v/>
      </c>
      <c r="H818" s="4" t="str">
        <f t="shared" si="60"/>
        <v/>
      </c>
      <c r="I818" s="5" t="str">
        <f t="shared" si="61"/>
        <v/>
      </c>
      <c r="J818" s="6">
        <f t="shared" si="62"/>
        <v>0</v>
      </c>
      <c r="K818" s="4" t="str">
        <f t="shared" si="63"/>
        <v/>
      </c>
      <c r="L818" s="4" t="str">
        <f t="shared" si="64"/>
        <v/>
      </c>
      <c r="M818" s="4" t="b" cm="1">
        <f t="array" ref="M818">IF(H818="",FALSE,SUMPRODUCT(--(H$1:H817=H818))&gt;0)</f>
        <v>0</v>
      </c>
    </row>
    <row r="819" spans="1:13" x14ac:dyDescent="0.25">
      <c r="A819" s="9" t="str">
        <f>IF(OR(B819="",M819,G819="— ignored"),"",MAX(A$1:A818)+1)</f>
        <v/>
      </c>
      <c r="B819" s="10"/>
      <c r="C819" s="11" t="str">
        <f>IF(I819="","",ROUND((I819+0.5*MAX(0,CEILING(ROUND((MAX(C$1:C818)-1/48-I819)/0.5,6),1)))*1440,0)/1440)</f>
        <v/>
      </c>
      <c r="D819" s="9" t="str" cm="1">
        <f t="array" ref="D819">IF(H819="","",IFERROR(INDEX(Log!$C$19:$G$19,VALUE(MID(H819,FIND("#",H819)+1,1))),""))</f>
        <v/>
      </c>
      <c r="E819" s="9" t="str" cm="1">
        <f t="array" ref="E819">IF(OR(H819="",M819),"",IFERROR(_xlfn.LET(_xlpm.t,SUBSTITUTE(UPPER(H819),"م","M"),_xlpm.u,SUBSTITUTE(_xlpm.t,"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19" s="12"/>
      <c r="G819" s="13" t="str">
        <f>IF(B819="","",IF(M819,"⚠ Duplicate (not counted)",IF(AND(I819="",D819="",E819=""),"— ignored",IF(C819="","⚠ Time",IF(D819="","⚠ Plant",IF(E819="","⚠ Quantity",IF(AND(ISNUMBER(L819),COUNTIF(L$1:L818,L819)&gt;0),"⚠ Same serial "&amp;L819,IF(AND(ISNUMBER(L819),L819&gt;MIN($L$2:$L$1001),COUNTIF($L$2:$L$1001,L819-1)=0,COUNTIF($L$2:$L$1001,L819-2)&lt;2),"⚠ Missing serial "&amp;(L819-1),IF(AND(MAX(K$1:K818)&gt;0,N(K819)-MAX(K$1:K818)&gt;180),"⚠ Gap &gt; 3h",IF(C819-I819&gt;=0.99,"next day",IF(C819-I819&gt;0.4,"12h → 24h","")))))))))))</f>
        <v/>
      </c>
      <c r="H819" s="4" t="str">
        <f t="shared" si="60"/>
        <v/>
      </c>
      <c r="I819" s="5" t="str">
        <f t="shared" si="61"/>
        <v/>
      </c>
      <c r="J819" s="6">
        <f t="shared" si="62"/>
        <v>0</v>
      </c>
      <c r="K819" s="4" t="str">
        <f t="shared" si="63"/>
        <v/>
      </c>
      <c r="L819" s="4" t="str">
        <f t="shared" si="64"/>
        <v/>
      </c>
      <c r="M819" s="4" t="b" cm="1">
        <f t="array" ref="M819">IF(H819="",FALSE,SUMPRODUCT(--(H$1:H818=H819))&gt;0)</f>
        <v>0</v>
      </c>
    </row>
    <row r="820" spans="1:13" x14ac:dyDescent="0.25">
      <c r="A820" s="9" t="str">
        <f>IF(OR(B820="",M820,G820="— ignored"),"",MAX(A$1:A819)+1)</f>
        <v/>
      </c>
      <c r="B820" s="10"/>
      <c r="C820" s="11" t="str">
        <f>IF(I820="","",ROUND((I820+0.5*MAX(0,CEILING(ROUND((MAX(C$1:C819)-1/48-I820)/0.5,6),1)))*1440,0)/1440)</f>
        <v/>
      </c>
      <c r="D820" s="9" t="str" cm="1">
        <f t="array" ref="D820">IF(H820="","",IFERROR(INDEX(Log!$C$19:$G$19,VALUE(MID(H820,FIND("#",H820)+1,1))),""))</f>
        <v/>
      </c>
      <c r="E820" s="9" t="str" cm="1">
        <f t="array" ref="E820">IF(OR(H820="",M820),"",IFERROR(_xlfn.LET(_xlpm.t,SUBSTITUTE(UPPER(H820),"م","M"),_xlpm.u,SUBSTITUTE(_xlpm.t,"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20" s="12"/>
      <c r="G820" s="13" t="str">
        <f>IF(B820="","",IF(M820,"⚠ Duplicate (not counted)",IF(AND(I820="",D820="",E820=""),"— ignored",IF(C820="","⚠ Time",IF(D820="","⚠ Plant",IF(E820="","⚠ Quantity",IF(AND(ISNUMBER(L820),COUNTIF(L$1:L819,L820)&gt;0),"⚠ Same serial "&amp;L820,IF(AND(ISNUMBER(L820),L820&gt;MIN($L$2:$L$1001),COUNTIF($L$2:$L$1001,L820-1)=0,COUNTIF($L$2:$L$1001,L820-2)&lt;2),"⚠ Missing serial "&amp;(L820-1),IF(AND(MAX(K$1:K819)&gt;0,N(K820)-MAX(K$1:K819)&gt;180),"⚠ Gap &gt; 3h",IF(C820-I820&gt;=0.99,"next day",IF(C820-I820&gt;0.4,"12h → 24h","")))))))))))</f>
        <v/>
      </c>
      <c r="H820" s="4" t="str">
        <f t="shared" si="60"/>
        <v/>
      </c>
      <c r="I820" s="5" t="str">
        <f t="shared" si="61"/>
        <v/>
      </c>
      <c r="J820" s="6">
        <f t="shared" si="62"/>
        <v>0</v>
      </c>
      <c r="K820" s="4" t="str">
        <f t="shared" si="63"/>
        <v/>
      </c>
      <c r="L820" s="4" t="str">
        <f t="shared" si="64"/>
        <v/>
      </c>
      <c r="M820" s="4" t="b" cm="1">
        <f t="array" ref="M820">IF(H820="",FALSE,SUMPRODUCT(--(H$1:H819=H820))&gt;0)</f>
        <v>0</v>
      </c>
    </row>
    <row r="821" spans="1:13" x14ac:dyDescent="0.25">
      <c r="A821" s="9" t="str">
        <f>IF(OR(B821="",M821,G821="— ignored"),"",MAX(A$1:A820)+1)</f>
        <v/>
      </c>
      <c r="B821" s="10"/>
      <c r="C821" s="11" t="str">
        <f>IF(I821="","",ROUND((I821+0.5*MAX(0,CEILING(ROUND((MAX(C$1:C820)-1/48-I821)/0.5,6),1)))*1440,0)/1440)</f>
        <v/>
      </c>
      <c r="D821" s="9" t="str" cm="1">
        <f t="array" ref="D821">IF(H821="","",IFERROR(INDEX(Log!$C$19:$G$19,VALUE(MID(H821,FIND("#",H821)+1,1))),""))</f>
        <v/>
      </c>
      <c r="E821" s="9" t="str" cm="1">
        <f t="array" ref="E821">IF(OR(H821="",M821),"",IFERROR(_xlfn.LET(_xlpm.t,SUBSTITUTE(UPPER(H821),"م","M"),_xlpm.u,SUBSTITUTE(_xlpm.t,"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21" s="12"/>
      <c r="G821" s="13" t="str">
        <f>IF(B821="","",IF(M821,"⚠ Duplicate (not counted)",IF(AND(I821="",D821="",E821=""),"— ignored",IF(C821="","⚠ Time",IF(D821="","⚠ Plant",IF(E821="","⚠ Quantity",IF(AND(ISNUMBER(L821),COUNTIF(L$1:L820,L821)&gt;0),"⚠ Same serial "&amp;L821,IF(AND(ISNUMBER(L821),L821&gt;MIN($L$2:$L$1001),COUNTIF($L$2:$L$1001,L821-1)=0,COUNTIF($L$2:$L$1001,L821-2)&lt;2),"⚠ Missing serial "&amp;(L821-1),IF(AND(MAX(K$1:K820)&gt;0,N(K821)-MAX(K$1:K820)&gt;180),"⚠ Gap &gt; 3h",IF(C821-I821&gt;=0.99,"next day",IF(C821-I821&gt;0.4,"12h → 24h","")))))))))))</f>
        <v/>
      </c>
      <c r="H821" s="4" t="str">
        <f t="shared" si="60"/>
        <v/>
      </c>
      <c r="I821" s="5" t="str">
        <f t="shared" si="61"/>
        <v/>
      </c>
      <c r="J821" s="6">
        <f t="shared" si="62"/>
        <v>0</v>
      </c>
      <c r="K821" s="4" t="str">
        <f t="shared" si="63"/>
        <v/>
      </c>
      <c r="L821" s="4" t="str">
        <f t="shared" si="64"/>
        <v/>
      </c>
      <c r="M821" s="4" t="b" cm="1">
        <f t="array" ref="M821">IF(H821="",FALSE,SUMPRODUCT(--(H$1:H820=H821))&gt;0)</f>
        <v>0</v>
      </c>
    </row>
    <row r="822" spans="1:13" x14ac:dyDescent="0.25">
      <c r="A822" s="9" t="str">
        <f>IF(OR(B822="",M822,G822="— ignored"),"",MAX(A$1:A821)+1)</f>
        <v/>
      </c>
      <c r="B822" s="10"/>
      <c r="C822" s="11" t="str">
        <f>IF(I822="","",ROUND((I822+0.5*MAX(0,CEILING(ROUND((MAX(C$1:C821)-1/48-I822)/0.5,6),1)))*1440,0)/1440)</f>
        <v/>
      </c>
      <c r="D822" s="9" t="str" cm="1">
        <f t="array" ref="D822">IF(H822="","",IFERROR(INDEX(Log!$C$19:$G$19,VALUE(MID(H822,FIND("#",H822)+1,1))),""))</f>
        <v/>
      </c>
      <c r="E822" s="9" t="str" cm="1">
        <f t="array" ref="E822">IF(OR(H822="",M822),"",IFERROR(_xlfn.LET(_xlpm.t,SUBSTITUTE(UPPER(H822),"م","M"),_xlpm.u,SUBSTITUTE(_xlpm.t,"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22" s="12"/>
      <c r="G822" s="13" t="str">
        <f>IF(B822="","",IF(M822,"⚠ Duplicate (not counted)",IF(AND(I822="",D822="",E822=""),"— ignored",IF(C822="","⚠ Time",IF(D822="","⚠ Plant",IF(E822="","⚠ Quantity",IF(AND(ISNUMBER(L822),COUNTIF(L$1:L821,L822)&gt;0),"⚠ Same serial "&amp;L822,IF(AND(ISNUMBER(L822),L822&gt;MIN($L$2:$L$1001),COUNTIF($L$2:$L$1001,L822-1)=0,COUNTIF($L$2:$L$1001,L822-2)&lt;2),"⚠ Missing serial "&amp;(L822-1),IF(AND(MAX(K$1:K821)&gt;0,N(K822)-MAX(K$1:K821)&gt;180),"⚠ Gap &gt; 3h",IF(C822-I822&gt;=0.99,"next day",IF(C822-I822&gt;0.4,"12h → 24h","")))))))))))</f>
        <v/>
      </c>
      <c r="H822" s="4" t="str">
        <f t="shared" si="60"/>
        <v/>
      </c>
      <c r="I822" s="5" t="str">
        <f t="shared" si="61"/>
        <v/>
      </c>
      <c r="J822" s="6">
        <f t="shared" si="62"/>
        <v>0</v>
      </c>
      <c r="K822" s="4" t="str">
        <f t="shared" si="63"/>
        <v/>
      </c>
      <c r="L822" s="4" t="str">
        <f t="shared" si="64"/>
        <v/>
      </c>
      <c r="M822" s="4" t="b" cm="1">
        <f t="array" ref="M822">IF(H822="",FALSE,SUMPRODUCT(--(H$1:H821=H822))&gt;0)</f>
        <v>0</v>
      </c>
    </row>
    <row r="823" spans="1:13" x14ac:dyDescent="0.25">
      <c r="A823" s="9" t="str">
        <f>IF(OR(B823="",M823,G823="— ignored"),"",MAX(A$1:A822)+1)</f>
        <v/>
      </c>
      <c r="B823" s="10"/>
      <c r="C823" s="11" t="str">
        <f>IF(I823="","",ROUND((I823+0.5*MAX(0,CEILING(ROUND((MAX(C$1:C822)-1/48-I823)/0.5,6),1)))*1440,0)/1440)</f>
        <v/>
      </c>
      <c r="D823" s="9" t="str" cm="1">
        <f t="array" ref="D823">IF(H823="","",IFERROR(INDEX(Log!$C$19:$G$19,VALUE(MID(H823,FIND("#",H823)+1,1))),""))</f>
        <v/>
      </c>
      <c r="E823" s="9" t="str" cm="1">
        <f t="array" ref="E823">IF(OR(H823="",M823),"",IFERROR(_xlfn.LET(_xlpm.t,SUBSTITUTE(UPPER(H823),"م","M"),_xlpm.u,SUBSTITUTE(_xlpm.t,"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23" s="12"/>
      <c r="G823" s="13" t="str">
        <f>IF(B823="","",IF(M823,"⚠ Duplicate (not counted)",IF(AND(I823="",D823="",E823=""),"— ignored",IF(C823="","⚠ Time",IF(D823="","⚠ Plant",IF(E823="","⚠ Quantity",IF(AND(ISNUMBER(L823),COUNTIF(L$1:L822,L823)&gt;0),"⚠ Same serial "&amp;L823,IF(AND(ISNUMBER(L823),L823&gt;MIN($L$2:$L$1001),COUNTIF($L$2:$L$1001,L823-1)=0,COUNTIF($L$2:$L$1001,L823-2)&lt;2),"⚠ Missing serial "&amp;(L823-1),IF(AND(MAX(K$1:K822)&gt;0,N(K823)-MAX(K$1:K822)&gt;180),"⚠ Gap &gt; 3h",IF(C823-I823&gt;=0.99,"next day",IF(C823-I823&gt;0.4,"12h → 24h","")))))))))))</f>
        <v/>
      </c>
      <c r="H823" s="4" t="str">
        <f t="shared" si="60"/>
        <v/>
      </c>
      <c r="I823" s="5" t="str">
        <f t="shared" si="61"/>
        <v/>
      </c>
      <c r="J823" s="6">
        <f t="shared" si="62"/>
        <v>0</v>
      </c>
      <c r="K823" s="4" t="str">
        <f t="shared" si="63"/>
        <v/>
      </c>
      <c r="L823" s="4" t="str">
        <f t="shared" si="64"/>
        <v/>
      </c>
      <c r="M823" s="4" t="b" cm="1">
        <f t="array" ref="M823">IF(H823="",FALSE,SUMPRODUCT(--(H$1:H822=H823))&gt;0)</f>
        <v>0</v>
      </c>
    </row>
    <row r="824" spans="1:13" x14ac:dyDescent="0.25">
      <c r="A824" s="9" t="str">
        <f>IF(OR(B824="",M824,G824="— ignored"),"",MAX(A$1:A823)+1)</f>
        <v/>
      </c>
      <c r="B824" s="10"/>
      <c r="C824" s="11" t="str">
        <f>IF(I824="","",ROUND((I824+0.5*MAX(0,CEILING(ROUND((MAX(C$1:C823)-1/48-I824)/0.5,6),1)))*1440,0)/1440)</f>
        <v/>
      </c>
      <c r="D824" s="9" t="str" cm="1">
        <f t="array" ref="D824">IF(H824="","",IFERROR(INDEX(Log!$C$19:$G$19,VALUE(MID(H824,FIND("#",H824)+1,1))),""))</f>
        <v/>
      </c>
      <c r="E824" s="9" t="str" cm="1">
        <f t="array" ref="E824">IF(OR(H824="",M824),"",IFERROR(_xlfn.LET(_xlpm.t,SUBSTITUTE(UPPER(H824),"م","M"),_xlpm.u,SUBSTITUTE(_xlpm.t,"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24" s="12"/>
      <c r="G824" s="13" t="str">
        <f>IF(B824="","",IF(M824,"⚠ Duplicate (not counted)",IF(AND(I824="",D824="",E824=""),"— ignored",IF(C824="","⚠ Time",IF(D824="","⚠ Plant",IF(E824="","⚠ Quantity",IF(AND(ISNUMBER(L824),COUNTIF(L$1:L823,L824)&gt;0),"⚠ Same serial "&amp;L824,IF(AND(ISNUMBER(L824),L824&gt;MIN($L$2:$L$1001),COUNTIF($L$2:$L$1001,L824-1)=0,COUNTIF($L$2:$L$1001,L824-2)&lt;2),"⚠ Missing serial "&amp;(L824-1),IF(AND(MAX(K$1:K823)&gt;0,N(K824)-MAX(K$1:K823)&gt;180),"⚠ Gap &gt; 3h",IF(C824-I824&gt;=0.99,"next day",IF(C824-I824&gt;0.4,"12h → 24h","")))))))))))</f>
        <v/>
      </c>
      <c r="H824" s="4" t="str">
        <f t="shared" si="60"/>
        <v/>
      </c>
      <c r="I824" s="5" t="str">
        <f t="shared" si="61"/>
        <v/>
      </c>
      <c r="J824" s="6">
        <f t="shared" si="62"/>
        <v>0</v>
      </c>
      <c r="K824" s="4" t="str">
        <f t="shared" si="63"/>
        <v/>
      </c>
      <c r="L824" s="4" t="str">
        <f t="shared" si="64"/>
        <v/>
      </c>
      <c r="M824" s="4" t="b" cm="1">
        <f t="array" ref="M824">IF(H824="",FALSE,SUMPRODUCT(--(H$1:H823=H824))&gt;0)</f>
        <v>0</v>
      </c>
    </row>
    <row r="825" spans="1:13" x14ac:dyDescent="0.25">
      <c r="A825" s="9" t="str">
        <f>IF(OR(B825="",M825,G825="— ignored"),"",MAX(A$1:A824)+1)</f>
        <v/>
      </c>
      <c r="B825" s="10"/>
      <c r="C825" s="11" t="str">
        <f>IF(I825="","",ROUND((I825+0.5*MAX(0,CEILING(ROUND((MAX(C$1:C824)-1/48-I825)/0.5,6),1)))*1440,0)/1440)</f>
        <v/>
      </c>
      <c r="D825" s="9" t="str" cm="1">
        <f t="array" ref="D825">IF(H825="","",IFERROR(INDEX(Log!$C$19:$G$19,VALUE(MID(H825,FIND("#",H825)+1,1))),""))</f>
        <v/>
      </c>
      <c r="E825" s="9" t="str" cm="1">
        <f t="array" ref="E825">IF(OR(H825="",M825),"",IFERROR(_xlfn.LET(_xlpm.t,SUBSTITUTE(UPPER(H825),"م","M"),_xlpm.u,SUBSTITUTE(_xlpm.t,"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25" s="12"/>
      <c r="G825" s="13" t="str">
        <f>IF(B825="","",IF(M825,"⚠ Duplicate (not counted)",IF(AND(I825="",D825="",E825=""),"— ignored",IF(C825="","⚠ Time",IF(D825="","⚠ Plant",IF(E825="","⚠ Quantity",IF(AND(ISNUMBER(L825),COUNTIF(L$1:L824,L825)&gt;0),"⚠ Same serial "&amp;L825,IF(AND(ISNUMBER(L825),L825&gt;MIN($L$2:$L$1001),COUNTIF($L$2:$L$1001,L825-1)=0,COUNTIF($L$2:$L$1001,L825-2)&lt;2),"⚠ Missing serial "&amp;(L825-1),IF(AND(MAX(K$1:K824)&gt;0,N(K825)-MAX(K$1:K824)&gt;180),"⚠ Gap &gt; 3h",IF(C825-I825&gt;=0.99,"next day",IF(C825-I825&gt;0.4,"12h → 24h","")))))))))))</f>
        <v/>
      </c>
      <c r="H825" s="4" t="str">
        <f t="shared" si="60"/>
        <v/>
      </c>
      <c r="I825" s="5" t="str">
        <f t="shared" si="61"/>
        <v/>
      </c>
      <c r="J825" s="6">
        <f t="shared" si="62"/>
        <v>0</v>
      </c>
      <c r="K825" s="4" t="str">
        <f t="shared" si="63"/>
        <v/>
      </c>
      <c r="L825" s="4" t="str">
        <f t="shared" si="64"/>
        <v/>
      </c>
      <c r="M825" s="4" t="b" cm="1">
        <f t="array" ref="M825">IF(H825="",FALSE,SUMPRODUCT(--(H$1:H824=H825))&gt;0)</f>
        <v>0</v>
      </c>
    </row>
    <row r="826" spans="1:13" x14ac:dyDescent="0.25">
      <c r="A826" s="9" t="str">
        <f>IF(OR(B826="",M826,G826="— ignored"),"",MAX(A$1:A825)+1)</f>
        <v/>
      </c>
      <c r="B826" s="10"/>
      <c r="C826" s="11" t="str">
        <f>IF(I826="","",ROUND((I826+0.5*MAX(0,CEILING(ROUND((MAX(C$1:C825)-1/48-I826)/0.5,6),1)))*1440,0)/1440)</f>
        <v/>
      </c>
      <c r="D826" s="9" t="str" cm="1">
        <f t="array" ref="D826">IF(H826="","",IFERROR(INDEX(Log!$C$19:$G$19,VALUE(MID(H826,FIND("#",H826)+1,1))),""))</f>
        <v/>
      </c>
      <c r="E826" s="9" t="str" cm="1">
        <f t="array" ref="E826">IF(OR(H826="",M826),"",IFERROR(_xlfn.LET(_xlpm.t,SUBSTITUTE(UPPER(H826),"م","M"),_xlpm.u,SUBSTITUTE(_xlpm.t,"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26" s="12"/>
      <c r="G826" s="13" t="str">
        <f>IF(B826="","",IF(M826,"⚠ Duplicate (not counted)",IF(AND(I826="",D826="",E826=""),"— ignored",IF(C826="","⚠ Time",IF(D826="","⚠ Plant",IF(E826="","⚠ Quantity",IF(AND(ISNUMBER(L826),COUNTIF(L$1:L825,L826)&gt;0),"⚠ Same serial "&amp;L826,IF(AND(ISNUMBER(L826),L826&gt;MIN($L$2:$L$1001),COUNTIF($L$2:$L$1001,L826-1)=0,COUNTIF($L$2:$L$1001,L826-2)&lt;2),"⚠ Missing serial "&amp;(L826-1),IF(AND(MAX(K$1:K825)&gt;0,N(K826)-MAX(K$1:K825)&gt;180),"⚠ Gap &gt; 3h",IF(C826-I826&gt;=0.99,"next day",IF(C826-I826&gt;0.4,"12h → 24h","")))))))))))</f>
        <v/>
      </c>
      <c r="H826" s="4" t="str">
        <f t="shared" si="60"/>
        <v/>
      </c>
      <c r="I826" s="5" t="str">
        <f t="shared" si="61"/>
        <v/>
      </c>
      <c r="J826" s="6">
        <f t="shared" si="62"/>
        <v>0</v>
      </c>
      <c r="K826" s="4" t="str">
        <f t="shared" si="63"/>
        <v/>
      </c>
      <c r="L826" s="4" t="str">
        <f t="shared" si="64"/>
        <v/>
      </c>
      <c r="M826" s="4" t="b" cm="1">
        <f t="array" ref="M826">IF(H826="",FALSE,SUMPRODUCT(--(H$1:H825=H826))&gt;0)</f>
        <v>0</v>
      </c>
    </row>
    <row r="827" spans="1:13" x14ac:dyDescent="0.25">
      <c r="A827" s="9" t="str">
        <f>IF(OR(B827="",M827,G827="— ignored"),"",MAX(A$1:A826)+1)</f>
        <v/>
      </c>
      <c r="B827" s="10"/>
      <c r="C827" s="11" t="str">
        <f>IF(I827="","",ROUND((I827+0.5*MAX(0,CEILING(ROUND((MAX(C$1:C826)-1/48-I827)/0.5,6),1)))*1440,0)/1440)</f>
        <v/>
      </c>
      <c r="D827" s="9" t="str" cm="1">
        <f t="array" ref="D827">IF(H827="","",IFERROR(INDEX(Log!$C$19:$G$19,VALUE(MID(H827,FIND("#",H827)+1,1))),""))</f>
        <v/>
      </c>
      <c r="E827" s="9" t="str" cm="1">
        <f t="array" ref="E827">IF(OR(H827="",M827),"",IFERROR(_xlfn.LET(_xlpm.t,SUBSTITUTE(UPPER(H827),"م","M"),_xlpm.u,SUBSTITUTE(_xlpm.t,"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27" s="12"/>
      <c r="G827" s="13" t="str">
        <f>IF(B827="","",IF(M827,"⚠ Duplicate (not counted)",IF(AND(I827="",D827="",E827=""),"— ignored",IF(C827="","⚠ Time",IF(D827="","⚠ Plant",IF(E827="","⚠ Quantity",IF(AND(ISNUMBER(L827),COUNTIF(L$1:L826,L827)&gt;0),"⚠ Same serial "&amp;L827,IF(AND(ISNUMBER(L827),L827&gt;MIN($L$2:$L$1001),COUNTIF($L$2:$L$1001,L827-1)=0,COUNTIF($L$2:$L$1001,L827-2)&lt;2),"⚠ Missing serial "&amp;(L827-1),IF(AND(MAX(K$1:K826)&gt;0,N(K827)-MAX(K$1:K826)&gt;180),"⚠ Gap &gt; 3h",IF(C827-I827&gt;=0.99,"next day",IF(C827-I827&gt;0.4,"12h → 24h","")))))))))))</f>
        <v/>
      </c>
      <c r="H827" s="4" t="str">
        <f t="shared" si="60"/>
        <v/>
      </c>
      <c r="I827" s="5" t="str">
        <f t="shared" si="61"/>
        <v/>
      </c>
      <c r="J827" s="6">
        <f t="shared" si="62"/>
        <v>0</v>
      </c>
      <c r="K827" s="4" t="str">
        <f t="shared" si="63"/>
        <v/>
      </c>
      <c r="L827" s="4" t="str">
        <f t="shared" si="64"/>
        <v/>
      </c>
      <c r="M827" s="4" t="b" cm="1">
        <f t="array" ref="M827">IF(H827="",FALSE,SUMPRODUCT(--(H$1:H826=H827))&gt;0)</f>
        <v>0</v>
      </c>
    </row>
    <row r="828" spans="1:13" x14ac:dyDescent="0.25">
      <c r="A828" s="9" t="str">
        <f>IF(OR(B828="",M828,G828="— ignored"),"",MAX(A$1:A827)+1)</f>
        <v/>
      </c>
      <c r="B828" s="10"/>
      <c r="C828" s="11" t="str">
        <f>IF(I828="","",ROUND((I828+0.5*MAX(0,CEILING(ROUND((MAX(C$1:C827)-1/48-I828)/0.5,6),1)))*1440,0)/1440)</f>
        <v/>
      </c>
      <c r="D828" s="9" t="str" cm="1">
        <f t="array" ref="D828">IF(H828="","",IFERROR(INDEX(Log!$C$19:$G$19,VALUE(MID(H828,FIND("#",H828)+1,1))),""))</f>
        <v/>
      </c>
      <c r="E828" s="9" t="str" cm="1">
        <f t="array" ref="E828">IF(OR(H828="",M828),"",IFERROR(_xlfn.LET(_xlpm.t,SUBSTITUTE(UPPER(H828),"م","M"),_xlpm.u,SUBSTITUTE(_xlpm.t,"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28" s="12"/>
      <c r="G828" s="13" t="str">
        <f>IF(B828="","",IF(M828,"⚠ Duplicate (not counted)",IF(AND(I828="",D828="",E828=""),"— ignored",IF(C828="","⚠ Time",IF(D828="","⚠ Plant",IF(E828="","⚠ Quantity",IF(AND(ISNUMBER(L828),COUNTIF(L$1:L827,L828)&gt;0),"⚠ Same serial "&amp;L828,IF(AND(ISNUMBER(L828),L828&gt;MIN($L$2:$L$1001),COUNTIF($L$2:$L$1001,L828-1)=0,COUNTIF($L$2:$L$1001,L828-2)&lt;2),"⚠ Missing serial "&amp;(L828-1),IF(AND(MAX(K$1:K827)&gt;0,N(K828)-MAX(K$1:K827)&gt;180),"⚠ Gap &gt; 3h",IF(C828-I828&gt;=0.99,"next day",IF(C828-I828&gt;0.4,"12h → 24h","")))))))))))</f>
        <v/>
      </c>
      <c r="H828" s="4" t="str">
        <f t="shared" si="60"/>
        <v/>
      </c>
      <c r="I828" s="5" t="str">
        <f t="shared" si="61"/>
        <v/>
      </c>
      <c r="J828" s="6">
        <f t="shared" si="62"/>
        <v>0</v>
      </c>
      <c r="K828" s="4" t="str">
        <f t="shared" si="63"/>
        <v/>
      </c>
      <c r="L828" s="4" t="str">
        <f t="shared" si="64"/>
        <v/>
      </c>
      <c r="M828" s="4" t="b" cm="1">
        <f t="array" ref="M828">IF(H828="",FALSE,SUMPRODUCT(--(H$1:H827=H828))&gt;0)</f>
        <v>0</v>
      </c>
    </row>
    <row r="829" spans="1:13" x14ac:dyDescent="0.25">
      <c r="A829" s="9" t="str">
        <f>IF(OR(B829="",M829,G829="— ignored"),"",MAX(A$1:A828)+1)</f>
        <v/>
      </c>
      <c r="B829" s="10"/>
      <c r="C829" s="11" t="str">
        <f>IF(I829="","",ROUND((I829+0.5*MAX(0,CEILING(ROUND((MAX(C$1:C828)-1/48-I829)/0.5,6),1)))*1440,0)/1440)</f>
        <v/>
      </c>
      <c r="D829" s="9" t="str" cm="1">
        <f t="array" ref="D829">IF(H829="","",IFERROR(INDEX(Log!$C$19:$G$19,VALUE(MID(H829,FIND("#",H829)+1,1))),""))</f>
        <v/>
      </c>
      <c r="E829" s="9" t="str" cm="1">
        <f t="array" ref="E829">IF(OR(H829="",M829),"",IFERROR(_xlfn.LET(_xlpm.t,SUBSTITUTE(UPPER(H829),"م","M"),_xlpm.u,SUBSTITUTE(_xlpm.t,"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29" s="12"/>
      <c r="G829" s="13" t="str">
        <f>IF(B829="","",IF(M829,"⚠ Duplicate (not counted)",IF(AND(I829="",D829="",E829=""),"— ignored",IF(C829="","⚠ Time",IF(D829="","⚠ Plant",IF(E829="","⚠ Quantity",IF(AND(ISNUMBER(L829),COUNTIF(L$1:L828,L829)&gt;0),"⚠ Same serial "&amp;L829,IF(AND(ISNUMBER(L829),L829&gt;MIN($L$2:$L$1001),COUNTIF($L$2:$L$1001,L829-1)=0,COUNTIF($L$2:$L$1001,L829-2)&lt;2),"⚠ Missing serial "&amp;(L829-1),IF(AND(MAX(K$1:K828)&gt;0,N(K829)-MAX(K$1:K828)&gt;180),"⚠ Gap &gt; 3h",IF(C829-I829&gt;=0.99,"next day",IF(C829-I829&gt;0.4,"12h → 24h","")))))))))))</f>
        <v/>
      </c>
      <c r="H829" s="4" t="str">
        <f t="shared" si="60"/>
        <v/>
      </c>
      <c r="I829" s="5" t="str">
        <f t="shared" si="61"/>
        <v/>
      </c>
      <c r="J829" s="6">
        <f t="shared" si="62"/>
        <v>0</v>
      </c>
      <c r="K829" s="4" t="str">
        <f t="shared" si="63"/>
        <v/>
      </c>
      <c r="L829" s="4" t="str">
        <f t="shared" si="64"/>
        <v/>
      </c>
      <c r="M829" s="4" t="b" cm="1">
        <f t="array" ref="M829">IF(H829="",FALSE,SUMPRODUCT(--(H$1:H828=H829))&gt;0)</f>
        <v>0</v>
      </c>
    </row>
    <row r="830" spans="1:13" x14ac:dyDescent="0.25">
      <c r="A830" s="9" t="str">
        <f>IF(OR(B830="",M830,G830="— ignored"),"",MAX(A$1:A829)+1)</f>
        <v/>
      </c>
      <c r="B830" s="10"/>
      <c r="C830" s="11" t="str">
        <f>IF(I830="","",ROUND((I830+0.5*MAX(0,CEILING(ROUND((MAX(C$1:C829)-1/48-I830)/0.5,6),1)))*1440,0)/1440)</f>
        <v/>
      </c>
      <c r="D830" s="9" t="str" cm="1">
        <f t="array" ref="D830">IF(H830="","",IFERROR(INDEX(Log!$C$19:$G$19,VALUE(MID(H830,FIND("#",H830)+1,1))),""))</f>
        <v/>
      </c>
      <c r="E830" s="9" t="str" cm="1">
        <f t="array" ref="E830">IF(OR(H830="",M830),"",IFERROR(_xlfn.LET(_xlpm.t,SUBSTITUTE(UPPER(H830),"م","M"),_xlpm.u,SUBSTITUTE(_xlpm.t,"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30" s="12"/>
      <c r="G830" s="13" t="str">
        <f>IF(B830="","",IF(M830,"⚠ Duplicate (not counted)",IF(AND(I830="",D830="",E830=""),"— ignored",IF(C830="","⚠ Time",IF(D830="","⚠ Plant",IF(E830="","⚠ Quantity",IF(AND(ISNUMBER(L830),COUNTIF(L$1:L829,L830)&gt;0),"⚠ Same serial "&amp;L830,IF(AND(ISNUMBER(L830),L830&gt;MIN($L$2:$L$1001),COUNTIF($L$2:$L$1001,L830-1)=0,COUNTIF($L$2:$L$1001,L830-2)&lt;2),"⚠ Missing serial "&amp;(L830-1),IF(AND(MAX(K$1:K829)&gt;0,N(K830)-MAX(K$1:K829)&gt;180),"⚠ Gap &gt; 3h",IF(C830-I830&gt;=0.99,"next day",IF(C830-I830&gt;0.4,"12h → 24h","")))))))))))</f>
        <v/>
      </c>
      <c r="H830" s="4" t="str">
        <f t="shared" si="60"/>
        <v/>
      </c>
      <c r="I830" s="5" t="str">
        <f t="shared" si="61"/>
        <v/>
      </c>
      <c r="J830" s="6">
        <f t="shared" si="62"/>
        <v>0</v>
      </c>
      <c r="K830" s="4" t="str">
        <f t="shared" si="63"/>
        <v/>
      </c>
      <c r="L830" s="4" t="str">
        <f t="shared" si="64"/>
        <v/>
      </c>
      <c r="M830" s="4" t="b" cm="1">
        <f t="array" ref="M830">IF(H830="",FALSE,SUMPRODUCT(--(H$1:H829=H830))&gt;0)</f>
        <v>0</v>
      </c>
    </row>
    <row r="831" spans="1:13" x14ac:dyDescent="0.25">
      <c r="A831" s="9" t="str">
        <f>IF(OR(B831="",M831,G831="— ignored"),"",MAX(A$1:A830)+1)</f>
        <v/>
      </c>
      <c r="B831" s="10"/>
      <c r="C831" s="11" t="str">
        <f>IF(I831="","",ROUND((I831+0.5*MAX(0,CEILING(ROUND((MAX(C$1:C830)-1/48-I831)/0.5,6),1)))*1440,0)/1440)</f>
        <v/>
      </c>
      <c r="D831" s="9" t="str" cm="1">
        <f t="array" ref="D831">IF(H831="","",IFERROR(INDEX(Log!$C$19:$G$19,VALUE(MID(H831,FIND("#",H831)+1,1))),""))</f>
        <v/>
      </c>
      <c r="E831" s="9" t="str" cm="1">
        <f t="array" ref="E831">IF(OR(H831="",M831),"",IFERROR(_xlfn.LET(_xlpm.t,SUBSTITUTE(UPPER(H831),"م","M"),_xlpm.u,SUBSTITUTE(_xlpm.t,"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31" s="12"/>
      <c r="G831" s="13" t="str">
        <f>IF(B831="","",IF(M831,"⚠ Duplicate (not counted)",IF(AND(I831="",D831="",E831=""),"— ignored",IF(C831="","⚠ Time",IF(D831="","⚠ Plant",IF(E831="","⚠ Quantity",IF(AND(ISNUMBER(L831),COUNTIF(L$1:L830,L831)&gt;0),"⚠ Same serial "&amp;L831,IF(AND(ISNUMBER(L831),L831&gt;MIN($L$2:$L$1001),COUNTIF($L$2:$L$1001,L831-1)=0,COUNTIF($L$2:$L$1001,L831-2)&lt;2),"⚠ Missing serial "&amp;(L831-1),IF(AND(MAX(K$1:K830)&gt;0,N(K831)-MAX(K$1:K830)&gt;180),"⚠ Gap &gt; 3h",IF(C831-I831&gt;=0.99,"next day",IF(C831-I831&gt;0.4,"12h → 24h","")))))))))))</f>
        <v/>
      </c>
      <c r="H831" s="4" t="str">
        <f t="shared" si="60"/>
        <v/>
      </c>
      <c r="I831" s="5" t="str">
        <f t="shared" si="61"/>
        <v/>
      </c>
      <c r="J831" s="6">
        <f t="shared" si="62"/>
        <v>0</v>
      </c>
      <c r="K831" s="4" t="str">
        <f t="shared" si="63"/>
        <v/>
      </c>
      <c r="L831" s="4" t="str">
        <f t="shared" si="64"/>
        <v/>
      </c>
      <c r="M831" s="4" t="b" cm="1">
        <f t="array" ref="M831">IF(H831="",FALSE,SUMPRODUCT(--(H$1:H830=H831))&gt;0)</f>
        <v>0</v>
      </c>
    </row>
    <row r="832" spans="1:13" x14ac:dyDescent="0.25">
      <c r="A832" s="9" t="str">
        <f>IF(OR(B832="",M832,G832="— ignored"),"",MAX(A$1:A831)+1)</f>
        <v/>
      </c>
      <c r="B832" s="10"/>
      <c r="C832" s="11" t="str">
        <f>IF(I832="","",ROUND((I832+0.5*MAX(0,CEILING(ROUND((MAX(C$1:C831)-1/48-I832)/0.5,6),1)))*1440,0)/1440)</f>
        <v/>
      </c>
      <c r="D832" s="9" t="str" cm="1">
        <f t="array" ref="D832">IF(H832="","",IFERROR(INDEX(Log!$C$19:$G$19,VALUE(MID(H832,FIND("#",H832)+1,1))),""))</f>
        <v/>
      </c>
      <c r="E832" s="9" t="str" cm="1">
        <f t="array" ref="E832">IF(OR(H832="",M832),"",IFERROR(_xlfn.LET(_xlpm.t,SUBSTITUTE(UPPER(H832),"م","M"),_xlpm.u,SUBSTITUTE(_xlpm.t,"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32" s="12"/>
      <c r="G832" s="13" t="str">
        <f>IF(B832="","",IF(M832,"⚠ Duplicate (not counted)",IF(AND(I832="",D832="",E832=""),"— ignored",IF(C832="","⚠ Time",IF(D832="","⚠ Plant",IF(E832="","⚠ Quantity",IF(AND(ISNUMBER(L832),COUNTIF(L$1:L831,L832)&gt;0),"⚠ Same serial "&amp;L832,IF(AND(ISNUMBER(L832),L832&gt;MIN($L$2:$L$1001),COUNTIF($L$2:$L$1001,L832-1)=0,COUNTIF($L$2:$L$1001,L832-2)&lt;2),"⚠ Missing serial "&amp;(L832-1),IF(AND(MAX(K$1:K831)&gt;0,N(K832)-MAX(K$1:K831)&gt;180),"⚠ Gap &gt; 3h",IF(C832-I832&gt;=0.99,"next day",IF(C832-I832&gt;0.4,"12h → 24h","")))))))))))</f>
        <v/>
      </c>
      <c r="H832" s="4" t="str">
        <f t="shared" si="60"/>
        <v/>
      </c>
      <c r="I832" s="5" t="str">
        <f t="shared" si="61"/>
        <v/>
      </c>
      <c r="J832" s="6">
        <f t="shared" si="62"/>
        <v>0</v>
      </c>
      <c r="K832" s="4" t="str">
        <f t="shared" si="63"/>
        <v/>
      </c>
      <c r="L832" s="4" t="str">
        <f t="shared" si="64"/>
        <v/>
      </c>
      <c r="M832" s="4" t="b" cm="1">
        <f t="array" ref="M832">IF(H832="",FALSE,SUMPRODUCT(--(H$1:H831=H832))&gt;0)</f>
        <v>0</v>
      </c>
    </row>
    <row r="833" spans="1:13" x14ac:dyDescent="0.25">
      <c r="A833" s="9" t="str">
        <f>IF(OR(B833="",M833,G833="— ignored"),"",MAX(A$1:A832)+1)</f>
        <v/>
      </c>
      <c r="B833" s="10"/>
      <c r="C833" s="11" t="str">
        <f>IF(I833="","",ROUND((I833+0.5*MAX(0,CEILING(ROUND((MAX(C$1:C832)-1/48-I833)/0.5,6),1)))*1440,0)/1440)</f>
        <v/>
      </c>
      <c r="D833" s="9" t="str" cm="1">
        <f t="array" ref="D833">IF(H833="","",IFERROR(INDEX(Log!$C$19:$G$19,VALUE(MID(H833,FIND("#",H833)+1,1))),""))</f>
        <v/>
      </c>
      <c r="E833" s="9" t="str" cm="1">
        <f t="array" ref="E833">IF(OR(H833="",M833),"",IFERROR(_xlfn.LET(_xlpm.t,SUBSTITUTE(UPPER(H833),"م","M"),_xlpm.u,SUBSTITUTE(_xlpm.t,"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33" s="12"/>
      <c r="G833" s="13" t="str">
        <f>IF(B833="","",IF(M833,"⚠ Duplicate (not counted)",IF(AND(I833="",D833="",E833=""),"— ignored",IF(C833="","⚠ Time",IF(D833="","⚠ Plant",IF(E833="","⚠ Quantity",IF(AND(ISNUMBER(L833),COUNTIF(L$1:L832,L833)&gt;0),"⚠ Same serial "&amp;L833,IF(AND(ISNUMBER(L833),L833&gt;MIN($L$2:$L$1001),COUNTIF($L$2:$L$1001,L833-1)=0,COUNTIF($L$2:$L$1001,L833-2)&lt;2),"⚠ Missing serial "&amp;(L833-1),IF(AND(MAX(K$1:K832)&gt;0,N(K833)-MAX(K$1:K832)&gt;180),"⚠ Gap &gt; 3h",IF(C833-I833&gt;=0.99,"next day",IF(C833-I833&gt;0.4,"12h → 24h","")))))))))))</f>
        <v/>
      </c>
      <c r="H833" s="4" t="str">
        <f t="shared" si="60"/>
        <v/>
      </c>
      <c r="I833" s="5" t="str">
        <f t="shared" si="61"/>
        <v/>
      </c>
      <c r="J833" s="6">
        <f t="shared" si="62"/>
        <v>0</v>
      </c>
      <c r="K833" s="4" t="str">
        <f t="shared" si="63"/>
        <v/>
      </c>
      <c r="L833" s="4" t="str">
        <f t="shared" si="64"/>
        <v/>
      </c>
      <c r="M833" s="4" t="b" cm="1">
        <f t="array" ref="M833">IF(H833="",FALSE,SUMPRODUCT(--(H$1:H832=H833))&gt;0)</f>
        <v>0</v>
      </c>
    </row>
    <row r="834" spans="1:13" x14ac:dyDescent="0.25">
      <c r="A834" s="9" t="str">
        <f>IF(OR(B834="",M834,G834="— ignored"),"",MAX(A$1:A833)+1)</f>
        <v/>
      </c>
      <c r="B834" s="10"/>
      <c r="C834" s="11" t="str">
        <f>IF(I834="","",ROUND((I834+0.5*MAX(0,CEILING(ROUND((MAX(C$1:C833)-1/48-I834)/0.5,6),1)))*1440,0)/1440)</f>
        <v/>
      </c>
      <c r="D834" s="9" t="str" cm="1">
        <f t="array" ref="D834">IF(H834="","",IFERROR(INDEX(Log!$C$19:$G$19,VALUE(MID(H834,FIND("#",H834)+1,1))),""))</f>
        <v/>
      </c>
      <c r="E834" s="9" t="str" cm="1">
        <f t="array" ref="E834">IF(OR(H834="",M834),"",IFERROR(_xlfn.LET(_xlpm.t,SUBSTITUTE(UPPER(H834),"م","M"),_xlpm.u,SUBSTITUTE(_xlpm.t,"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34" s="12"/>
      <c r="G834" s="13" t="str">
        <f>IF(B834="","",IF(M834,"⚠ Duplicate (not counted)",IF(AND(I834="",D834="",E834=""),"— ignored",IF(C834="","⚠ Time",IF(D834="","⚠ Plant",IF(E834="","⚠ Quantity",IF(AND(ISNUMBER(L834),COUNTIF(L$1:L833,L834)&gt;0),"⚠ Same serial "&amp;L834,IF(AND(ISNUMBER(L834),L834&gt;MIN($L$2:$L$1001),COUNTIF($L$2:$L$1001,L834-1)=0,COUNTIF($L$2:$L$1001,L834-2)&lt;2),"⚠ Missing serial "&amp;(L834-1),IF(AND(MAX(K$1:K833)&gt;0,N(K834)-MAX(K$1:K833)&gt;180),"⚠ Gap &gt; 3h",IF(C834-I834&gt;=0.99,"next day",IF(C834-I834&gt;0.4,"12h → 24h","")))))))))))</f>
        <v/>
      </c>
      <c r="H834" s="4" t="str">
        <f t="shared" ref="H834:H897" si="65">IF(B834="","",_xlfn.LET(_xlpm.t,TRIM(B834),IF(LEFT(_xlpm.t,1)="[",IFERROR(TRIM(MID(_xlpm.t,FIND(": ",_xlpm.t,FIND("]",_xlpm.t))+2,500)),_xlpm.t),_xlpm.t)))</f>
        <v/>
      </c>
      <c r="I834" s="5" t="str">
        <f t="shared" ref="I834:I897" si="66">IF(H834="","",IFERROR(TIMEVALUE(TRIM(SUBSTITUTE(SUBSTITUTE(MID(H834,SEARCH(":",H834)-2,5),".",""),"*",""))),""))</f>
        <v/>
      </c>
      <c r="J834" s="6">
        <f t="shared" ref="J834:J897" si="67">IF(OR(B834="",F834="",M834),0,IF(ISNUMBER(F834),F834,N(E834)))</f>
        <v>0</v>
      </c>
      <c r="K834" s="4" t="str">
        <f t="shared" ref="K834:K897" si="68">IF(OR(C834="",M834),"",ROUND(C834*1440,0))</f>
        <v/>
      </c>
      <c r="L834" s="4" t="str">
        <f t="shared" ref="L834:L897" si="69">IF(OR(H834="",AND(I834="",D834="")),"",IFERROR(_xlfn.LET(_xlpm.t,TRIM(SUBSTITUTE(SUBSTITUTE(H834,"*",""),"_","")),VALUE(SUBSTITUTE(LEFT(_xlpm.t,FIND(" ",_xlpm.t&amp;" ")-1),".",""))),""))</f>
        <v/>
      </c>
      <c r="M834" s="4" t="b" cm="1">
        <f t="array" ref="M834">IF(H834="",FALSE,SUMPRODUCT(--(H$1:H833=H834))&gt;0)</f>
        <v>0</v>
      </c>
    </row>
    <row r="835" spans="1:13" x14ac:dyDescent="0.25">
      <c r="A835" s="9" t="str">
        <f>IF(OR(B835="",M835,G835="— ignored"),"",MAX(A$1:A834)+1)</f>
        <v/>
      </c>
      <c r="B835" s="10"/>
      <c r="C835" s="11" t="str">
        <f>IF(I835="","",ROUND((I835+0.5*MAX(0,CEILING(ROUND((MAX(C$1:C834)-1/48-I835)/0.5,6),1)))*1440,0)/1440)</f>
        <v/>
      </c>
      <c r="D835" s="9" t="str" cm="1">
        <f t="array" ref="D835">IF(H835="","",IFERROR(INDEX(Log!$C$19:$G$19,VALUE(MID(H835,FIND("#",H835)+1,1))),""))</f>
        <v/>
      </c>
      <c r="E835" s="9" t="str" cm="1">
        <f t="array" ref="E835">IF(OR(H835="",M835),"",IFERROR(_xlfn.LET(_xlpm.t,SUBSTITUTE(UPPER(H835),"م","M"),_xlpm.u,SUBSTITUTE(_xlpm.t,"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35" s="12"/>
      <c r="G835" s="13" t="str">
        <f>IF(B835="","",IF(M835,"⚠ Duplicate (not counted)",IF(AND(I835="",D835="",E835=""),"— ignored",IF(C835="","⚠ Time",IF(D835="","⚠ Plant",IF(E835="","⚠ Quantity",IF(AND(ISNUMBER(L835),COUNTIF(L$1:L834,L835)&gt;0),"⚠ Same serial "&amp;L835,IF(AND(ISNUMBER(L835),L835&gt;MIN($L$2:$L$1001),COUNTIF($L$2:$L$1001,L835-1)=0,COUNTIF($L$2:$L$1001,L835-2)&lt;2),"⚠ Missing serial "&amp;(L835-1),IF(AND(MAX(K$1:K834)&gt;0,N(K835)-MAX(K$1:K834)&gt;180),"⚠ Gap &gt; 3h",IF(C835-I835&gt;=0.99,"next day",IF(C835-I835&gt;0.4,"12h → 24h","")))))))))))</f>
        <v/>
      </c>
      <c r="H835" s="4" t="str">
        <f t="shared" si="65"/>
        <v/>
      </c>
      <c r="I835" s="5" t="str">
        <f t="shared" si="66"/>
        <v/>
      </c>
      <c r="J835" s="6">
        <f t="shared" si="67"/>
        <v>0</v>
      </c>
      <c r="K835" s="4" t="str">
        <f t="shared" si="68"/>
        <v/>
      </c>
      <c r="L835" s="4" t="str">
        <f t="shared" si="69"/>
        <v/>
      </c>
      <c r="M835" s="4" t="b" cm="1">
        <f t="array" ref="M835">IF(H835="",FALSE,SUMPRODUCT(--(H$1:H834=H835))&gt;0)</f>
        <v>0</v>
      </c>
    </row>
    <row r="836" spans="1:13" x14ac:dyDescent="0.25">
      <c r="A836" s="9" t="str">
        <f>IF(OR(B836="",M836,G836="— ignored"),"",MAX(A$1:A835)+1)</f>
        <v/>
      </c>
      <c r="B836" s="10"/>
      <c r="C836" s="11" t="str">
        <f>IF(I836="","",ROUND((I836+0.5*MAX(0,CEILING(ROUND((MAX(C$1:C835)-1/48-I836)/0.5,6),1)))*1440,0)/1440)</f>
        <v/>
      </c>
      <c r="D836" s="9" t="str" cm="1">
        <f t="array" ref="D836">IF(H836="","",IFERROR(INDEX(Log!$C$19:$G$19,VALUE(MID(H836,FIND("#",H836)+1,1))),""))</f>
        <v/>
      </c>
      <c r="E836" s="9" t="str" cm="1">
        <f t="array" ref="E836">IF(OR(H836="",M836),"",IFERROR(_xlfn.LET(_xlpm.t,SUBSTITUTE(UPPER(H836),"م","M"),_xlpm.u,SUBSTITUTE(_xlpm.t,"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36" s="12"/>
      <c r="G836" s="13" t="str">
        <f>IF(B836="","",IF(M836,"⚠ Duplicate (not counted)",IF(AND(I836="",D836="",E836=""),"— ignored",IF(C836="","⚠ Time",IF(D836="","⚠ Plant",IF(E836="","⚠ Quantity",IF(AND(ISNUMBER(L836),COUNTIF(L$1:L835,L836)&gt;0),"⚠ Same serial "&amp;L836,IF(AND(ISNUMBER(L836),L836&gt;MIN($L$2:$L$1001),COUNTIF($L$2:$L$1001,L836-1)=0,COUNTIF($L$2:$L$1001,L836-2)&lt;2),"⚠ Missing serial "&amp;(L836-1),IF(AND(MAX(K$1:K835)&gt;0,N(K836)-MAX(K$1:K835)&gt;180),"⚠ Gap &gt; 3h",IF(C836-I836&gt;=0.99,"next day",IF(C836-I836&gt;0.4,"12h → 24h","")))))))))))</f>
        <v/>
      </c>
      <c r="H836" s="4" t="str">
        <f t="shared" si="65"/>
        <v/>
      </c>
      <c r="I836" s="5" t="str">
        <f t="shared" si="66"/>
        <v/>
      </c>
      <c r="J836" s="6">
        <f t="shared" si="67"/>
        <v>0</v>
      </c>
      <c r="K836" s="4" t="str">
        <f t="shared" si="68"/>
        <v/>
      </c>
      <c r="L836" s="4" t="str">
        <f t="shared" si="69"/>
        <v/>
      </c>
      <c r="M836" s="4" t="b" cm="1">
        <f t="array" ref="M836">IF(H836="",FALSE,SUMPRODUCT(--(H$1:H835=H836))&gt;0)</f>
        <v>0</v>
      </c>
    </row>
    <row r="837" spans="1:13" x14ac:dyDescent="0.25">
      <c r="A837" s="9" t="str">
        <f>IF(OR(B837="",M837,G837="— ignored"),"",MAX(A$1:A836)+1)</f>
        <v/>
      </c>
      <c r="B837" s="10"/>
      <c r="C837" s="11" t="str">
        <f>IF(I837="","",ROUND((I837+0.5*MAX(0,CEILING(ROUND((MAX(C$1:C836)-1/48-I837)/0.5,6),1)))*1440,0)/1440)</f>
        <v/>
      </c>
      <c r="D837" s="9" t="str" cm="1">
        <f t="array" ref="D837">IF(H837="","",IFERROR(INDEX(Log!$C$19:$G$19,VALUE(MID(H837,FIND("#",H837)+1,1))),""))</f>
        <v/>
      </c>
      <c r="E837" s="9" t="str" cm="1">
        <f t="array" ref="E837">IF(OR(H837="",M837),"",IFERROR(_xlfn.LET(_xlpm.t,SUBSTITUTE(UPPER(H837),"م","M"),_xlpm.u,SUBSTITUTE(_xlpm.t,"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37" s="12"/>
      <c r="G837" s="13" t="str">
        <f>IF(B837="","",IF(M837,"⚠ Duplicate (not counted)",IF(AND(I837="",D837="",E837=""),"— ignored",IF(C837="","⚠ Time",IF(D837="","⚠ Plant",IF(E837="","⚠ Quantity",IF(AND(ISNUMBER(L837),COUNTIF(L$1:L836,L837)&gt;0),"⚠ Same serial "&amp;L837,IF(AND(ISNUMBER(L837),L837&gt;MIN($L$2:$L$1001),COUNTIF($L$2:$L$1001,L837-1)=0,COUNTIF($L$2:$L$1001,L837-2)&lt;2),"⚠ Missing serial "&amp;(L837-1),IF(AND(MAX(K$1:K836)&gt;0,N(K837)-MAX(K$1:K836)&gt;180),"⚠ Gap &gt; 3h",IF(C837-I837&gt;=0.99,"next day",IF(C837-I837&gt;0.4,"12h → 24h","")))))))))))</f>
        <v/>
      </c>
      <c r="H837" s="4" t="str">
        <f t="shared" si="65"/>
        <v/>
      </c>
      <c r="I837" s="5" t="str">
        <f t="shared" si="66"/>
        <v/>
      </c>
      <c r="J837" s="6">
        <f t="shared" si="67"/>
        <v>0</v>
      </c>
      <c r="K837" s="4" t="str">
        <f t="shared" si="68"/>
        <v/>
      </c>
      <c r="L837" s="4" t="str">
        <f t="shared" si="69"/>
        <v/>
      </c>
      <c r="M837" s="4" t="b" cm="1">
        <f t="array" ref="M837">IF(H837="",FALSE,SUMPRODUCT(--(H$1:H836=H837))&gt;0)</f>
        <v>0</v>
      </c>
    </row>
    <row r="838" spans="1:13" x14ac:dyDescent="0.25">
      <c r="A838" s="9" t="str">
        <f>IF(OR(B838="",M838,G838="— ignored"),"",MAX(A$1:A837)+1)</f>
        <v/>
      </c>
      <c r="B838" s="10"/>
      <c r="C838" s="11" t="str">
        <f>IF(I838="","",ROUND((I838+0.5*MAX(0,CEILING(ROUND((MAX(C$1:C837)-1/48-I838)/0.5,6),1)))*1440,0)/1440)</f>
        <v/>
      </c>
      <c r="D838" s="9" t="str" cm="1">
        <f t="array" ref="D838">IF(H838="","",IFERROR(INDEX(Log!$C$19:$G$19,VALUE(MID(H838,FIND("#",H838)+1,1))),""))</f>
        <v/>
      </c>
      <c r="E838" s="9" t="str" cm="1">
        <f t="array" ref="E838">IF(OR(H838="",M838),"",IFERROR(_xlfn.LET(_xlpm.t,SUBSTITUTE(UPPER(H838),"م","M"),_xlpm.u,SUBSTITUTE(_xlpm.t,"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38" s="12"/>
      <c r="G838" s="13" t="str">
        <f>IF(B838="","",IF(M838,"⚠ Duplicate (not counted)",IF(AND(I838="",D838="",E838=""),"— ignored",IF(C838="","⚠ Time",IF(D838="","⚠ Plant",IF(E838="","⚠ Quantity",IF(AND(ISNUMBER(L838),COUNTIF(L$1:L837,L838)&gt;0),"⚠ Same serial "&amp;L838,IF(AND(ISNUMBER(L838),L838&gt;MIN($L$2:$L$1001),COUNTIF($L$2:$L$1001,L838-1)=0,COUNTIF($L$2:$L$1001,L838-2)&lt;2),"⚠ Missing serial "&amp;(L838-1),IF(AND(MAX(K$1:K837)&gt;0,N(K838)-MAX(K$1:K837)&gt;180),"⚠ Gap &gt; 3h",IF(C838-I838&gt;=0.99,"next day",IF(C838-I838&gt;0.4,"12h → 24h","")))))))))))</f>
        <v/>
      </c>
      <c r="H838" s="4" t="str">
        <f t="shared" si="65"/>
        <v/>
      </c>
      <c r="I838" s="5" t="str">
        <f t="shared" si="66"/>
        <v/>
      </c>
      <c r="J838" s="6">
        <f t="shared" si="67"/>
        <v>0</v>
      </c>
      <c r="K838" s="4" t="str">
        <f t="shared" si="68"/>
        <v/>
      </c>
      <c r="L838" s="4" t="str">
        <f t="shared" si="69"/>
        <v/>
      </c>
      <c r="M838" s="4" t="b" cm="1">
        <f t="array" ref="M838">IF(H838="",FALSE,SUMPRODUCT(--(H$1:H837=H838))&gt;0)</f>
        <v>0</v>
      </c>
    </row>
    <row r="839" spans="1:13" x14ac:dyDescent="0.25">
      <c r="A839" s="9" t="str">
        <f>IF(OR(B839="",M839,G839="— ignored"),"",MAX(A$1:A838)+1)</f>
        <v/>
      </c>
      <c r="B839" s="10"/>
      <c r="C839" s="11" t="str">
        <f>IF(I839="","",ROUND((I839+0.5*MAX(0,CEILING(ROUND((MAX(C$1:C838)-1/48-I839)/0.5,6),1)))*1440,0)/1440)</f>
        <v/>
      </c>
      <c r="D839" s="9" t="str" cm="1">
        <f t="array" ref="D839">IF(H839="","",IFERROR(INDEX(Log!$C$19:$G$19,VALUE(MID(H839,FIND("#",H839)+1,1))),""))</f>
        <v/>
      </c>
      <c r="E839" s="9" t="str" cm="1">
        <f t="array" ref="E839">IF(OR(H839="",M839),"",IFERROR(_xlfn.LET(_xlpm.t,SUBSTITUTE(UPPER(H839),"م","M"),_xlpm.u,SUBSTITUTE(_xlpm.t,"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39" s="12"/>
      <c r="G839" s="13" t="str">
        <f>IF(B839="","",IF(M839,"⚠ Duplicate (not counted)",IF(AND(I839="",D839="",E839=""),"— ignored",IF(C839="","⚠ Time",IF(D839="","⚠ Plant",IF(E839="","⚠ Quantity",IF(AND(ISNUMBER(L839),COUNTIF(L$1:L838,L839)&gt;0),"⚠ Same serial "&amp;L839,IF(AND(ISNUMBER(L839),L839&gt;MIN($L$2:$L$1001),COUNTIF($L$2:$L$1001,L839-1)=0,COUNTIF($L$2:$L$1001,L839-2)&lt;2),"⚠ Missing serial "&amp;(L839-1),IF(AND(MAX(K$1:K838)&gt;0,N(K839)-MAX(K$1:K838)&gt;180),"⚠ Gap &gt; 3h",IF(C839-I839&gt;=0.99,"next day",IF(C839-I839&gt;0.4,"12h → 24h","")))))))))))</f>
        <v/>
      </c>
      <c r="H839" s="4" t="str">
        <f t="shared" si="65"/>
        <v/>
      </c>
      <c r="I839" s="5" t="str">
        <f t="shared" si="66"/>
        <v/>
      </c>
      <c r="J839" s="6">
        <f t="shared" si="67"/>
        <v>0</v>
      </c>
      <c r="K839" s="4" t="str">
        <f t="shared" si="68"/>
        <v/>
      </c>
      <c r="L839" s="4" t="str">
        <f t="shared" si="69"/>
        <v/>
      </c>
      <c r="M839" s="4" t="b" cm="1">
        <f t="array" ref="M839">IF(H839="",FALSE,SUMPRODUCT(--(H$1:H838=H839))&gt;0)</f>
        <v>0</v>
      </c>
    </row>
    <row r="840" spans="1:13" x14ac:dyDescent="0.25">
      <c r="A840" s="9" t="str">
        <f>IF(OR(B840="",M840,G840="— ignored"),"",MAX(A$1:A839)+1)</f>
        <v/>
      </c>
      <c r="B840" s="10"/>
      <c r="C840" s="11" t="str">
        <f>IF(I840="","",ROUND((I840+0.5*MAX(0,CEILING(ROUND((MAX(C$1:C839)-1/48-I840)/0.5,6),1)))*1440,0)/1440)</f>
        <v/>
      </c>
      <c r="D840" s="9" t="str" cm="1">
        <f t="array" ref="D840">IF(H840="","",IFERROR(INDEX(Log!$C$19:$G$19,VALUE(MID(H840,FIND("#",H840)+1,1))),""))</f>
        <v/>
      </c>
      <c r="E840" s="9" t="str" cm="1">
        <f t="array" ref="E840">IF(OR(H840="",M840),"",IFERROR(_xlfn.LET(_xlpm.t,SUBSTITUTE(UPPER(H840),"م","M"),_xlpm.u,SUBSTITUTE(_xlpm.t,"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40" s="12"/>
      <c r="G840" s="13" t="str">
        <f>IF(B840="","",IF(M840,"⚠ Duplicate (not counted)",IF(AND(I840="",D840="",E840=""),"— ignored",IF(C840="","⚠ Time",IF(D840="","⚠ Plant",IF(E840="","⚠ Quantity",IF(AND(ISNUMBER(L840),COUNTIF(L$1:L839,L840)&gt;0),"⚠ Same serial "&amp;L840,IF(AND(ISNUMBER(L840),L840&gt;MIN($L$2:$L$1001),COUNTIF($L$2:$L$1001,L840-1)=0,COUNTIF($L$2:$L$1001,L840-2)&lt;2),"⚠ Missing serial "&amp;(L840-1),IF(AND(MAX(K$1:K839)&gt;0,N(K840)-MAX(K$1:K839)&gt;180),"⚠ Gap &gt; 3h",IF(C840-I840&gt;=0.99,"next day",IF(C840-I840&gt;0.4,"12h → 24h","")))))))))))</f>
        <v/>
      </c>
      <c r="H840" s="4" t="str">
        <f t="shared" si="65"/>
        <v/>
      </c>
      <c r="I840" s="5" t="str">
        <f t="shared" si="66"/>
        <v/>
      </c>
      <c r="J840" s="6">
        <f t="shared" si="67"/>
        <v>0</v>
      </c>
      <c r="K840" s="4" t="str">
        <f t="shared" si="68"/>
        <v/>
      </c>
      <c r="L840" s="4" t="str">
        <f t="shared" si="69"/>
        <v/>
      </c>
      <c r="M840" s="4" t="b" cm="1">
        <f t="array" ref="M840">IF(H840="",FALSE,SUMPRODUCT(--(H$1:H839=H840))&gt;0)</f>
        <v>0</v>
      </c>
    </row>
    <row r="841" spans="1:13" x14ac:dyDescent="0.25">
      <c r="A841" s="9" t="str">
        <f>IF(OR(B841="",M841,G841="— ignored"),"",MAX(A$1:A840)+1)</f>
        <v/>
      </c>
      <c r="B841" s="10"/>
      <c r="C841" s="11" t="str">
        <f>IF(I841="","",ROUND((I841+0.5*MAX(0,CEILING(ROUND((MAX(C$1:C840)-1/48-I841)/0.5,6),1)))*1440,0)/1440)</f>
        <v/>
      </c>
      <c r="D841" s="9" t="str" cm="1">
        <f t="array" ref="D841">IF(H841="","",IFERROR(INDEX(Log!$C$19:$G$19,VALUE(MID(H841,FIND("#",H841)+1,1))),""))</f>
        <v/>
      </c>
      <c r="E841" s="9" t="str" cm="1">
        <f t="array" ref="E841">IF(OR(H841="",M841),"",IFERROR(_xlfn.LET(_xlpm.t,SUBSTITUTE(UPPER(H841),"م","M"),_xlpm.u,SUBSTITUTE(_xlpm.t,"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41" s="12"/>
      <c r="G841" s="13" t="str">
        <f>IF(B841="","",IF(M841,"⚠ Duplicate (not counted)",IF(AND(I841="",D841="",E841=""),"— ignored",IF(C841="","⚠ Time",IF(D841="","⚠ Plant",IF(E841="","⚠ Quantity",IF(AND(ISNUMBER(L841),COUNTIF(L$1:L840,L841)&gt;0),"⚠ Same serial "&amp;L841,IF(AND(ISNUMBER(L841),L841&gt;MIN($L$2:$L$1001),COUNTIF($L$2:$L$1001,L841-1)=0,COUNTIF($L$2:$L$1001,L841-2)&lt;2),"⚠ Missing serial "&amp;(L841-1),IF(AND(MAX(K$1:K840)&gt;0,N(K841)-MAX(K$1:K840)&gt;180),"⚠ Gap &gt; 3h",IF(C841-I841&gt;=0.99,"next day",IF(C841-I841&gt;0.4,"12h → 24h","")))))))))))</f>
        <v/>
      </c>
      <c r="H841" s="4" t="str">
        <f t="shared" si="65"/>
        <v/>
      </c>
      <c r="I841" s="5" t="str">
        <f t="shared" si="66"/>
        <v/>
      </c>
      <c r="J841" s="6">
        <f t="shared" si="67"/>
        <v>0</v>
      </c>
      <c r="K841" s="4" t="str">
        <f t="shared" si="68"/>
        <v/>
      </c>
      <c r="L841" s="4" t="str">
        <f t="shared" si="69"/>
        <v/>
      </c>
      <c r="M841" s="4" t="b" cm="1">
        <f t="array" ref="M841">IF(H841="",FALSE,SUMPRODUCT(--(H$1:H840=H841))&gt;0)</f>
        <v>0</v>
      </c>
    </row>
    <row r="842" spans="1:13" x14ac:dyDescent="0.25">
      <c r="A842" s="9" t="str">
        <f>IF(OR(B842="",M842,G842="— ignored"),"",MAX(A$1:A841)+1)</f>
        <v/>
      </c>
      <c r="B842" s="10"/>
      <c r="C842" s="11" t="str">
        <f>IF(I842="","",ROUND((I842+0.5*MAX(0,CEILING(ROUND((MAX(C$1:C841)-1/48-I842)/0.5,6),1)))*1440,0)/1440)</f>
        <v/>
      </c>
      <c r="D842" s="9" t="str" cm="1">
        <f t="array" ref="D842">IF(H842="","",IFERROR(INDEX(Log!$C$19:$G$19,VALUE(MID(H842,FIND("#",H842)+1,1))),""))</f>
        <v/>
      </c>
      <c r="E842" s="9" t="str" cm="1">
        <f t="array" ref="E842">IF(OR(H842="",M842),"",IFERROR(_xlfn.LET(_xlpm.t,SUBSTITUTE(UPPER(H842),"م","M"),_xlpm.u,SUBSTITUTE(_xlpm.t,"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42" s="12"/>
      <c r="G842" s="13" t="str">
        <f>IF(B842="","",IF(M842,"⚠ Duplicate (not counted)",IF(AND(I842="",D842="",E842=""),"— ignored",IF(C842="","⚠ Time",IF(D842="","⚠ Plant",IF(E842="","⚠ Quantity",IF(AND(ISNUMBER(L842),COUNTIF(L$1:L841,L842)&gt;0),"⚠ Same serial "&amp;L842,IF(AND(ISNUMBER(L842),L842&gt;MIN($L$2:$L$1001),COUNTIF($L$2:$L$1001,L842-1)=0,COUNTIF($L$2:$L$1001,L842-2)&lt;2),"⚠ Missing serial "&amp;(L842-1),IF(AND(MAX(K$1:K841)&gt;0,N(K842)-MAX(K$1:K841)&gt;180),"⚠ Gap &gt; 3h",IF(C842-I842&gt;=0.99,"next day",IF(C842-I842&gt;0.4,"12h → 24h","")))))))))))</f>
        <v/>
      </c>
      <c r="H842" s="4" t="str">
        <f t="shared" si="65"/>
        <v/>
      </c>
      <c r="I842" s="5" t="str">
        <f t="shared" si="66"/>
        <v/>
      </c>
      <c r="J842" s="6">
        <f t="shared" si="67"/>
        <v>0</v>
      </c>
      <c r="K842" s="4" t="str">
        <f t="shared" si="68"/>
        <v/>
      </c>
      <c r="L842" s="4" t="str">
        <f t="shared" si="69"/>
        <v/>
      </c>
      <c r="M842" s="4" t="b" cm="1">
        <f t="array" ref="M842">IF(H842="",FALSE,SUMPRODUCT(--(H$1:H841=H842))&gt;0)</f>
        <v>0</v>
      </c>
    </row>
    <row r="843" spans="1:13" x14ac:dyDescent="0.25">
      <c r="A843" s="9" t="str">
        <f>IF(OR(B843="",M843,G843="— ignored"),"",MAX(A$1:A842)+1)</f>
        <v/>
      </c>
      <c r="B843" s="10"/>
      <c r="C843" s="11" t="str">
        <f>IF(I843="","",ROUND((I843+0.5*MAX(0,CEILING(ROUND((MAX(C$1:C842)-1/48-I843)/0.5,6),1)))*1440,0)/1440)</f>
        <v/>
      </c>
      <c r="D843" s="9" t="str" cm="1">
        <f t="array" ref="D843">IF(H843="","",IFERROR(INDEX(Log!$C$19:$G$19,VALUE(MID(H843,FIND("#",H843)+1,1))),""))</f>
        <v/>
      </c>
      <c r="E843" s="9" t="str" cm="1">
        <f t="array" ref="E843">IF(OR(H843="",M843),"",IFERROR(_xlfn.LET(_xlpm.t,SUBSTITUTE(UPPER(H843),"م","M"),_xlpm.u,SUBSTITUTE(_xlpm.t,"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43" s="12"/>
      <c r="G843" s="13" t="str">
        <f>IF(B843="","",IF(M843,"⚠ Duplicate (not counted)",IF(AND(I843="",D843="",E843=""),"— ignored",IF(C843="","⚠ Time",IF(D843="","⚠ Plant",IF(E843="","⚠ Quantity",IF(AND(ISNUMBER(L843),COUNTIF(L$1:L842,L843)&gt;0),"⚠ Same serial "&amp;L843,IF(AND(ISNUMBER(L843),L843&gt;MIN($L$2:$L$1001),COUNTIF($L$2:$L$1001,L843-1)=0,COUNTIF($L$2:$L$1001,L843-2)&lt;2),"⚠ Missing serial "&amp;(L843-1),IF(AND(MAX(K$1:K842)&gt;0,N(K843)-MAX(K$1:K842)&gt;180),"⚠ Gap &gt; 3h",IF(C843-I843&gt;=0.99,"next day",IF(C843-I843&gt;0.4,"12h → 24h","")))))))))))</f>
        <v/>
      </c>
      <c r="H843" s="4" t="str">
        <f t="shared" si="65"/>
        <v/>
      </c>
      <c r="I843" s="5" t="str">
        <f t="shared" si="66"/>
        <v/>
      </c>
      <c r="J843" s="6">
        <f t="shared" si="67"/>
        <v>0</v>
      </c>
      <c r="K843" s="4" t="str">
        <f t="shared" si="68"/>
        <v/>
      </c>
      <c r="L843" s="4" t="str">
        <f t="shared" si="69"/>
        <v/>
      </c>
      <c r="M843" s="4" t="b" cm="1">
        <f t="array" ref="M843">IF(H843="",FALSE,SUMPRODUCT(--(H$1:H842=H843))&gt;0)</f>
        <v>0</v>
      </c>
    </row>
    <row r="844" spans="1:13" x14ac:dyDescent="0.25">
      <c r="A844" s="9" t="str">
        <f>IF(OR(B844="",M844,G844="— ignored"),"",MAX(A$1:A843)+1)</f>
        <v/>
      </c>
      <c r="B844" s="10"/>
      <c r="C844" s="11" t="str">
        <f>IF(I844="","",ROUND((I844+0.5*MAX(0,CEILING(ROUND((MAX(C$1:C843)-1/48-I844)/0.5,6),1)))*1440,0)/1440)</f>
        <v/>
      </c>
      <c r="D844" s="9" t="str" cm="1">
        <f t="array" ref="D844">IF(H844="","",IFERROR(INDEX(Log!$C$19:$G$19,VALUE(MID(H844,FIND("#",H844)+1,1))),""))</f>
        <v/>
      </c>
      <c r="E844" s="9" t="str" cm="1">
        <f t="array" ref="E844">IF(OR(H844="",M844),"",IFERROR(_xlfn.LET(_xlpm.t,SUBSTITUTE(UPPER(H844),"م","M"),_xlpm.u,SUBSTITUTE(_xlpm.t,"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44" s="12"/>
      <c r="G844" s="13" t="str">
        <f>IF(B844="","",IF(M844,"⚠ Duplicate (not counted)",IF(AND(I844="",D844="",E844=""),"— ignored",IF(C844="","⚠ Time",IF(D844="","⚠ Plant",IF(E844="","⚠ Quantity",IF(AND(ISNUMBER(L844),COUNTIF(L$1:L843,L844)&gt;0),"⚠ Same serial "&amp;L844,IF(AND(ISNUMBER(L844),L844&gt;MIN($L$2:$L$1001),COUNTIF($L$2:$L$1001,L844-1)=0,COUNTIF($L$2:$L$1001,L844-2)&lt;2),"⚠ Missing serial "&amp;(L844-1),IF(AND(MAX(K$1:K843)&gt;0,N(K844)-MAX(K$1:K843)&gt;180),"⚠ Gap &gt; 3h",IF(C844-I844&gt;=0.99,"next day",IF(C844-I844&gt;0.4,"12h → 24h","")))))))))))</f>
        <v/>
      </c>
      <c r="H844" s="4" t="str">
        <f t="shared" si="65"/>
        <v/>
      </c>
      <c r="I844" s="5" t="str">
        <f t="shared" si="66"/>
        <v/>
      </c>
      <c r="J844" s="6">
        <f t="shared" si="67"/>
        <v>0</v>
      </c>
      <c r="K844" s="4" t="str">
        <f t="shared" si="68"/>
        <v/>
      </c>
      <c r="L844" s="4" t="str">
        <f t="shared" si="69"/>
        <v/>
      </c>
      <c r="M844" s="4" t="b" cm="1">
        <f t="array" ref="M844">IF(H844="",FALSE,SUMPRODUCT(--(H$1:H843=H844))&gt;0)</f>
        <v>0</v>
      </c>
    </row>
    <row r="845" spans="1:13" x14ac:dyDescent="0.25">
      <c r="A845" s="9" t="str">
        <f>IF(OR(B845="",M845,G845="— ignored"),"",MAX(A$1:A844)+1)</f>
        <v/>
      </c>
      <c r="B845" s="10"/>
      <c r="C845" s="11" t="str">
        <f>IF(I845="","",ROUND((I845+0.5*MAX(0,CEILING(ROUND((MAX(C$1:C844)-1/48-I845)/0.5,6),1)))*1440,0)/1440)</f>
        <v/>
      </c>
      <c r="D845" s="9" t="str" cm="1">
        <f t="array" ref="D845">IF(H845="","",IFERROR(INDEX(Log!$C$19:$G$19,VALUE(MID(H845,FIND("#",H845)+1,1))),""))</f>
        <v/>
      </c>
      <c r="E845" s="9" t="str" cm="1">
        <f t="array" ref="E845">IF(OR(H845="",M845),"",IFERROR(_xlfn.LET(_xlpm.t,SUBSTITUTE(UPPER(H845),"م","M"),_xlpm.u,SUBSTITUTE(_xlpm.t,"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45" s="12"/>
      <c r="G845" s="13" t="str">
        <f>IF(B845="","",IF(M845,"⚠ Duplicate (not counted)",IF(AND(I845="",D845="",E845=""),"— ignored",IF(C845="","⚠ Time",IF(D845="","⚠ Plant",IF(E845="","⚠ Quantity",IF(AND(ISNUMBER(L845),COUNTIF(L$1:L844,L845)&gt;0),"⚠ Same serial "&amp;L845,IF(AND(ISNUMBER(L845),L845&gt;MIN($L$2:$L$1001),COUNTIF($L$2:$L$1001,L845-1)=0,COUNTIF($L$2:$L$1001,L845-2)&lt;2),"⚠ Missing serial "&amp;(L845-1),IF(AND(MAX(K$1:K844)&gt;0,N(K845)-MAX(K$1:K844)&gt;180),"⚠ Gap &gt; 3h",IF(C845-I845&gt;=0.99,"next day",IF(C845-I845&gt;0.4,"12h → 24h","")))))))))))</f>
        <v/>
      </c>
      <c r="H845" s="4" t="str">
        <f t="shared" si="65"/>
        <v/>
      </c>
      <c r="I845" s="5" t="str">
        <f t="shared" si="66"/>
        <v/>
      </c>
      <c r="J845" s="6">
        <f t="shared" si="67"/>
        <v>0</v>
      </c>
      <c r="K845" s="4" t="str">
        <f t="shared" si="68"/>
        <v/>
      </c>
      <c r="L845" s="4" t="str">
        <f t="shared" si="69"/>
        <v/>
      </c>
      <c r="M845" s="4" t="b" cm="1">
        <f t="array" ref="M845">IF(H845="",FALSE,SUMPRODUCT(--(H$1:H844=H845))&gt;0)</f>
        <v>0</v>
      </c>
    </row>
    <row r="846" spans="1:13" x14ac:dyDescent="0.25">
      <c r="A846" s="9" t="str">
        <f>IF(OR(B846="",M846,G846="— ignored"),"",MAX(A$1:A845)+1)</f>
        <v/>
      </c>
      <c r="B846" s="10"/>
      <c r="C846" s="11" t="str">
        <f>IF(I846="","",ROUND((I846+0.5*MAX(0,CEILING(ROUND((MAX(C$1:C845)-1/48-I846)/0.5,6),1)))*1440,0)/1440)</f>
        <v/>
      </c>
      <c r="D846" s="9" t="str" cm="1">
        <f t="array" ref="D846">IF(H846="","",IFERROR(INDEX(Log!$C$19:$G$19,VALUE(MID(H846,FIND("#",H846)+1,1))),""))</f>
        <v/>
      </c>
      <c r="E846" s="9" t="str" cm="1">
        <f t="array" ref="E846">IF(OR(H846="",M846),"",IFERROR(_xlfn.LET(_xlpm.t,SUBSTITUTE(UPPER(H846),"م","M"),_xlpm.u,SUBSTITUTE(_xlpm.t,"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46" s="12"/>
      <c r="G846" s="13" t="str">
        <f>IF(B846="","",IF(M846,"⚠ Duplicate (not counted)",IF(AND(I846="",D846="",E846=""),"— ignored",IF(C846="","⚠ Time",IF(D846="","⚠ Plant",IF(E846="","⚠ Quantity",IF(AND(ISNUMBER(L846),COUNTIF(L$1:L845,L846)&gt;0),"⚠ Same serial "&amp;L846,IF(AND(ISNUMBER(L846),L846&gt;MIN($L$2:$L$1001),COUNTIF($L$2:$L$1001,L846-1)=0,COUNTIF($L$2:$L$1001,L846-2)&lt;2),"⚠ Missing serial "&amp;(L846-1),IF(AND(MAX(K$1:K845)&gt;0,N(K846)-MAX(K$1:K845)&gt;180),"⚠ Gap &gt; 3h",IF(C846-I846&gt;=0.99,"next day",IF(C846-I846&gt;0.4,"12h → 24h","")))))))))))</f>
        <v/>
      </c>
      <c r="H846" s="4" t="str">
        <f t="shared" si="65"/>
        <v/>
      </c>
      <c r="I846" s="5" t="str">
        <f t="shared" si="66"/>
        <v/>
      </c>
      <c r="J846" s="6">
        <f t="shared" si="67"/>
        <v>0</v>
      </c>
      <c r="K846" s="4" t="str">
        <f t="shared" si="68"/>
        <v/>
      </c>
      <c r="L846" s="4" t="str">
        <f t="shared" si="69"/>
        <v/>
      </c>
      <c r="M846" s="4" t="b" cm="1">
        <f t="array" ref="M846">IF(H846="",FALSE,SUMPRODUCT(--(H$1:H845=H846))&gt;0)</f>
        <v>0</v>
      </c>
    </row>
    <row r="847" spans="1:13" x14ac:dyDescent="0.25">
      <c r="A847" s="9" t="str">
        <f>IF(OR(B847="",M847,G847="— ignored"),"",MAX(A$1:A846)+1)</f>
        <v/>
      </c>
      <c r="B847" s="10"/>
      <c r="C847" s="11" t="str">
        <f>IF(I847="","",ROUND((I847+0.5*MAX(0,CEILING(ROUND((MAX(C$1:C846)-1/48-I847)/0.5,6),1)))*1440,0)/1440)</f>
        <v/>
      </c>
      <c r="D847" s="9" t="str" cm="1">
        <f t="array" ref="D847">IF(H847="","",IFERROR(INDEX(Log!$C$19:$G$19,VALUE(MID(H847,FIND("#",H847)+1,1))),""))</f>
        <v/>
      </c>
      <c r="E847" s="9" t="str" cm="1">
        <f t="array" ref="E847">IF(OR(H847="",M847),"",IFERROR(_xlfn.LET(_xlpm.t,SUBSTITUTE(UPPER(H847),"م","M"),_xlpm.u,SUBSTITUTE(_xlpm.t,"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47" s="12"/>
      <c r="G847" s="13" t="str">
        <f>IF(B847="","",IF(M847,"⚠ Duplicate (not counted)",IF(AND(I847="",D847="",E847=""),"— ignored",IF(C847="","⚠ Time",IF(D847="","⚠ Plant",IF(E847="","⚠ Quantity",IF(AND(ISNUMBER(L847),COUNTIF(L$1:L846,L847)&gt;0),"⚠ Same serial "&amp;L847,IF(AND(ISNUMBER(L847),L847&gt;MIN($L$2:$L$1001),COUNTIF($L$2:$L$1001,L847-1)=0,COUNTIF($L$2:$L$1001,L847-2)&lt;2),"⚠ Missing serial "&amp;(L847-1),IF(AND(MAX(K$1:K846)&gt;0,N(K847)-MAX(K$1:K846)&gt;180),"⚠ Gap &gt; 3h",IF(C847-I847&gt;=0.99,"next day",IF(C847-I847&gt;0.4,"12h → 24h","")))))))))))</f>
        <v/>
      </c>
      <c r="H847" s="4" t="str">
        <f t="shared" si="65"/>
        <v/>
      </c>
      <c r="I847" s="5" t="str">
        <f t="shared" si="66"/>
        <v/>
      </c>
      <c r="J847" s="6">
        <f t="shared" si="67"/>
        <v>0</v>
      </c>
      <c r="K847" s="4" t="str">
        <f t="shared" si="68"/>
        <v/>
      </c>
      <c r="L847" s="4" t="str">
        <f t="shared" si="69"/>
        <v/>
      </c>
      <c r="M847" s="4" t="b" cm="1">
        <f t="array" ref="M847">IF(H847="",FALSE,SUMPRODUCT(--(H$1:H846=H847))&gt;0)</f>
        <v>0</v>
      </c>
    </row>
    <row r="848" spans="1:13" x14ac:dyDescent="0.25">
      <c r="A848" s="9" t="str">
        <f>IF(OR(B848="",M848,G848="— ignored"),"",MAX(A$1:A847)+1)</f>
        <v/>
      </c>
      <c r="B848" s="10"/>
      <c r="C848" s="11" t="str">
        <f>IF(I848="","",ROUND((I848+0.5*MAX(0,CEILING(ROUND((MAX(C$1:C847)-1/48-I848)/0.5,6),1)))*1440,0)/1440)</f>
        <v/>
      </c>
      <c r="D848" s="9" t="str" cm="1">
        <f t="array" ref="D848">IF(H848="","",IFERROR(INDEX(Log!$C$19:$G$19,VALUE(MID(H848,FIND("#",H848)+1,1))),""))</f>
        <v/>
      </c>
      <c r="E848" s="9" t="str" cm="1">
        <f t="array" ref="E848">IF(OR(H848="",M848),"",IFERROR(_xlfn.LET(_xlpm.t,SUBSTITUTE(UPPER(H848),"م","M"),_xlpm.u,SUBSTITUTE(_xlpm.t,"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48" s="12"/>
      <c r="G848" s="13" t="str">
        <f>IF(B848="","",IF(M848,"⚠ Duplicate (not counted)",IF(AND(I848="",D848="",E848=""),"— ignored",IF(C848="","⚠ Time",IF(D848="","⚠ Plant",IF(E848="","⚠ Quantity",IF(AND(ISNUMBER(L848),COUNTIF(L$1:L847,L848)&gt;0),"⚠ Same serial "&amp;L848,IF(AND(ISNUMBER(L848),L848&gt;MIN($L$2:$L$1001),COUNTIF($L$2:$L$1001,L848-1)=0,COUNTIF($L$2:$L$1001,L848-2)&lt;2),"⚠ Missing serial "&amp;(L848-1),IF(AND(MAX(K$1:K847)&gt;0,N(K848)-MAX(K$1:K847)&gt;180),"⚠ Gap &gt; 3h",IF(C848-I848&gt;=0.99,"next day",IF(C848-I848&gt;0.4,"12h → 24h","")))))))))))</f>
        <v/>
      </c>
      <c r="H848" s="4" t="str">
        <f t="shared" si="65"/>
        <v/>
      </c>
      <c r="I848" s="5" t="str">
        <f t="shared" si="66"/>
        <v/>
      </c>
      <c r="J848" s="6">
        <f t="shared" si="67"/>
        <v>0</v>
      </c>
      <c r="K848" s="4" t="str">
        <f t="shared" si="68"/>
        <v/>
      </c>
      <c r="L848" s="4" t="str">
        <f t="shared" si="69"/>
        <v/>
      </c>
      <c r="M848" s="4" t="b" cm="1">
        <f t="array" ref="M848">IF(H848="",FALSE,SUMPRODUCT(--(H$1:H847=H848))&gt;0)</f>
        <v>0</v>
      </c>
    </row>
    <row r="849" spans="1:13" x14ac:dyDescent="0.25">
      <c r="A849" s="9" t="str">
        <f>IF(OR(B849="",M849,G849="— ignored"),"",MAX(A$1:A848)+1)</f>
        <v/>
      </c>
      <c r="B849" s="10"/>
      <c r="C849" s="11" t="str">
        <f>IF(I849="","",ROUND((I849+0.5*MAX(0,CEILING(ROUND((MAX(C$1:C848)-1/48-I849)/0.5,6),1)))*1440,0)/1440)</f>
        <v/>
      </c>
      <c r="D849" s="9" t="str" cm="1">
        <f t="array" ref="D849">IF(H849="","",IFERROR(INDEX(Log!$C$19:$G$19,VALUE(MID(H849,FIND("#",H849)+1,1))),""))</f>
        <v/>
      </c>
      <c r="E849" s="9" t="str" cm="1">
        <f t="array" ref="E849">IF(OR(H849="",M849),"",IFERROR(_xlfn.LET(_xlpm.t,SUBSTITUTE(UPPER(H849),"م","M"),_xlpm.u,SUBSTITUTE(_xlpm.t,"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49" s="12"/>
      <c r="G849" s="13" t="str">
        <f>IF(B849="","",IF(M849,"⚠ Duplicate (not counted)",IF(AND(I849="",D849="",E849=""),"— ignored",IF(C849="","⚠ Time",IF(D849="","⚠ Plant",IF(E849="","⚠ Quantity",IF(AND(ISNUMBER(L849),COUNTIF(L$1:L848,L849)&gt;0),"⚠ Same serial "&amp;L849,IF(AND(ISNUMBER(L849),L849&gt;MIN($L$2:$L$1001),COUNTIF($L$2:$L$1001,L849-1)=0,COUNTIF($L$2:$L$1001,L849-2)&lt;2),"⚠ Missing serial "&amp;(L849-1),IF(AND(MAX(K$1:K848)&gt;0,N(K849)-MAX(K$1:K848)&gt;180),"⚠ Gap &gt; 3h",IF(C849-I849&gt;=0.99,"next day",IF(C849-I849&gt;0.4,"12h → 24h","")))))))))))</f>
        <v/>
      </c>
      <c r="H849" s="4" t="str">
        <f t="shared" si="65"/>
        <v/>
      </c>
      <c r="I849" s="5" t="str">
        <f t="shared" si="66"/>
        <v/>
      </c>
      <c r="J849" s="6">
        <f t="shared" si="67"/>
        <v>0</v>
      </c>
      <c r="K849" s="4" t="str">
        <f t="shared" si="68"/>
        <v/>
      </c>
      <c r="L849" s="4" t="str">
        <f t="shared" si="69"/>
        <v/>
      </c>
      <c r="M849" s="4" t="b" cm="1">
        <f t="array" ref="M849">IF(H849="",FALSE,SUMPRODUCT(--(H$1:H848=H849))&gt;0)</f>
        <v>0</v>
      </c>
    </row>
    <row r="850" spans="1:13" x14ac:dyDescent="0.25">
      <c r="A850" s="9" t="str">
        <f>IF(OR(B850="",M850,G850="— ignored"),"",MAX(A$1:A849)+1)</f>
        <v/>
      </c>
      <c r="B850" s="10"/>
      <c r="C850" s="11" t="str">
        <f>IF(I850="","",ROUND((I850+0.5*MAX(0,CEILING(ROUND((MAX(C$1:C849)-1/48-I850)/0.5,6),1)))*1440,0)/1440)</f>
        <v/>
      </c>
      <c r="D850" s="9" t="str" cm="1">
        <f t="array" ref="D850">IF(H850="","",IFERROR(INDEX(Log!$C$19:$G$19,VALUE(MID(H850,FIND("#",H850)+1,1))),""))</f>
        <v/>
      </c>
      <c r="E850" s="9" t="str" cm="1">
        <f t="array" ref="E850">IF(OR(H850="",M850),"",IFERROR(_xlfn.LET(_xlpm.t,SUBSTITUTE(UPPER(H850),"م","M"),_xlpm.u,SUBSTITUTE(_xlpm.t,"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50" s="12"/>
      <c r="G850" s="13" t="str">
        <f>IF(B850="","",IF(M850,"⚠ Duplicate (not counted)",IF(AND(I850="",D850="",E850=""),"— ignored",IF(C850="","⚠ Time",IF(D850="","⚠ Plant",IF(E850="","⚠ Quantity",IF(AND(ISNUMBER(L850),COUNTIF(L$1:L849,L850)&gt;0),"⚠ Same serial "&amp;L850,IF(AND(ISNUMBER(L850),L850&gt;MIN($L$2:$L$1001),COUNTIF($L$2:$L$1001,L850-1)=0,COUNTIF($L$2:$L$1001,L850-2)&lt;2),"⚠ Missing serial "&amp;(L850-1),IF(AND(MAX(K$1:K849)&gt;0,N(K850)-MAX(K$1:K849)&gt;180),"⚠ Gap &gt; 3h",IF(C850-I850&gt;=0.99,"next day",IF(C850-I850&gt;0.4,"12h → 24h","")))))))))))</f>
        <v/>
      </c>
      <c r="H850" s="4" t="str">
        <f t="shared" si="65"/>
        <v/>
      </c>
      <c r="I850" s="5" t="str">
        <f t="shared" si="66"/>
        <v/>
      </c>
      <c r="J850" s="6">
        <f t="shared" si="67"/>
        <v>0</v>
      </c>
      <c r="K850" s="4" t="str">
        <f t="shared" si="68"/>
        <v/>
      </c>
      <c r="L850" s="4" t="str">
        <f t="shared" si="69"/>
        <v/>
      </c>
      <c r="M850" s="4" t="b" cm="1">
        <f t="array" ref="M850">IF(H850="",FALSE,SUMPRODUCT(--(H$1:H849=H850))&gt;0)</f>
        <v>0</v>
      </c>
    </row>
    <row r="851" spans="1:13" x14ac:dyDescent="0.25">
      <c r="A851" s="9" t="str">
        <f>IF(OR(B851="",M851,G851="— ignored"),"",MAX(A$1:A850)+1)</f>
        <v/>
      </c>
      <c r="B851" s="10"/>
      <c r="C851" s="11" t="str">
        <f>IF(I851="","",ROUND((I851+0.5*MAX(0,CEILING(ROUND((MAX(C$1:C850)-1/48-I851)/0.5,6),1)))*1440,0)/1440)</f>
        <v/>
      </c>
      <c r="D851" s="9" t="str" cm="1">
        <f t="array" ref="D851">IF(H851="","",IFERROR(INDEX(Log!$C$19:$G$19,VALUE(MID(H851,FIND("#",H851)+1,1))),""))</f>
        <v/>
      </c>
      <c r="E851" s="9" t="str" cm="1">
        <f t="array" ref="E851">IF(OR(H851="",M851),"",IFERROR(_xlfn.LET(_xlpm.t,SUBSTITUTE(UPPER(H851),"م","M"),_xlpm.u,SUBSTITUTE(_xlpm.t,"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51" s="12"/>
      <c r="G851" s="13" t="str">
        <f>IF(B851="","",IF(M851,"⚠ Duplicate (not counted)",IF(AND(I851="",D851="",E851=""),"— ignored",IF(C851="","⚠ Time",IF(D851="","⚠ Plant",IF(E851="","⚠ Quantity",IF(AND(ISNUMBER(L851),COUNTIF(L$1:L850,L851)&gt;0),"⚠ Same serial "&amp;L851,IF(AND(ISNUMBER(L851),L851&gt;MIN($L$2:$L$1001),COUNTIF($L$2:$L$1001,L851-1)=0,COUNTIF($L$2:$L$1001,L851-2)&lt;2),"⚠ Missing serial "&amp;(L851-1),IF(AND(MAX(K$1:K850)&gt;0,N(K851)-MAX(K$1:K850)&gt;180),"⚠ Gap &gt; 3h",IF(C851-I851&gt;=0.99,"next day",IF(C851-I851&gt;0.4,"12h → 24h","")))))))))))</f>
        <v/>
      </c>
      <c r="H851" s="4" t="str">
        <f t="shared" si="65"/>
        <v/>
      </c>
      <c r="I851" s="5" t="str">
        <f t="shared" si="66"/>
        <v/>
      </c>
      <c r="J851" s="6">
        <f t="shared" si="67"/>
        <v>0</v>
      </c>
      <c r="K851" s="4" t="str">
        <f t="shared" si="68"/>
        <v/>
      </c>
      <c r="L851" s="4" t="str">
        <f t="shared" si="69"/>
        <v/>
      </c>
      <c r="M851" s="4" t="b" cm="1">
        <f t="array" ref="M851">IF(H851="",FALSE,SUMPRODUCT(--(H$1:H850=H851))&gt;0)</f>
        <v>0</v>
      </c>
    </row>
    <row r="852" spans="1:13" x14ac:dyDescent="0.25">
      <c r="A852" s="9" t="str">
        <f>IF(OR(B852="",M852,G852="— ignored"),"",MAX(A$1:A851)+1)</f>
        <v/>
      </c>
      <c r="B852" s="10"/>
      <c r="C852" s="11" t="str">
        <f>IF(I852="","",ROUND((I852+0.5*MAX(0,CEILING(ROUND((MAX(C$1:C851)-1/48-I852)/0.5,6),1)))*1440,0)/1440)</f>
        <v/>
      </c>
      <c r="D852" s="9" t="str" cm="1">
        <f t="array" ref="D852">IF(H852="","",IFERROR(INDEX(Log!$C$19:$G$19,VALUE(MID(H852,FIND("#",H852)+1,1))),""))</f>
        <v/>
      </c>
      <c r="E852" s="9" t="str" cm="1">
        <f t="array" ref="E852">IF(OR(H852="",M852),"",IFERROR(_xlfn.LET(_xlpm.t,SUBSTITUTE(UPPER(H852),"م","M"),_xlpm.u,SUBSTITUTE(_xlpm.t,"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52" s="12"/>
      <c r="G852" s="13" t="str">
        <f>IF(B852="","",IF(M852,"⚠ Duplicate (not counted)",IF(AND(I852="",D852="",E852=""),"— ignored",IF(C852="","⚠ Time",IF(D852="","⚠ Plant",IF(E852="","⚠ Quantity",IF(AND(ISNUMBER(L852),COUNTIF(L$1:L851,L852)&gt;0),"⚠ Same serial "&amp;L852,IF(AND(ISNUMBER(L852),L852&gt;MIN($L$2:$L$1001),COUNTIF($L$2:$L$1001,L852-1)=0,COUNTIF($L$2:$L$1001,L852-2)&lt;2),"⚠ Missing serial "&amp;(L852-1),IF(AND(MAX(K$1:K851)&gt;0,N(K852)-MAX(K$1:K851)&gt;180),"⚠ Gap &gt; 3h",IF(C852-I852&gt;=0.99,"next day",IF(C852-I852&gt;0.4,"12h → 24h","")))))))))))</f>
        <v/>
      </c>
      <c r="H852" s="4" t="str">
        <f t="shared" si="65"/>
        <v/>
      </c>
      <c r="I852" s="5" t="str">
        <f t="shared" si="66"/>
        <v/>
      </c>
      <c r="J852" s="6">
        <f t="shared" si="67"/>
        <v>0</v>
      </c>
      <c r="K852" s="4" t="str">
        <f t="shared" si="68"/>
        <v/>
      </c>
      <c r="L852" s="4" t="str">
        <f t="shared" si="69"/>
        <v/>
      </c>
      <c r="M852" s="4" t="b" cm="1">
        <f t="array" ref="M852">IF(H852="",FALSE,SUMPRODUCT(--(H$1:H851=H852))&gt;0)</f>
        <v>0</v>
      </c>
    </row>
    <row r="853" spans="1:13" x14ac:dyDescent="0.25">
      <c r="A853" s="9" t="str">
        <f>IF(OR(B853="",M853,G853="— ignored"),"",MAX(A$1:A852)+1)</f>
        <v/>
      </c>
      <c r="B853" s="10"/>
      <c r="C853" s="11" t="str">
        <f>IF(I853="","",ROUND((I853+0.5*MAX(0,CEILING(ROUND((MAX(C$1:C852)-1/48-I853)/0.5,6),1)))*1440,0)/1440)</f>
        <v/>
      </c>
      <c r="D853" s="9" t="str" cm="1">
        <f t="array" ref="D853">IF(H853="","",IFERROR(INDEX(Log!$C$19:$G$19,VALUE(MID(H853,FIND("#",H853)+1,1))),""))</f>
        <v/>
      </c>
      <c r="E853" s="9" t="str" cm="1">
        <f t="array" ref="E853">IF(OR(H853="",M853),"",IFERROR(_xlfn.LET(_xlpm.t,SUBSTITUTE(UPPER(H853),"م","M"),_xlpm.u,SUBSTITUTE(_xlpm.t,"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53" s="12"/>
      <c r="G853" s="13" t="str">
        <f>IF(B853="","",IF(M853,"⚠ Duplicate (not counted)",IF(AND(I853="",D853="",E853=""),"— ignored",IF(C853="","⚠ Time",IF(D853="","⚠ Plant",IF(E853="","⚠ Quantity",IF(AND(ISNUMBER(L853),COUNTIF(L$1:L852,L853)&gt;0),"⚠ Same serial "&amp;L853,IF(AND(ISNUMBER(L853),L853&gt;MIN($L$2:$L$1001),COUNTIF($L$2:$L$1001,L853-1)=0,COUNTIF($L$2:$L$1001,L853-2)&lt;2),"⚠ Missing serial "&amp;(L853-1),IF(AND(MAX(K$1:K852)&gt;0,N(K853)-MAX(K$1:K852)&gt;180),"⚠ Gap &gt; 3h",IF(C853-I853&gt;=0.99,"next day",IF(C853-I853&gt;0.4,"12h → 24h","")))))))))))</f>
        <v/>
      </c>
      <c r="H853" s="4" t="str">
        <f t="shared" si="65"/>
        <v/>
      </c>
      <c r="I853" s="5" t="str">
        <f t="shared" si="66"/>
        <v/>
      </c>
      <c r="J853" s="6">
        <f t="shared" si="67"/>
        <v>0</v>
      </c>
      <c r="K853" s="4" t="str">
        <f t="shared" si="68"/>
        <v/>
      </c>
      <c r="L853" s="4" t="str">
        <f t="shared" si="69"/>
        <v/>
      </c>
      <c r="M853" s="4" t="b" cm="1">
        <f t="array" ref="M853">IF(H853="",FALSE,SUMPRODUCT(--(H$1:H852=H853))&gt;0)</f>
        <v>0</v>
      </c>
    </row>
    <row r="854" spans="1:13" x14ac:dyDescent="0.25">
      <c r="A854" s="9" t="str">
        <f>IF(OR(B854="",M854,G854="— ignored"),"",MAX(A$1:A853)+1)</f>
        <v/>
      </c>
      <c r="B854" s="10"/>
      <c r="C854" s="11" t="str">
        <f>IF(I854="","",ROUND((I854+0.5*MAX(0,CEILING(ROUND((MAX(C$1:C853)-1/48-I854)/0.5,6),1)))*1440,0)/1440)</f>
        <v/>
      </c>
      <c r="D854" s="9" t="str" cm="1">
        <f t="array" ref="D854">IF(H854="","",IFERROR(INDEX(Log!$C$19:$G$19,VALUE(MID(H854,FIND("#",H854)+1,1))),""))</f>
        <v/>
      </c>
      <c r="E854" s="9" t="str" cm="1">
        <f t="array" ref="E854">IF(OR(H854="",M854),"",IFERROR(_xlfn.LET(_xlpm.t,SUBSTITUTE(UPPER(H854),"م","M"),_xlpm.u,SUBSTITUTE(_xlpm.t,"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54" s="12"/>
      <c r="G854" s="13" t="str">
        <f>IF(B854="","",IF(M854,"⚠ Duplicate (not counted)",IF(AND(I854="",D854="",E854=""),"— ignored",IF(C854="","⚠ Time",IF(D854="","⚠ Plant",IF(E854="","⚠ Quantity",IF(AND(ISNUMBER(L854),COUNTIF(L$1:L853,L854)&gt;0),"⚠ Same serial "&amp;L854,IF(AND(ISNUMBER(L854),L854&gt;MIN($L$2:$L$1001),COUNTIF($L$2:$L$1001,L854-1)=0,COUNTIF($L$2:$L$1001,L854-2)&lt;2),"⚠ Missing serial "&amp;(L854-1),IF(AND(MAX(K$1:K853)&gt;0,N(K854)-MAX(K$1:K853)&gt;180),"⚠ Gap &gt; 3h",IF(C854-I854&gt;=0.99,"next day",IF(C854-I854&gt;0.4,"12h → 24h","")))))))))))</f>
        <v/>
      </c>
      <c r="H854" s="4" t="str">
        <f t="shared" si="65"/>
        <v/>
      </c>
      <c r="I854" s="5" t="str">
        <f t="shared" si="66"/>
        <v/>
      </c>
      <c r="J854" s="6">
        <f t="shared" si="67"/>
        <v>0</v>
      </c>
      <c r="K854" s="4" t="str">
        <f t="shared" si="68"/>
        <v/>
      </c>
      <c r="L854" s="4" t="str">
        <f t="shared" si="69"/>
        <v/>
      </c>
      <c r="M854" s="4" t="b" cm="1">
        <f t="array" ref="M854">IF(H854="",FALSE,SUMPRODUCT(--(H$1:H853=H854))&gt;0)</f>
        <v>0</v>
      </c>
    </row>
    <row r="855" spans="1:13" x14ac:dyDescent="0.25">
      <c r="A855" s="9" t="str">
        <f>IF(OR(B855="",M855,G855="— ignored"),"",MAX(A$1:A854)+1)</f>
        <v/>
      </c>
      <c r="B855" s="10"/>
      <c r="C855" s="11" t="str">
        <f>IF(I855="","",ROUND((I855+0.5*MAX(0,CEILING(ROUND((MAX(C$1:C854)-1/48-I855)/0.5,6),1)))*1440,0)/1440)</f>
        <v/>
      </c>
      <c r="D855" s="9" t="str" cm="1">
        <f t="array" ref="D855">IF(H855="","",IFERROR(INDEX(Log!$C$19:$G$19,VALUE(MID(H855,FIND("#",H855)+1,1))),""))</f>
        <v/>
      </c>
      <c r="E855" s="9" t="str" cm="1">
        <f t="array" ref="E855">IF(OR(H855="",M855),"",IFERROR(_xlfn.LET(_xlpm.t,SUBSTITUTE(UPPER(H855),"م","M"),_xlpm.u,SUBSTITUTE(_xlpm.t,"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55" s="12"/>
      <c r="G855" s="13" t="str">
        <f>IF(B855="","",IF(M855,"⚠ Duplicate (not counted)",IF(AND(I855="",D855="",E855=""),"— ignored",IF(C855="","⚠ Time",IF(D855="","⚠ Plant",IF(E855="","⚠ Quantity",IF(AND(ISNUMBER(L855),COUNTIF(L$1:L854,L855)&gt;0),"⚠ Same serial "&amp;L855,IF(AND(ISNUMBER(L855),L855&gt;MIN($L$2:$L$1001),COUNTIF($L$2:$L$1001,L855-1)=0,COUNTIF($L$2:$L$1001,L855-2)&lt;2),"⚠ Missing serial "&amp;(L855-1),IF(AND(MAX(K$1:K854)&gt;0,N(K855)-MAX(K$1:K854)&gt;180),"⚠ Gap &gt; 3h",IF(C855-I855&gt;=0.99,"next day",IF(C855-I855&gt;0.4,"12h → 24h","")))))))))))</f>
        <v/>
      </c>
      <c r="H855" s="4" t="str">
        <f t="shared" si="65"/>
        <v/>
      </c>
      <c r="I855" s="5" t="str">
        <f t="shared" si="66"/>
        <v/>
      </c>
      <c r="J855" s="6">
        <f t="shared" si="67"/>
        <v>0</v>
      </c>
      <c r="K855" s="4" t="str">
        <f t="shared" si="68"/>
        <v/>
      </c>
      <c r="L855" s="4" t="str">
        <f t="shared" si="69"/>
        <v/>
      </c>
      <c r="M855" s="4" t="b" cm="1">
        <f t="array" ref="M855">IF(H855="",FALSE,SUMPRODUCT(--(H$1:H854=H855))&gt;0)</f>
        <v>0</v>
      </c>
    </row>
    <row r="856" spans="1:13" x14ac:dyDescent="0.25">
      <c r="A856" s="9" t="str">
        <f>IF(OR(B856="",M856,G856="— ignored"),"",MAX(A$1:A855)+1)</f>
        <v/>
      </c>
      <c r="B856" s="10"/>
      <c r="C856" s="11" t="str">
        <f>IF(I856="","",ROUND((I856+0.5*MAX(0,CEILING(ROUND((MAX(C$1:C855)-1/48-I856)/0.5,6),1)))*1440,0)/1440)</f>
        <v/>
      </c>
      <c r="D856" s="9" t="str" cm="1">
        <f t="array" ref="D856">IF(H856="","",IFERROR(INDEX(Log!$C$19:$G$19,VALUE(MID(H856,FIND("#",H856)+1,1))),""))</f>
        <v/>
      </c>
      <c r="E856" s="9" t="str" cm="1">
        <f t="array" ref="E856">IF(OR(H856="",M856),"",IFERROR(_xlfn.LET(_xlpm.t,SUBSTITUTE(UPPER(H856),"م","M"),_xlpm.u,SUBSTITUTE(_xlpm.t,"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56" s="12"/>
      <c r="G856" s="13" t="str">
        <f>IF(B856="","",IF(M856,"⚠ Duplicate (not counted)",IF(AND(I856="",D856="",E856=""),"— ignored",IF(C856="","⚠ Time",IF(D856="","⚠ Plant",IF(E856="","⚠ Quantity",IF(AND(ISNUMBER(L856),COUNTIF(L$1:L855,L856)&gt;0),"⚠ Same serial "&amp;L856,IF(AND(ISNUMBER(L856),L856&gt;MIN($L$2:$L$1001),COUNTIF($L$2:$L$1001,L856-1)=0,COUNTIF($L$2:$L$1001,L856-2)&lt;2),"⚠ Missing serial "&amp;(L856-1),IF(AND(MAX(K$1:K855)&gt;0,N(K856)-MAX(K$1:K855)&gt;180),"⚠ Gap &gt; 3h",IF(C856-I856&gt;=0.99,"next day",IF(C856-I856&gt;0.4,"12h → 24h","")))))))))))</f>
        <v/>
      </c>
      <c r="H856" s="4" t="str">
        <f t="shared" si="65"/>
        <v/>
      </c>
      <c r="I856" s="5" t="str">
        <f t="shared" si="66"/>
        <v/>
      </c>
      <c r="J856" s="6">
        <f t="shared" si="67"/>
        <v>0</v>
      </c>
      <c r="K856" s="4" t="str">
        <f t="shared" si="68"/>
        <v/>
      </c>
      <c r="L856" s="4" t="str">
        <f t="shared" si="69"/>
        <v/>
      </c>
      <c r="M856" s="4" t="b" cm="1">
        <f t="array" ref="M856">IF(H856="",FALSE,SUMPRODUCT(--(H$1:H855=H856))&gt;0)</f>
        <v>0</v>
      </c>
    </row>
    <row r="857" spans="1:13" x14ac:dyDescent="0.25">
      <c r="A857" s="9" t="str">
        <f>IF(OR(B857="",M857,G857="— ignored"),"",MAX(A$1:A856)+1)</f>
        <v/>
      </c>
      <c r="B857" s="10"/>
      <c r="C857" s="11" t="str">
        <f>IF(I857="","",ROUND((I857+0.5*MAX(0,CEILING(ROUND((MAX(C$1:C856)-1/48-I857)/0.5,6),1)))*1440,0)/1440)</f>
        <v/>
      </c>
      <c r="D857" s="9" t="str" cm="1">
        <f t="array" ref="D857">IF(H857="","",IFERROR(INDEX(Log!$C$19:$G$19,VALUE(MID(H857,FIND("#",H857)+1,1))),""))</f>
        <v/>
      </c>
      <c r="E857" s="9" t="str" cm="1">
        <f t="array" ref="E857">IF(OR(H857="",M857),"",IFERROR(_xlfn.LET(_xlpm.t,SUBSTITUTE(UPPER(H857),"م","M"),_xlpm.u,SUBSTITUTE(_xlpm.t,"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57" s="12"/>
      <c r="G857" s="13" t="str">
        <f>IF(B857="","",IF(M857,"⚠ Duplicate (not counted)",IF(AND(I857="",D857="",E857=""),"— ignored",IF(C857="","⚠ Time",IF(D857="","⚠ Plant",IF(E857="","⚠ Quantity",IF(AND(ISNUMBER(L857),COUNTIF(L$1:L856,L857)&gt;0),"⚠ Same serial "&amp;L857,IF(AND(ISNUMBER(L857),L857&gt;MIN($L$2:$L$1001),COUNTIF($L$2:$L$1001,L857-1)=0,COUNTIF($L$2:$L$1001,L857-2)&lt;2),"⚠ Missing serial "&amp;(L857-1),IF(AND(MAX(K$1:K856)&gt;0,N(K857)-MAX(K$1:K856)&gt;180),"⚠ Gap &gt; 3h",IF(C857-I857&gt;=0.99,"next day",IF(C857-I857&gt;0.4,"12h → 24h","")))))))))))</f>
        <v/>
      </c>
      <c r="H857" s="4" t="str">
        <f t="shared" si="65"/>
        <v/>
      </c>
      <c r="I857" s="5" t="str">
        <f t="shared" si="66"/>
        <v/>
      </c>
      <c r="J857" s="6">
        <f t="shared" si="67"/>
        <v>0</v>
      </c>
      <c r="K857" s="4" t="str">
        <f t="shared" si="68"/>
        <v/>
      </c>
      <c r="L857" s="4" t="str">
        <f t="shared" si="69"/>
        <v/>
      </c>
      <c r="M857" s="4" t="b" cm="1">
        <f t="array" ref="M857">IF(H857="",FALSE,SUMPRODUCT(--(H$1:H856=H857))&gt;0)</f>
        <v>0</v>
      </c>
    </row>
    <row r="858" spans="1:13" x14ac:dyDescent="0.25">
      <c r="A858" s="9" t="str">
        <f>IF(OR(B858="",M858,G858="— ignored"),"",MAX(A$1:A857)+1)</f>
        <v/>
      </c>
      <c r="B858" s="10"/>
      <c r="C858" s="11" t="str">
        <f>IF(I858="","",ROUND((I858+0.5*MAX(0,CEILING(ROUND((MAX(C$1:C857)-1/48-I858)/0.5,6),1)))*1440,0)/1440)</f>
        <v/>
      </c>
      <c r="D858" s="9" t="str" cm="1">
        <f t="array" ref="D858">IF(H858="","",IFERROR(INDEX(Log!$C$19:$G$19,VALUE(MID(H858,FIND("#",H858)+1,1))),""))</f>
        <v/>
      </c>
      <c r="E858" s="9" t="str" cm="1">
        <f t="array" ref="E858">IF(OR(H858="",M858),"",IFERROR(_xlfn.LET(_xlpm.t,SUBSTITUTE(UPPER(H858),"م","M"),_xlpm.u,SUBSTITUTE(_xlpm.t,"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58" s="12"/>
      <c r="G858" s="13" t="str">
        <f>IF(B858="","",IF(M858,"⚠ Duplicate (not counted)",IF(AND(I858="",D858="",E858=""),"— ignored",IF(C858="","⚠ Time",IF(D858="","⚠ Plant",IF(E858="","⚠ Quantity",IF(AND(ISNUMBER(L858),COUNTIF(L$1:L857,L858)&gt;0),"⚠ Same serial "&amp;L858,IF(AND(ISNUMBER(L858),L858&gt;MIN($L$2:$L$1001),COUNTIF($L$2:$L$1001,L858-1)=0,COUNTIF($L$2:$L$1001,L858-2)&lt;2),"⚠ Missing serial "&amp;(L858-1),IF(AND(MAX(K$1:K857)&gt;0,N(K858)-MAX(K$1:K857)&gt;180),"⚠ Gap &gt; 3h",IF(C858-I858&gt;=0.99,"next day",IF(C858-I858&gt;0.4,"12h → 24h","")))))))))))</f>
        <v/>
      </c>
      <c r="H858" s="4" t="str">
        <f t="shared" si="65"/>
        <v/>
      </c>
      <c r="I858" s="5" t="str">
        <f t="shared" si="66"/>
        <v/>
      </c>
      <c r="J858" s="6">
        <f t="shared" si="67"/>
        <v>0</v>
      </c>
      <c r="K858" s="4" t="str">
        <f t="shared" si="68"/>
        <v/>
      </c>
      <c r="L858" s="4" t="str">
        <f t="shared" si="69"/>
        <v/>
      </c>
      <c r="M858" s="4" t="b" cm="1">
        <f t="array" ref="M858">IF(H858="",FALSE,SUMPRODUCT(--(H$1:H857=H858))&gt;0)</f>
        <v>0</v>
      </c>
    </row>
    <row r="859" spans="1:13" x14ac:dyDescent="0.25">
      <c r="A859" s="9" t="str">
        <f>IF(OR(B859="",M859,G859="— ignored"),"",MAX(A$1:A858)+1)</f>
        <v/>
      </c>
      <c r="B859" s="10"/>
      <c r="C859" s="11" t="str">
        <f>IF(I859="","",ROUND((I859+0.5*MAX(0,CEILING(ROUND((MAX(C$1:C858)-1/48-I859)/0.5,6),1)))*1440,0)/1440)</f>
        <v/>
      </c>
      <c r="D859" s="9" t="str" cm="1">
        <f t="array" ref="D859">IF(H859="","",IFERROR(INDEX(Log!$C$19:$G$19,VALUE(MID(H859,FIND("#",H859)+1,1))),""))</f>
        <v/>
      </c>
      <c r="E859" s="9" t="str" cm="1">
        <f t="array" ref="E859">IF(OR(H859="",M859),"",IFERROR(_xlfn.LET(_xlpm.t,SUBSTITUTE(UPPER(H859),"م","M"),_xlpm.u,SUBSTITUTE(_xlpm.t,"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59" s="12"/>
      <c r="G859" s="13" t="str">
        <f>IF(B859="","",IF(M859,"⚠ Duplicate (not counted)",IF(AND(I859="",D859="",E859=""),"— ignored",IF(C859="","⚠ Time",IF(D859="","⚠ Plant",IF(E859="","⚠ Quantity",IF(AND(ISNUMBER(L859),COUNTIF(L$1:L858,L859)&gt;0),"⚠ Same serial "&amp;L859,IF(AND(ISNUMBER(L859),L859&gt;MIN($L$2:$L$1001),COUNTIF($L$2:$L$1001,L859-1)=0,COUNTIF($L$2:$L$1001,L859-2)&lt;2),"⚠ Missing serial "&amp;(L859-1),IF(AND(MAX(K$1:K858)&gt;0,N(K859)-MAX(K$1:K858)&gt;180),"⚠ Gap &gt; 3h",IF(C859-I859&gt;=0.99,"next day",IF(C859-I859&gt;0.4,"12h → 24h","")))))))))))</f>
        <v/>
      </c>
      <c r="H859" s="4" t="str">
        <f t="shared" si="65"/>
        <v/>
      </c>
      <c r="I859" s="5" t="str">
        <f t="shared" si="66"/>
        <v/>
      </c>
      <c r="J859" s="6">
        <f t="shared" si="67"/>
        <v>0</v>
      </c>
      <c r="K859" s="4" t="str">
        <f t="shared" si="68"/>
        <v/>
      </c>
      <c r="L859" s="4" t="str">
        <f t="shared" si="69"/>
        <v/>
      </c>
      <c r="M859" s="4" t="b" cm="1">
        <f t="array" ref="M859">IF(H859="",FALSE,SUMPRODUCT(--(H$1:H858=H859))&gt;0)</f>
        <v>0</v>
      </c>
    </row>
    <row r="860" spans="1:13" x14ac:dyDescent="0.25">
      <c r="A860" s="9" t="str">
        <f>IF(OR(B860="",M860,G860="— ignored"),"",MAX(A$1:A859)+1)</f>
        <v/>
      </c>
      <c r="B860" s="10"/>
      <c r="C860" s="11" t="str">
        <f>IF(I860="","",ROUND((I860+0.5*MAX(0,CEILING(ROUND((MAX(C$1:C859)-1/48-I860)/0.5,6),1)))*1440,0)/1440)</f>
        <v/>
      </c>
      <c r="D860" s="9" t="str" cm="1">
        <f t="array" ref="D860">IF(H860="","",IFERROR(INDEX(Log!$C$19:$G$19,VALUE(MID(H860,FIND("#",H860)+1,1))),""))</f>
        <v/>
      </c>
      <c r="E860" s="9" t="str" cm="1">
        <f t="array" ref="E860">IF(OR(H860="",M860),"",IFERROR(_xlfn.LET(_xlpm.t,SUBSTITUTE(UPPER(H860),"م","M"),_xlpm.u,SUBSTITUTE(_xlpm.t,"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60" s="12"/>
      <c r="G860" s="13" t="str">
        <f>IF(B860="","",IF(M860,"⚠ Duplicate (not counted)",IF(AND(I860="",D860="",E860=""),"— ignored",IF(C860="","⚠ Time",IF(D860="","⚠ Plant",IF(E860="","⚠ Quantity",IF(AND(ISNUMBER(L860),COUNTIF(L$1:L859,L860)&gt;0),"⚠ Same serial "&amp;L860,IF(AND(ISNUMBER(L860),L860&gt;MIN($L$2:$L$1001),COUNTIF($L$2:$L$1001,L860-1)=0,COUNTIF($L$2:$L$1001,L860-2)&lt;2),"⚠ Missing serial "&amp;(L860-1),IF(AND(MAX(K$1:K859)&gt;0,N(K860)-MAX(K$1:K859)&gt;180),"⚠ Gap &gt; 3h",IF(C860-I860&gt;=0.99,"next day",IF(C860-I860&gt;0.4,"12h → 24h","")))))))))))</f>
        <v/>
      </c>
      <c r="H860" s="4" t="str">
        <f t="shared" si="65"/>
        <v/>
      </c>
      <c r="I860" s="5" t="str">
        <f t="shared" si="66"/>
        <v/>
      </c>
      <c r="J860" s="6">
        <f t="shared" si="67"/>
        <v>0</v>
      </c>
      <c r="K860" s="4" t="str">
        <f t="shared" si="68"/>
        <v/>
      </c>
      <c r="L860" s="4" t="str">
        <f t="shared" si="69"/>
        <v/>
      </c>
      <c r="M860" s="4" t="b" cm="1">
        <f t="array" ref="M860">IF(H860="",FALSE,SUMPRODUCT(--(H$1:H859=H860))&gt;0)</f>
        <v>0</v>
      </c>
    </row>
    <row r="861" spans="1:13" x14ac:dyDescent="0.25">
      <c r="A861" s="9" t="str">
        <f>IF(OR(B861="",M861,G861="— ignored"),"",MAX(A$1:A860)+1)</f>
        <v/>
      </c>
      <c r="B861" s="10"/>
      <c r="C861" s="11" t="str">
        <f>IF(I861="","",ROUND((I861+0.5*MAX(0,CEILING(ROUND((MAX(C$1:C860)-1/48-I861)/0.5,6),1)))*1440,0)/1440)</f>
        <v/>
      </c>
      <c r="D861" s="9" t="str" cm="1">
        <f t="array" ref="D861">IF(H861="","",IFERROR(INDEX(Log!$C$19:$G$19,VALUE(MID(H861,FIND("#",H861)+1,1))),""))</f>
        <v/>
      </c>
      <c r="E861" s="9" t="str" cm="1">
        <f t="array" ref="E861">IF(OR(H861="",M861),"",IFERROR(_xlfn.LET(_xlpm.t,SUBSTITUTE(UPPER(H861),"م","M"),_xlpm.u,SUBSTITUTE(_xlpm.t,"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61" s="12"/>
      <c r="G861" s="13" t="str">
        <f>IF(B861="","",IF(M861,"⚠ Duplicate (not counted)",IF(AND(I861="",D861="",E861=""),"— ignored",IF(C861="","⚠ Time",IF(D861="","⚠ Plant",IF(E861="","⚠ Quantity",IF(AND(ISNUMBER(L861),COUNTIF(L$1:L860,L861)&gt;0),"⚠ Same serial "&amp;L861,IF(AND(ISNUMBER(L861),L861&gt;MIN($L$2:$L$1001),COUNTIF($L$2:$L$1001,L861-1)=0,COUNTIF($L$2:$L$1001,L861-2)&lt;2),"⚠ Missing serial "&amp;(L861-1),IF(AND(MAX(K$1:K860)&gt;0,N(K861)-MAX(K$1:K860)&gt;180),"⚠ Gap &gt; 3h",IF(C861-I861&gt;=0.99,"next day",IF(C861-I861&gt;0.4,"12h → 24h","")))))))))))</f>
        <v/>
      </c>
      <c r="H861" s="4" t="str">
        <f t="shared" si="65"/>
        <v/>
      </c>
      <c r="I861" s="5" t="str">
        <f t="shared" si="66"/>
        <v/>
      </c>
      <c r="J861" s="6">
        <f t="shared" si="67"/>
        <v>0</v>
      </c>
      <c r="K861" s="4" t="str">
        <f t="shared" si="68"/>
        <v/>
      </c>
      <c r="L861" s="4" t="str">
        <f t="shared" si="69"/>
        <v/>
      </c>
      <c r="M861" s="4" t="b" cm="1">
        <f t="array" ref="M861">IF(H861="",FALSE,SUMPRODUCT(--(H$1:H860=H861))&gt;0)</f>
        <v>0</v>
      </c>
    </row>
    <row r="862" spans="1:13" x14ac:dyDescent="0.25">
      <c r="A862" s="9" t="str">
        <f>IF(OR(B862="",M862,G862="— ignored"),"",MAX(A$1:A861)+1)</f>
        <v/>
      </c>
      <c r="B862" s="10"/>
      <c r="C862" s="11" t="str">
        <f>IF(I862="","",ROUND((I862+0.5*MAX(0,CEILING(ROUND((MAX(C$1:C861)-1/48-I862)/0.5,6),1)))*1440,0)/1440)</f>
        <v/>
      </c>
      <c r="D862" s="9" t="str" cm="1">
        <f t="array" ref="D862">IF(H862="","",IFERROR(INDEX(Log!$C$19:$G$19,VALUE(MID(H862,FIND("#",H862)+1,1))),""))</f>
        <v/>
      </c>
      <c r="E862" s="9" t="str" cm="1">
        <f t="array" ref="E862">IF(OR(H862="",M862),"",IFERROR(_xlfn.LET(_xlpm.t,SUBSTITUTE(UPPER(H862),"م","M"),_xlpm.u,SUBSTITUTE(_xlpm.t,"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62" s="12"/>
      <c r="G862" s="13" t="str">
        <f>IF(B862="","",IF(M862,"⚠ Duplicate (not counted)",IF(AND(I862="",D862="",E862=""),"— ignored",IF(C862="","⚠ Time",IF(D862="","⚠ Plant",IF(E862="","⚠ Quantity",IF(AND(ISNUMBER(L862),COUNTIF(L$1:L861,L862)&gt;0),"⚠ Same serial "&amp;L862,IF(AND(ISNUMBER(L862),L862&gt;MIN($L$2:$L$1001),COUNTIF($L$2:$L$1001,L862-1)=0,COUNTIF($L$2:$L$1001,L862-2)&lt;2),"⚠ Missing serial "&amp;(L862-1),IF(AND(MAX(K$1:K861)&gt;0,N(K862)-MAX(K$1:K861)&gt;180),"⚠ Gap &gt; 3h",IF(C862-I862&gt;=0.99,"next day",IF(C862-I862&gt;0.4,"12h → 24h","")))))))))))</f>
        <v/>
      </c>
      <c r="H862" s="4" t="str">
        <f t="shared" si="65"/>
        <v/>
      </c>
      <c r="I862" s="5" t="str">
        <f t="shared" si="66"/>
        <v/>
      </c>
      <c r="J862" s="6">
        <f t="shared" si="67"/>
        <v>0</v>
      </c>
      <c r="K862" s="4" t="str">
        <f t="shared" si="68"/>
        <v/>
      </c>
      <c r="L862" s="4" t="str">
        <f t="shared" si="69"/>
        <v/>
      </c>
      <c r="M862" s="4" t="b" cm="1">
        <f t="array" ref="M862">IF(H862="",FALSE,SUMPRODUCT(--(H$1:H861=H862))&gt;0)</f>
        <v>0</v>
      </c>
    </row>
    <row r="863" spans="1:13" x14ac:dyDescent="0.25">
      <c r="A863" s="9" t="str">
        <f>IF(OR(B863="",M863,G863="— ignored"),"",MAX(A$1:A862)+1)</f>
        <v/>
      </c>
      <c r="B863" s="10"/>
      <c r="C863" s="11" t="str">
        <f>IF(I863="","",ROUND((I863+0.5*MAX(0,CEILING(ROUND((MAX(C$1:C862)-1/48-I863)/0.5,6),1)))*1440,0)/1440)</f>
        <v/>
      </c>
      <c r="D863" s="9" t="str" cm="1">
        <f t="array" ref="D863">IF(H863="","",IFERROR(INDEX(Log!$C$19:$G$19,VALUE(MID(H863,FIND("#",H863)+1,1))),""))</f>
        <v/>
      </c>
      <c r="E863" s="9" t="str" cm="1">
        <f t="array" ref="E863">IF(OR(H863="",M863),"",IFERROR(_xlfn.LET(_xlpm.t,SUBSTITUTE(UPPER(H863),"م","M"),_xlpm.u,SUBSTITUTE(_xlpm.t,"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63" s="12"/>
      <c r="G863" s="13" t="str">
        <f>IF(B863="","",IF(M863,"⚠ Duplicate (not counted)",IF(AND(I863="",D863="",E863=""),"— ignored",IF(C863="","⚠ Time",IF(D863="","⚠ Plant",IF(E863="","⚠ Quantity",IF(AND(ISNUMBER(L863),COUNTIF(L$1:L862,L863)&gt;0),"⚠ Same serial "&amp;L863,IF(AND(ISNUMBER(L863),L863&gt;MIN($L$2:$L$1001),COUNTIF($L$2:$L$1001,L863-1)=0,COUNTIF($L$2:$L$1001,L863-2)&lt;2),"⚠ Missing serial "&amp;(L863-1),IF(AND(MAX(K$1:K862)&gt;0,N(K863)-MAX(K$1:K862)&gt;180),"⚠ Gap &gt; 3h",IF(C863-I863&gt;=0.99,"next day",IF(C863-I863&gt;0.4,"12h → 24h","")))))))))))</f>
        <v/>
      </c>
      <c r="H863" s="4" t="str">
        <f t="shared" si="65"/>
        <v/>
      </c>
      <c r="I863" s="5" t="str">
        <f t="shared" si="66"/>
        <v/>
      </c>
      <c r="J863" s="6">
        <f t="shared" si="67"/>
        <v>0</v>
      </c>
      <c r="K863" s="4" t="str">
        <f t="shared" si="68"/>
        <v/>
      </c>
      <c r="L863" s="4" t="str">
        <f t="shared" si="69"/>
        <v/>
      </c>
      <c r="M863" s="4" t="b" cm="1">
        <f t="array" ref="M863">IF(H863="",FALSE,SUMPRODUCT(--(H$1:H862=H863))&gt;0)</f>
        <v>0</v>
      </c>
    </row>
    <row r="864" spans="1:13" x14ac:dyDescent="0.25">
      <c r="A864" s="9" t="str">
        <f>IF(OR(B864="",M864,G864="— ignored"),"",MAX(A$1:A863)+1)</f>
        <v/>
      </c>
      <c r="B864" s="10"/>
      <c r="C864" s="11" t="str">
        <f>IF(I864="","",ROUND((I864+0.5*MAX(0,CEILING(ROUND((MAX(C$1:C863)-1/48-I864)/0.5,6),1)))*1440,0)/1440)</f>
        <v/>
      </c>
      <c r="D864" s="9" t="str" cm="1">
        <f t="array" ref="D864">IF(H864="","",IFERROR(INDEX(Log!$C$19:$G$19,VALUE(MID(H864,FIND("#",H864)+1,1))),""))</f>
        <v/>
      </c>
      <c r="E864" s="9" t="str" cm="1">
        <f t="array" ref="E864">IF(OR(H864="",M864),"",IFERROR(_xlfn.LET(_xlpm.t,SUBSTITUTE(UPPER(H864),"م","M"),_xlpm.u,SUBSTITUTE(_xlpm.t,"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64" s="12"/>
      <c r="G864" s="13" t="str">
        <f>IF(B864="","",IF(M864,"⚠ Duplicate (not counted)",IF(AND(I864="",D864="",E864=""),"— ignored",IF(C864="","⚠ Time",IF(D864="","⚠ Plant",IF(E864="","⚠ Quantity",IF(AND(ISNUMBER(L864),COUNTIF(L$1:L863,L864)&gt;0),"⚠ Same serial "&amp;L864,IF(AND(ISNUMBER(L864),L864&gt;MIN($L$2:$L$1001),COUNTIF($L$2:$L$1001,L864-1)=0,COUNTIF($L$2:$L$1001,L864-2)&lt;2),"⚠ Missing serial "&amp;(L864-1),IF(AND(MAX(K$1:K863)&gt;0,N(K864)-MAX(K$1:K863)&gt;180),"⚠ Gap &gt; 3h",IF(C864-I864&gt;=0.99,"next day",IF(C864-I864&gt;0.4,"12h → 24h","")))))))))))</f>
        <v/>
      </c>
      <c r="H864" s="4" t="str">
        <f t="shared" si="65"/>
        <v/>
      </c>
      <c r="I864" s="5" t="str">
        <f t="shared" si="66"/>
        <v/>
      </c>
      <c r="J864" s="6">
        <f t="shared" si="67"/>
        <v>0</v>
      </c>
      <c r="K864" s="4" t="str">
        <f t="shared" si="68"/>
        <v/>
      </c>
      <c r="L864" s="4" t="str">
        <f t="shared" si="69"/>
        <v/>
      </c>
      <c r="M864" s="4" t="b" cm="1">
        <f t="array" ref="M864">IF(H864="",FALSE,SUMPRODUCT(--(H$1:H863=H864))&gt;0)</f>
        <v>0</v>
      </c>
    </row>
    <row r="865" spans="1:13" x14ac:dyDescent="0.25">
      <c r="A865" s="9" t="str">
        <f>IF(OR(B865="",M865,G865="— ignored"),"",MAX(A$1:A864)+1)</f>
        <v/>
      </c>
      <c r="B865" s="10"/>
      <c r="C865" s="11" t="str">
        <f>IF(I865="","",ROUND((I865+0.5*MAX(0,CEILING(ROUND((MAX(C$1:C864)-1/48-I865)/0.5,6),1)))*1440,0)/1440)</f>
        <v/>
      </c>
      <c r="D865" s="9" t="str" cm="1">
        <f t="array" ref="D865">IF(H865="","",IFERROR(INDEX(Log!$C$19:$G$19,VALUE(MID(H865,FIND("#",H865)+1,1))),""))</f>
        <v/>
      </c>
      <c r="E865" s="9" t="str" cm="1">
        <f t="array" ref="E865">IF(OR(H865="",M865),"",IFERROR(_xlfn.LET(_xlpm.t,SUBSTITUTE(UPPER(H865),"م","M"),_xlpm.u,SUBSTITUTE(_xlpm.t,"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65" s="12"/>
      <c r="G865" s="13" t="str">
        <f>IF(B865="","",IF(M865,"⚠ Duplicate (not counted)",IF(AND(I865="",D865="",E865=""),"— ignored",IF(C865="","⚠ Time",IF(D865="","⚠ Plant",IF(E865="","⚠ Quantity",IF(AND(ISNUMBER(L865),COUNTIF(L$1:L864,L865)&gt;0),"⚠ Same serial "&amp;L865,IF(AND(ISNUMBER(L865),L865&gt;MIN($L$2:$L$1001),COUNTIF($L$2:$L$1001,L865-1)=0,COUNTIF($L$2:$L$1001,L865-2)&lt;2),"⚠ Missing serial "&amp;(L865-1),IF(AND(MAX(K$1:K864)&gt;0,N(K865)-MAX(K$1:K864)&gt;180),"⚠ Gap &gt; 3h",IF(C865-I865&gt;=0.99,"next day",IF(C865-I865&gt;0.4,"12h → 24h","")))))))))))</f>
        <v/>
      </c>
      <c r="H865" s="4" t="str">
        <f t="shared" si="65"/>
        <v/>
      </c>
      <c r="I865" s="5" t="str">
        <f t="shared" si="66"/>
        <v/>
      </c>
      <c r="J865" s="6">
        <f t="shared" si="67"/>
        <v>0</v>
      </c>
      <c r="K865" s="4" t="str">
        <f t="shared" si="68"/>
        <v/>
      </c>
      <c r="L865" s="4" t="str">
        <f t="shared" si="69"/>
        <v/>
      </c>
      <c r="M865" s="4" t="b" cm="1">
        <f t="array" ref="M865">IF(H865="",FALSE,SUMPRODUCT(--(H$1:H864=H865))&gt;0)</f>
        <v>0</v>
      </c>
    </row>
    <row r="866" spans="1:13" x14ac:dyDescent="0.25">
      <c r="A866" s="9" t="str">
        <f>IF(OR(B866="",M866,G866="— ignored"),"",MAX(A$1:A865)+1)</f>
        <v/>
      </c>
      <c r="B866" s="10"/>
      <c r="C866" s="11" t="str">
        <f>IF(I866="","",ROUND((I866+0.5*MAX(0,CEILING(ROUND((MAX(C$1:C865)-1/48-I866)/0.5,6),1)))*1440,0)/1440)</f>
        <v/>
      </c>
      <c r="D866" s="9" t="str" cm="1">
        <f t="array" ref="D866">IF(H866="","",IFERROR(INDEX(Log!$C$19:$G$19,VALUE(MID(H866,FIND("#",H866)+1,1))),""))</f>
        <v/>
      </c>
      <c r="E866" s="9" t="str" cm="1">
        <f t="array" ref="E866">IF(OR(H866="",M866),"",IFERROR(_xlfn.LET(_xlpm.t,SUBSTITUTE(UPPER(H866),"م","M"),_xlpm.u,SUBSTITUTE(_xlpm.t,"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66" s="12"/>
      <c r="G866" s="13" t="str">
        <f>IF(B866="","",IF(M866,"⚠ Duplicate (not counted)",IF(AND(I866="",D866="",E866=""),"— ignored",IF(C866="","⚠ Time",IF(D866="","⚠ Plant",IF(E866="","⚠ Quantity",IF(AND(ISNUMBER(L866),COUNTIF(L$1:L865,L866)&gt;0),"⚠ Same serial "&amp;L866,IF(AND(ISNUMBER(L866),L866&gt;MIN($L$2:$L$1001),COUNTIF($L$2:$L$1001,L866-1)=0,COUNTIF($L$2:$L$1001,L866-2)&lt;2),"⚠ Missing serial "&amp;(L866-1),IF(AND(MAX(K$1:K865)&gt;0,N(K866)-MAX(K$1:K865)&gt;180),"⚠ Gap &gt; 3h",IF(C866-I866&gt;=0.99,"next day",IF(C866-I866&gt;0.4,"12h → 24h","")))))))))))</f>
        <v/>
      </c>
      <c r="H866" s="4" t="str">
        <f t="shared" si="65"/>
        <v/>
      </c>
      <c r="I866" s="5" t="str">
        <f t="shared" si="66"/>
        <v/>
      </c>
      <c r="J866" s="6">
        <f t="shared" si="67"/>
        <v>0</v>
      </c>
      <c r="K866" s="4" t="str">
        <f t="shared" si="68"/>
        <v/>
      </c>
      <c r="L866" s="4" t="str">
        <f t="shared" si="69"/>
        <v/>
      </c>
      <c r="M866" s="4" t="b" cm="1">
        <f t="array" ref="M866">IF(H866="",FALSE,SUMPRODUCT(--(H$1:H865=H866))&gt;0)</f>
        <v>0</v>
      </c>
    </row>
    <row r="867" spans="1:13" x14ac:dyDescent="0.25">
      <c r="A867" s="9" t="str">
        <f>IF(OR(B867="",M867,G867="— ignored"),"",MAX(A$1:A866)+1)</f>
        <v/>
      </c>
      <c r="B867" s="10"/>
      <c r="C867" s="11" t="str">
        <f>IF(I867="","",ROUND((I867+0.5*MAX(0,CEILING(ROUND((MAX(C$1:C866)-1/48-I867)/0.5,6),1)))*1440,0)/1440)</f>
        <v/>
      </c>
      <c r="D867" s="9" t="str" cm="1">
        <f t="array" ref="D867">IF(H867="","",IFERROR(INDEX(Log!$C$19:$G$19,VALUE(MID(H867,FIND("#",H867)+1,1))),""))</f>
        <v/>
      </c>
      <c r="E867" s="9" t="str" cm="1">
        <f t="array" ref="E867">IF(OR(H867="",M867),"",IFERROR(_xlfn.LET(_xlpm.t,SUBSTITUTE(UPPER(H867),"م","M"),_xlpm.u,SUBSTITUTE(_xlpm.t,"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67" s="12"/>
      <c r="G867" s="13" t="str">
        <f>IF(B867="","",IF(M867,"⚠ Duplicate (not counted)",IF(AND(I867="",D867="",E867=""),"— ignored",IF(C867="","⚠ Time",IF(D867="","⚠ Plant",IF(E867="","⚠ Quantity",IF(AND(ISNUMBER(L867),COUNTIF(L$1:L866,L867)&gt;0),"⚠ Same serial "&amp;L867,IF(AND(ISNUMBER(L867),L867&gt;MIN($L$2:$L$1001),COUNTIF($L$2:$L$1001,L867-1)=0,COUNTIF($L$2:$L$1001,L867-2)&lt;2),"⚠ Missing serial "&amp;(L867-1),IF(AND(MAX(K$1:K866)&gt;0,N(K867)-MAX(K$1:K866)&gt;180),"⚠ Gap &gt; 3h",IF(C867-I867&gt;=0.99,"next day",IF(C867-I867&gt;0.4,"12h → 24h","")))))))))))</f>
        <v/>
      </c>
      <c r="H867" s="4" t="str">
        <f t="shared" si="65"/>
        <v/>
      </c>
      <c r="I867" s="5" t="str">
        <f t="shared" si="66"/>
        <v/>
      </c>
      <c r="J867" s="6">
        <f t="shared" si="67"/>
        <v>0</v>
      </c>
      <c r="K867" s="4" t="str">
        <f t="shared" si="68"/>
        <v/>
      </c>
      <c r="L867" s="4" t="str">
        <f t="shared" si="69"/>
        <v/>
      </c>
      <c r="M867" s="4" t="b" cm="1">
        <f t="array" ref="M867">IF(H867="",FALSE,SUMPRODUCT(--(H$1:H866=H867))&gt;0)</f>
        <v>0</v>
      </c>
    </row>
    <row r="868" spans="1:13" x14ac:dyDescent="0.25">
      <c r="A868" s="9" t="str">
        <f>IF(OR(B868="",M868,G868="— ignored"),"",MAX(A$1:A867)+1)</f>
        <v/>
      </c>
      <c r="B868" s="10"/>
      <c r="C868" s="11" t="str">
        <f>IF(I868="","",ROUND((I868+0.5*MAX(0,CEILING(ROUND((MAX(C$1:C867)-1/48-I868)/0.5,6),1)))*1440,0)/1440)</f>
        <v/>
      </c>
      <c r="D868" s="9" t="str" cm="1">
        <f t="array" ref="D868">IF(H868="","",IFERROR(INDEX(Log!$C$19:$G$19,VALUE(MID(H868,FIND("#",H868)+1,1))),""))</f>
        <v/>
      </c>
      <c r="E868" s="9" t="str" cm="1">
        <f t="array" ref="E868">IF(OR(H868="",M868),"",IFERROR(_xlfn.LET(_xlpm.t,SUBSTITUTE(UPPER(H868),"م","M"),_xlpm.u,SUBSTITUTE(_xlpm.t,"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68" s="12"/>
      <c r="G868" s="13" t="str">
        <f>IF(B868="","",IF(M868,"⚠ Duplicate (not counted)",IF(AND(I868="",D868="",E868=""),"— ignored",IF(C868="","⚠ Time",IF(D868="","⚠ Plant",IF(E868="","⚠ Quantity",IF(AND(ISNUMBER(L868),COUNTIF(L$1:L867,L868)&gt;0),"⚠ Same serial "&amp;L868,IF(AND(ISNUMBER(L868),L868&gt;MIN($L$2:$L$1001),COUNTIF($L$2:$L$1001,L868-1)=0,COUNTIF($L$2:$L$1001,L868-2)&lt;2),"⚠ Missing serial "&amp;(L868-1),IF(AND(MAX(K$1:K867)&gt;0,N(K868)-MAX(K$1:K867)&gt;180),"⚠ Gap &gt; 3h",IF(C868-I868&gt;=0.99,"next day",IF(C868-I868&gt;0.4,"12h → 24h","")))))))))))</f>
        <v/>
      </c>
      <c r="H868" s="4" t="str">
        <f t="shared" si="65"/>
        <v/>
      </c>
      <c r="I868" s="5" t="str">
        <f t="shared" si="66"/>
        <v/>
      </c>
      <c r="J868" s="6">
        <f t="shared" si="67"/>
        <v>0</v>
      </c>
      <c r="K868" s="4" t="str">
        <f t="shared" si="68"/>
        <v/>
      </c>
      <c r="L868" s="4" t="str">
        <f t="shared" si="69"/>
        <v/>
      </c>
      <c r="M868" s="4" t="b" cm="1">
        <f t="array" ref="M868">IF(H868="",FALSE,SUMPRODUCT(--(H$1:H867=H868))&gt;0)</f>
        <v>0</v>
      </c>
    </row>
    <row r="869" spans="1:13" x14ac:dyDescent="0.25">
      <c r="A869" s="9" t="str">
        <f>IF(OR(B869="",M869,G869="— ignored"),"",MAX(A$1:A868)+1)</f>
        <v/>
      </c>
      <c r="B869" s="10"/>
      <c r="C869" s="11" t="str">
        <f>IF(I869="","",ROUND((I869+0.5*MAX(0,CEILING(ROUND((MAX(C$1:C868)-1/48-I869)/0.5,6),1)))*1440,0)/1440)</f>
        <v/>
      </c>
      <c r="D869" s="9" t="str" cm="1">
        <f t="array" ref="D869">IF(H869="","",IFERROR(INDEX(Log!$C$19:$G$19,VALUE(MID(H869,FIND("#",H869)+1,1))),""))</f>
        <v/>
      </c>
      <c r="E869" s="9" t="str" cm="1">
        <f t="array" ref="E869">IF(OR(H869="",M869),"",IFERROR(_xlfn.LET(_xlpm.t,SUBSTITUTE(UPPER(H869),"م","M"),_xlpm.u,SUBSTITUTE(_xlpm.t,"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69" s="12"/>
      <c r="G869" s="13" t="str">
        <f>IF(B869="","",IF(M869,"⚠ Duplicate (not counted)",IF(AND(I869="",D869="",E869=""),"— ignored",IF(C869="","⚠ Time",IF(D869="","⚠ Plant",IF(E869="","⚠ Quantity",IF(AND(ISNUMBER(L869),COUNTIF(L$1:L868,L869)&gt;0),"⚠ Same serial "&amp;L869,IF(AND(ISNUMBER(L869),L869&gt;MIN($L$2:$L$1001),COUNTIF($L$2:$L$1001,L869-1)=0,COUNTIF($L$2:$L$1001,L869-2)&lt;2),"⚠ Missing serial "&amp;(L869-1),IF(AND(MAX(K$1:K868)&gt;0,N(K869)-MAX(K$1:K868)&gt;180),"⚠ Gap &gt; 3h",IF(C869-I869&gt;=0.99,"next day",IF(C869-I869&gt;0.4,"12h → 24h","")))))))))))</f>
        <v/>
      </c>
      <c r="H869" s="4" t="str">
        <f t="shared" si="65"/>
        <v/>
      </c>
      <c r="I869" s="5" t="str">
        <f t="shared" si="66"/>
        <v/>
      </c>
      <c r="J869" s="6">
        <f t="shared" si="67"/>
        <v>0</v>
      </c>
      <c r="K869" s="4" t="str">
        <f t="shared" si="68"/>
        <v/>
      </c>
      <c r="L869" s="4" t="str">
        <f t="shared" si="69"/>
        <v/>
      </c>
      <c r="M869" s="4" t="b" cm="1">
        <f t="array" ref="M869">IF(H869="",FALSE,SUMPRODUCT(--(H$1:H868=H869))&gt;0)</f>
        <v>0</v>
      </c>
    </row>
    <row r="870" spans="1:13" x14ac:dyDescent="0.25">
      <c r="A870" s="9" t="str">
        <f>IF(OR(B870="",M870,G870="— ignored"),"",MAX(A$1:A869)+1)</f>
        <v/>
      </c>
      <c r="B870" s="10"/>
      <c r="C870" s="11" t="str">
        <f>IF(I870="","",ROUND((I870+0.5*MAX(0,CEILING(ROUND((MAX(C$1:C869)-1/48-I870)/0.5,6),1)))*1440,0)/1440)</f>
        <v/>
      </c>
      <c r="D870" s="9" t="str" cm="1">
        <f t="array" ref="D870">IF(H870="","",IFERROR(INDEX(Log!$C$19:$G$19,VALUE(MID(H870,FIND("#",H870)+1,1))),""))</f>
        <v/>
      </c>
      <c r="E870" s="9" t="str" cm="1">
        <f t="array" ref="E870">IF(OR(H870="",M870),"",IFERROR(_xlfn.LET(_xlpm.t,SUBSTITUTE(UPPER(H870),"م","M"),_xlpm.u,SUBSTITUTE(_xlpm.t,"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70" s="12"/>
      <c r="G870" s="13" t="str">
        <f>IF(B870="","",IF(M870,"⚠ Duplicate (not counted)",IF(AND(I870="",D870="",E870=""),"— ignored",IF(C870="","⚠ Time",IF(D870="","⚠ Plant",IF(E870="","⚠ Quantity",IF(AND(ISNUMBER(L870),COUNTIF(L$1:L869,L870)&gt;0),"⚠ Same serial "&amp;L870,IF(AND(ISNUMBER(L870),L870&gt;MIN($L$2:$L$1001),COUNTIF($L$2:$L$1001,L870-1)=0,COUNTIF($L$2:$L$1001,L870-2)&lt;2),"⚠ Missing serial "&amp;(L870-1),IF(AND(MAX(K$1:K869)&gt;0,N(K870)-MAX(K$1:K869)&gt;180),"⚠ Gap &gt; 3h",IF(C870-I870&gt;=0.99,"next day",IF(C870-I870&gt;0.4,"12h → 24h","")))))))))))</f>
        <v/>
      </c>
      <c r="H870" s="4" t="str">
        <f t="shared" si="65"/>
        <v/>
      </c>
      <c r="I870" s="5" t="str">
        <f t="shared" si="66"/>
        <v/>
      </c>
      <c r="J870" s="6">
        <f t="shared" si="67"/>
        <v>0</v>
      </c>
      <c r="K870" s="4" t="str">
        <f t="shared" si="68"/>
        <v/>
      </c>
      <c r="L870" s="4" t="str">
        <f t="shared" si="69"/>
        <v/>
      </c>
      <c r="M870" s="4" t="b" cm="1">
        <f t="array" ref="M870">IF(H870="",FALSE,SUMPRODUCT(--(H$1:H869=H870))&gt;0)</f>
        <v>0</v>
      </c>
    </row>
    <row r="871" spans="1:13" x14ac:dyDescent="0.25">
      <c r="A871" s="9" t="str">
        <f>IF(OR(B871="",M871,G871="— ignored"),"",MAX(A$1:A870)+1)</f>
        <v/>
      </c>
      <c r="B871" s="10"/>
      <c r="C871" s="11" t="str">
        <f>IF(I871="","",ROUND((I871+0.5*MAX(0,CEILING(ROUND((MAX(C$1:C870)-1/48-I871)/0.5,6),1)))*1440,0)/1440)</f>
        <v/>
      </c>
      <c r="D871" s="9" t="str" cm="1">
        <f t="array" ref="D871">IF(H871="","",IFERROR(INDEX(Log!$C$19:$G$19,VALUE(MID(H871,FIND("#",H871)+1,1))),""))</f>
        <v/>
      </c>
      <c r="E871" s="9" t="str" cm="1">
        <f t="array" ref="E871">IF(OR(H871="",M871),"",IFERROR(_xlfn.LET(_xlpm.t,SUBSTITUTE(UPPER(H871),"م","M"),_xlpm.u,SUBSTITUTE(_xlpm.t,"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71" s="12"/>
      <c r="G871" s="13" t="str">
        <f>IF(B871="","",IF(M871,"⚠ Duplicate (not counted)",IF(AND(I871="",D871="",E871=""),"— ignored",IF(C871="","⚠ Time",IF(D871="","⚠ Plant",IF(E871="","⚠ Quantity",IF(AND(ISNUMBER(L871),COUNTIF(L$1:L870,L871)&gt;0),"⚠ Same serial "&amp;L871,IF(AND(ISNUMBER(L871),L871&gt;MIN($L$2:$L$1001),COUNTIF($L$2:$L$1001,L871-1)=0,COUNTIF($L$2:$L$1001,L871-2)&lt;2),"⚠ Missing serial "&amp;(L871-1),IF(AND(MAX(K$1:K870)&gt;0,N(K871)-MAX(K$1:K870)&gt;180),"⚠ Gap &gt; 3h",IF(C871-I871&gt;=0.99,"next day",IF(C871-I871&gt;0.4,"12h → 24h","")))))))))))</f>
        <v/>
      </c>
      <c r="H871" s="4" t="str">
        <f t="shared" si="65"/>
        <v/>
      </c>
      <c r="I871" s="5" t="str">
        <f t="shared" si="66"/>
        <v/>
      </c>
      <c r="J871" s="6">
        <f t="shared" si="67"/>
        <v>0</v>
      </c>
      <c r="K871" s="4" t="str">
        <f t="shared" si="68"/>
        <v/>
      </c>
      <c r="L871" s="4" t="str">
        <f t="shared" si="69"/>
        <v/>
      </c>
      <c r="M871" s="4" t="b" cm="1">
        <f t="array" ref="M871">IF(H871="",FALSE,SUMPRODUCT(--(H$1:H870=H871))&gt;0)</f>
        <v>0</v>
      </c>
    </row>
    <row r="872" spans="1:13" x14ac:dyDescent="0.25">
      <c r="A872" s="9" t="str">
        <f>IF(OR(B872="",M872,G872="— ignored"),"",MAX(A$1:A871)+1)</f>
        <v/>
      </c>
      <c r="B872" s="10"/>
      <c r="C872" s="11" t="str">
        <f>IF(I872="","",ROUND((I872+0.5*MAX(0,CEILING(ROUND((MAX(C$1:C871)-1/48-I872)/0.5,6),1)))*1440,0)/1440)</f>
        <v/>
      </c>
      <c r="D872" s="9" t="str" cm="1">
        <f t="array" ref="D872">IF(H872="","",IFERROR(INDEX(Log!$C$19:$G$19,VALUE(MID(H872,FIND("#",H872)+1,1))),""))</f>
        <v/>
      </c>
      <c r="E872" s="9" t="str" cm="1">
        <f t="array" ref="E872">IF(OR(H872="",M872),"",IFERROR(_xlfn.LET(_xlpm.t,SUBSTITUTE(UPPER(H872),"م","M"),_xlpm.u,SUBSTITUTE(_xlpm.t,"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72" s="12"/>
      <c r="G872" s="13" t="str">
        <f>IF(B872="","",IF(M872,"⚠ Duplicate (not counted)",IF(AND(I872="",D872="",E872=""),"— ignored",IF(C872="","⚠ Time",IF(D872="","⚠ Plant",IF(E872="","⚠ Quantity",IF(AND(ISNUMBER(L872),COUNTIF(L$1:L871,L872)&gt;0),"⚠ Same serial "&amp;L872,IF(AND(ISNUMBER(L872),L872&gt;MIN($L$2:$L$1001),COUNTIF($L$2:$L$1001,L872-1)=0,COUNTIF($L$2:$L$1001,L872-2)&lt;2),"⚠ Missing serial "&amp;(L872-1),IF(AND(MAX(K$1:K871)&gt;0,N(K872)-MAX(K$1:K871)&gt;180),"⚠ Gap &gt; 3h",IF(C872-I872&gt;=0.99,"next day",IF(C872-I872&gt;0.4,"12h → 24h","")))))))))))</f>
        <v/>
      </c>
      <c r="H872" s="4" t="str">
        <f t="shared" si="65"/>
        <v/>
      </c>
      <c r="I872" s="5" t="str">
        <f t="shared" si="66"/>
        <v/>
      </c>
      <c r="J872" s="6">
        <f t="shared" si="67"/>
        <v>0</v>
      </c>
      <c r="K872" s="4" t="str">
        <f t="shared" si="68"/>
        <v/>
      </c>
      <c r="L872" s="4" t="str">
        <f t="shared" si="69"/>
        <v/>
      </c>
      <c r="M872" s="4" t="b" cm="1">
        <f t="array" ref="M872">IF(H872="",FALSE,SUMPRODUCT(--(H$1:H871=H872))&gt;0)</f>
        <v>0</v>
      </c>
    </row>
    <row r="873" spans="1:13" x14ac:dyDescent="0.25">
      <c r="A873" s="9" t="str">
        <f>IF(OR(B873="",M873,G873="— ignored"),"",MAX(A$1:A872)+1)</f>
        <v/>
      </c>
      <c r="B873" s="10"/>
      <c r="C873" s="11" t="str">
        <f>IF(I873="","",ROUND((I873+0.5*MAX(0,CEILING(ROUND((MAX(C$1:C872)-1/48-I873)/0.5,6),1)))*1440,0)/1440)</f>
        <v/>
      </c>
      <c r="D873" s="9" t="str" cm="1">
        <f t="array" ref="D873">IF(H873="","",IFERROR(INDEX(Log!$C$19:$G$19,VALUE(MID(H873,FIND("#",H873)+1,1))),""))</f>
        <v/>
      </c>
      <c r="E873" s="9" t="str" cm="1">
        <f t="array" ref="E873">IF(OR(H873="",M873),"",IFERROR(_xlfn.LET(_xlpm.t,SUBSTITUTE(UPPER(H873),"م","M"),_xlpm.u,SUBSTITUTE(_xlpm.t,"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73" s="12"/>
      <c r="G873" s="13" t="str">
        <f>IF(B873="","",IF(M873,"⚠ Duplicate (not counted)",IF(AND(I873="",D873="",E873=""),"— ignored",IF(C873="","⚠ Time",IF(D873="","⚠ Plant",IF(E873="","⚠ Quantity",IF(AND(ISNUMBER(L873),COUNTIF(L$1:L872,L873)&gt;0),"⚠ Same serial "&amp;L873,IF(AND(ISNUMBER(L873),L873&gt;MIN($L$2:$L$1001),COUNTIF($L$2:$L$1001,L873-1)=0,COUNTIF($L$2:$L$1001,L873-2)&lt;2),"⚠ Missing serial "&amp;(L873-1),IF(AND(MAX(K$1:K872)&gt;0,N(K873)-MAX(K$1:K872)&gt;180),"⚠ Gap &gt; 3h",IF(C873-I873&gt;=0.99,"next day",IF(C873-I873&gt;0.4,"12h → 24h","")))))))))))</f>
        <v/>
      </c>
      <c r="H873" s="4" t="str">
        <f t="shared" si="65"/>
        <v/>
      </c>
      <c r="I873" s="5" t="str">
        <f t="shared" si="66"/>
        <v/>
      </c>
      <c r="J873" s="6">
        <f t="shared" si="67"/>
        <v>0</v>
      </c>
      <c r="K873" s="4" t="str">
        <f t="shared" si="68"/>
        <v/>
      </c>
      <c r="L873" s="4" t="str">
        <f t="shared" si="69"/>
        <v/>
      </c>
      <c r="M873" s="4" t="b" cm="1">
        <f t="array" ref="M873">IF(H873="",FALSE,SUMPRODUCT(--(H$1:H872=H873))&gt;0)</f>
        <v>0</v>
      </c>
    </row>
    <row r="874" spans="1:13" x14ac:dyDescent="0.25">
      <c r="A874" s="9" t="str">
        <f>IF(OR(B874="",M874,G874="— ignored"),"",MAX(A$1:A873)+1)</f>
        <v/>
      </c>
      <c r="B874" s="10"/>
      <c r="C874" s="11" t="str">
        <f>IF(I874="","",ROUND((I874+0.5*MAX(0,CEILING(ROUND((MAX(C$1:C873)-1/48-I874)/0.5,6),1)))*1440,0)/1440)</f>
        <v/>
      </c>
      <c r="D874" s="9" t="str" cm="1">
        <f t="array" ref="D874">IF(H874="","",IFERROR(INDEX(Log!$C$19:$G$19,VALUE(MID(H874,FIND("#",H874)+1,1))),""))</f>
        <v/>
      </c>
      <c r="E874" s="9" t="str" cm="1">
        <f t="array" ref="E874">IF(OR(H874="",M874),"",IFERROR(_xlfn.LET(_xlpm.t,SUBSTITUTE(UPPER(H874),"م","M"),_xlpm.u,SUBSTITUTE(_xlpm.t,"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74" s="12"/>
      <c r="G874" s="13" t="str">
        <f>IF(B874="","",IF(M874,"⚠ Duplicate (not counted)",IF(AND(I874="",D874="",E874=""),"— ignored",IF(C874="","⚠ Time",IF(D874="","⚠ Plant",IF(E874="","⚠ Quantity",IF(AND(ISNUMBER(L874),COUNTIF(L$1:L873,L874)&gt;0),"⚠ Same serial "&amp;L874,IF(AND(ISNUMBER(L874),L874&gt;MIN($L$2:$L$1001),COUNTIF($L$2:$L$1001,L874-1)=0,COUNTIF($L$2:$L$1001,L874-2)&lt;2),"⚠ Missing serial "&amp;(L874-1),IF(AND(MAX(K$1:K873)&gt;0,N(K874)-MAX(K$1:K873)&gt;180),"⚠ Gap &gt; 3h",IF(C874-I874&gt;=0.99,"next day",IF(C874-I874&gt;0.4,"12h → 24h","")))))))))))</f>
        <v/>
      </c>
      <c r="H874" s="4" t="str">
        <f t="shared" si="65"/>
        <v/>
      </c>
      <c r="I874" s="5" t="str">
        <f t="shared" si="66"/>
        <v/>
      </c>
      <c r="J874" s="6">
        <f t="shared" si="67"/>
        <v>0</v>
      </c>
      <c r="K874" s="4" t="str">
        <f t="shared" si="68"/>
        <v/>
      </c>
      <c r="L874" s="4" t="str">
        <f t="shared" si="69"/>
        <v/>
      </c>
      <c r="M874" s="4" t="b" cm="1">
        <f t="array" ref="M874">IF(H874="",FALSE,SUMPRODUCT(--(H$1:H873=H874))&gt;0)</f>
        <v>0</v>
      </c>
    </row>
    <row r="875" spans="1:13" x14ac:dyDescent="0.25">
      <c r="A875" s="9" t="str">
        <f>IF(OR(B875="",M875,G875="— ignored"),"",MAX(A$1:A874)+1)</f>
        <v/>
      </c>
      <c r="B875" s="10"/>
      <c r="C875" s="11" t="str">
        <f>IF(I875="","",ROUND((I875+0.5*MAX(0,CEILING(ROUND((MAX(C$1:C874)-1/48-I875)/0.5,6),1)))*1440,0)/1440)</f>
        <v/>
      </c>
      <c r="D875" s="9" t="str" cm="1">
        <f t="array" ref="D875">IF(H875="","",IFERROR(INDEX(Log!$C$19:$G$19,VALUE(MID(H875,FIND("#",H875)+1,1))),""))</f>
        <v/>
      </c>
      <c r="E875" s="9" t="str" cm="1">
        <f t="array" ref="E875">IF(OR(H875="",M875),"",IFERROR(_xlfn.LET(_xlpm.t,SUBSTITUTE(UPPER(H875),"م","M"),_xlpm.u,SUBSTITUTE(_xlpm.t,"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75" s="12"/>
      <c r="G875" s="13" t="str">
        <f>IF(B875="","",IF(M875,"⚠ Duplicate (not counted)",IF(AND(I875="",D875="",E875=""),"— ignored",IF(C875="","⚠ Time",IF(D875="","⚠ Plant",IF(E875="","⚠ Quantity",IF(AND(ISNUMBER(L875),COUNTIF(L$1:L874,L875)&gt;0),"⚠ Same serial "&amp;L875,IF(AND(ISNUMBER(L875),L875&gt;MIN($L$2:$L$1001),COUNTIF($L$2:$L$1001,L875-1)=0,COUNTIF($L$2:$L$1001,L875-2)&lt;2),"⚠ Missing serial "&amp;(L875-1),IF(AND(MAX(K$1:K874)&gt;0,N(K875)-MAX(K$1:K874)&gt;180),"⚠ Gap &gt; 3h",IF(C875-I875&gt;=0.99,"next day",IF(C875-I875&gt;0.4,"12h → 24h","")))))))))))</f>
        <v/>
      </c>
      <c r="H875" s="4" t="str">
        <f t="shared" si="65"/>
        <v/>
      </c>
      <c r="I875" s="5" t="str">
        <f t="shared" si="66"/>
        <v/>
      </c>
      <c r="J875" s="6">
        <f t="shared" si="67"/>
        <v>0</v>
      </c>
      <c r="K875" s="4" t="str">
        <f t="shared" si="68"/>
        <v/>
      </c>
      <c r="L875" s="4" t="str">
        <f t="shared" si="69"/>
        <v/>
      </c>
      <c r="M875" s="4" t="b" cm="1">
        <f t="array" ref="M875">IF(H875="",FALSE,SUMPRODUCT(--(H$1:H874=H875))&gt;0)</f>
        <v>0</v>
      </c>
    </row>
    <row r="876" spans="1:13" x14ac:dyDescent="0.25">
      <c r="A876" s="9" t="str">
        <f>IF(OR(B876="",M876,G876="— ignored"),"",MAX(A$1:A875)+1)</f>
        <v/>
      </c>
      <c r="B876" s="10"/>
      <c r="C876" s="11" t="str">
        <f>IF(I876="","",ROUND((I876+0.5*MAX(0,CEILING(ROUND((MAX(C$1:C875)-1/48-I876)/0.5,6),1)))*1440,0)/1440)</f>
        <v/>
      </c>
      <c r="D876" s="9" t="str" cm="1">
        <f t="array" ref="D876">IF(H876="","",IFERROR(INDEX(Log!$C$19:$G$19,VALUE(MID(H876,FIND("#",H876)+1,1))),""))</f>
        <v/>
      </c>
      <c r="E876" s="9" t="str" cm="1">
        <f t="array" ref="E876">IF(OR(H876="",M876),"",IFERROR(_xlfn.LET(_xlpm.t,SUBSTITUTE(UPPER(H876),"م","M"),_xlpm.u,SUBSTITUTE(_xlpm.t,"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76" s="12"/>
      <c r="G876" s="13" t="str">
        <f>IF(B876="","",IF(M876,"⚠ Duplicate (not counted)",IF(AND(I876="",D876="",E876=""),"— ignored",IF(C876="","⚠ Time",IF(D876="","⚠ Plant",IF(E876="","⚠ Quantity",IF(AND(ISNUMBER(L876),COUNTIF(L$1:L875,L876)&gt;0),"⚠ Same serial "&amp;L876,IF(AND(ISNUMBER(L876),L876&gt;MIN($L$2:$L$1001),COUNTIF($L$2:$L$1001,L876-1)=0,COUNTIF($L$2:$L$1001,L876-2)&lt;2),"⚠ Missing serial "&amp;(L876-1),IF(AND(MAX(K$1:K875)&gt;0,N(K876)-MAX(K$1:K875)&gt;180),"⚠ Gap &gt; 3h",IF(C876-I876&gt;=0.99,"next day",IF(C876-I876&gt;0.4,"12h → 24h","")))))))))))</f>
        <v/>
      </c>
      <c r="H876" s="4" t="str">
        <f t="shared" si="65"/>
        <v/>
      </c>
      <c r="I876" s="5" t="str">
        <f t="shared" si="66"/>
        <v/>
      </c>
      <c r="J876" s="6">
        <f t="shared" si="67"/>
        <v>0</v>
      </c>
      <c r="K876" s="4" t="str">
        <f t="shared" si="68"/>
        <v/>
      </c>
      <c r="L876" s="4" t="str">
        <f t="shared" si="69"/>
        <v/>
      </c>
      <c r="M876" s="4" t="b" cm="1">
        <f t="array" ref="M876">IF(H876="",FALSE,SUMPRODUCT(--(H$1:H875=H876))&gt;0)</f>
        <v>0</v>
      </c>
    </row>
    <row r="877" spans="1:13" x14ac:dyDescent="0.25">
      <c r="A877" s="9" t="str">
        <f>IF(OR(B877="",M877,G877="— ignored"),"",MAX(A$1:A876)+1)</f>
        <v/>
      </c>
      <c r="B877" s="10"/>
      <c r="C877" s="11" t="str">
        <f>IF(I877="","",ROUND((I877+0.5*MAX(0,CEILING(ROUND((MAX(C$1:C876)-1/48-I877)/0.5,6),1)))*1440,0)/1440)</f>
        <v/>
      </c>
      <c r="D877" s="9" t="str" cm="1">
        <f t="array" ref="D877">IF(H877="","",IFERROR(INDEX(Log!$C$19:$G$19,VALUE(MID(H877,FIND("#",H877)+1,1))),""))</f>
        <v/>
      </c>
      <c r="E877" s="9" t="str" cm="1">
        <f t="array" ref="E877">IF(OR(H877="",M877),"",IFERROR(_xlfn.LET(_xlpm.t,SUBSTITUTE(UPPER(H877),"م","M"),_xlpm.u,SUBSTITUTE(_xlpm.t,"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77" s="12"/>
      <c r="G877" s="13" t="str">
        <f>IF(B877="","",IF(M877,"⚠ Duplicate (not counted)",IF(AND(I877="",D877="",E877=""),"— ignored",IF(C877="","⚠ Time",IF(D877="","⚠ Plant",IF(E877="","⚠ Quantity",IF(AND(ISNUMBER(L877),COUNTIF(L$1:L876,L877)&gt;0),"⚠ Same serial "&amp;L877,IF(AND(ISNUMBER(L877),L877&gt;MIN($L$2:$L$1001),COUNTIF($L$2:$L$1001,L877-1)=0,COUNTIF($L$2:$L$1001,L877-2)&lt;2),"⚠ Missing serial "&amp;(L877-1),IF(AND(MAX(K$1:K876)&gt;0,N(K877)-MAX(K$1:K876)&gt;180),"⚠ Gap &gt; 3h",IF(C877-I877&gt;=0.99,"next day",IF(C877-I877&gt;0.4,"12h → 24h","")))))))))))</f>
        <v/>
      </c>
      <c r="H877" s="4" t="str">
        <f t="shared" si="65"/>
        <v/>
      </c>
      <c r="I877" s="5" t="str">
        <f t="shared" si="66"/>
        <v/>
      </c>
      <c r="J877" s="6">
        <f t="shared" si="67"/>
        <v>0</v>
      </c>
      <c r="K877" s="4" t="str">
        <f t="shared" si="68"/>
        <v/>
      </c>
      <c r="L877" s="4" t="str">
        <f t="shared" si="69"/>
        <v/>
      </c>
      <c r="M877" s="4" t="b" cm="1">
        <f t="array" ref="M877">IF(H877="",FALSE,SUMPRODUCT(--(H$1:H876=H877))&gt;0)</f>
        <v>0</v>
      </c>
    </row>
    <row r="878" spans="1:13" x14ac:dyDescent="0.25">
      <c r="A878" s="9" t="str">
        <f>IF(OR(B878="",M878,G878="— ignored"),"",MAX(A$1:A877)+1)</f>
        <v/>
      </c>
      <c r="B878" s="10"/>
      <c r="C878" s="11" t="str">
        <f>IF(I878="","",ROUND((I878+0.5*MAX(0,CEILING(ROUND((MAX(C$1:C877)-1/48-I878)/0.5,6),1)))*1440,0)/1440)</f>
        <v/>
      </c>
      <c r="D878" s="9" t="str" cm="1">
        <f t="array" ref="D878">IF(H878="","",IFERROR(INDEX(Log!$C$19:$G$19,VALUE(MID(H878,FIND("#",H878)+1,1))),""))</f>
        <v/>
      </c>
      <c r="E878" s="9" t="str" cm="1">
        <f t="array" ref="E878">IF(OR(H878="",M878),"",IFERROR(_xlfn.LET(_xlpm.t,SUBSTITUTE(UPPER(H878),"م","M"),_xlpm.u,SUBSTITUTE(_xlpm.t,"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78" s="12"/>
      <c r="G878" s="13" t="str">
        <f>IF(B878="","",IF(M878,"⚠ Duplicate (not counted)",IF(AND(I878="",D878="",E878=""),"— ignored",IF(C878="","⚠ Time",IF(D878="","⚠ Plant",IF(E878="","⚠ Quantity",IF(AND(ISNUMBER(L878),COUNTIF(L$1:L877,L878)&gt;0),"⚠ Same serial "&amp;L878,IF(AND(ISNUMBER(L878),L878&gt;MIN($L$2:$L$1001),COUNTIF($L$2:$L$1001,L878-1)=0,COUNTIF($L$2:$L$1001,L878-2)&lt;2),"⚠ Missing serial "&amp;(L878-1),IF(AND(MAX(K$1:K877)&gt;0,N(K878)-MAX(K$1:K877)&gt;180),"⚠ Gap &gt; 3h",IF(C878-I878&gt;=0.99,"next day",IF(C878-I878&gt;0.4,"12h → 24h","")))))))))))</f>
        <v/>
      </c>
      <c r="H878" s="4" t="str">
        <f t="shared" si="65"/>
        <v/>
      </c>
      <c r="I878" s="5" t="str">
        <f t="shared" si="66"/>
        <v/>
      </c>
      <c r="J878" s="6">
        <f t="shared" si="67"/>
        <v>0</v>
      </c>
      <c r="K878" s="4" t="str">
        <f t="shared" si="68"/>
        <v/>
      </c>
      <c r="L878" s="4" t="str">
        <f t="shared" si="69"/>
        <v/>
      </c>
      <c r="M878" s="4" t="b" cm="1">
        <f t="array" ref="M878">IF(H878="",FALSE,SUMPRODUCT(--(H$1:H877=H878))&gt;0)</f>
        <v>0</v>
      </c>
    </row>
    <row r="879" spans="1:13" x14ac:dyDescent="0.25">
      <c r="A879" s="9" t="str">
        <f>IF(OR(B879="",M879,G879="— ignored"),"",MAX(A$1:A878)+1)</f>
        <v/>
      </c>
      <c r="B879" s="10"/>
      <c r="C879" s="11" t="str">
        <f>IF(I879="","",ROUND((I879+0.5*MAX(0,CEILING(ROUND((MAX(C$1:C878)-1/48-I879)/0.5,6),1)))*1440,0)/1440)</f>
        <v/>
      </c>
      <c r="D879" s="9" t="str" cm="1">
        <f t="array" ref="D879">IF(H879="","",IFERROR(INDEX(Log!$C$19:$G$19,VALUE(MID(H879,FIND("#",H879)+1,1))),""))</f>
        <v/>
      </c>
      <c r="E879" s="9" t="str" cm="1">
        <f t="array" ref="E879">IF(OR(H879="",M879),"",IFERROR(_xlfn.LET(_xlpm.t,SUBSTITUTE(UPPER(H879),"م","M"),_xlpm.u,SUBSTITUTE(_xlpm.t,"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79" s="12"/>
      <c r="G879" s="13" t="str">
        <f>IF(B879="","",IF(M879,"⚠ Duplicate (not counted)",IF(AND(I879="",D879="",E879=""),"— ignored",IF(C879="","⚠ Time",IF(D879="","⚠ Plant",IF(E879="","⚠ Quantity",IF(AND(ISNUMBER(L879),COUNTIF(L$1:L878,L879)&gt;0),"⚠ Same serial "&amp;L879,IF(AND(ISNUMBER(L879),L879&gt;MIN($L$2:$L$1001),COUNTIF($L$2:$L$1001,L879-1)=0,COUNTIF($L$2:$L$1001,L879-2)&lt;2),"⚠ Missing serial "&amp;(L879-1),IF(AND(MAX(K$1:K878)&gt;0,N(K879)-MAX(K$1:K878)&gt;180),"⚠ Gap &gt; 3h",IF(C879-I879&gt;=0.99,"next day",IF(C879-I879&gt;0.4,"12h → 24h","")))))))))))</f>
        <v/>
      </c>
      <c r="H879" s="4" t="str">
        <f t="shared" si="65"/>
        <v/>
      </c>
      <c r="I879" s="5" t="str">
        <f t="shared" si="66"/>
        <v/>
      </c>
      <c r="J879" s="6">
        <f t="shared" si="67"/>
        <v>0</v>
      </c>
      <c r="K879" s="4" t="str">
        <f t="shared" si="68"/>
        <v/>
      </c>
      <c r="L879" s="4" t="str">
        <f t="shared" si="69"/>
        <v/>
      </c>
      <c r="M879" s="4" t="b" cm="1">
        <f t="array" ref="M879">IF(H879="",FALSE,SUMPRODUCT(--(H$1:H878=H879))&gt;0)</f>
        <v>0</v>
      </c>
    </row>
    <row r="880" spans="1:13" x14ac:dyDescent="0.25">
      <c r="A880" s="9" t="str">
        <f>IF(OR(B880="",M880,G880="— ignored"),"",MAX(A$1:A879)+1)</f>
        <v/>
      </c>
      <c r="B880" s="10"/>
      <c r="C880" s="11" t="str">
        <f>IF(I880="","",ROUND((I880+0.5*MAX(0,CEILING(ROUND((MAX(C$1:C879)-1/48-I880)/0.5,6),1)))*1440,0)/1440)</f>
        <v/>
      </c>
      <c r="D880" s="9" t="str" cm="1">
        <f t="array" ref="D880">IF(H880="","",IFERROR(INDEX(Log!$C$19:$G$19,VALUE(MID(H880,FIND("#",H880)+1,1))),""))</f>
        <v/>
      </c>
      <c r="E880" s="9" t="str" cm="1">
        <f t="array" ref="E880">IF(OR(H880="",M880),"",IFERROR(_xlfn.LET(_xlpm.t,SUBSTITUTE(UPPER(H880),"م","M"),_xlpm.u,SUBSTITUTE(_xlpm.t,"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80" s="12"/>
      <c r="G880" s="13" t="str">
        <f>IF(B880="","",IF(M880,"⚠ Duplicate (not counted)",IF(AND(I880="",D880="",E880=""),"— ignored",IF(C880="","⚠ Time",IF(D880="","⚠ Plant",IF(E880="","⚠ Quantity",IF(AND(ISNUMBER(L880),COUNTIF(L$1:L879,L880)&gt;0),"⚠ Same serial "&amp;L880,IF(AND(ISNUMBER(L880),L880&gt;MIN($L$2:$L$1001),COUNTIF($L$2:$L$1001,L880-1)=0,COUNTIF($L$2:$L$1001,L880-2)&lt;2),"⚠ Missing serial "&amp;(L880-1),IF(AND(MAX(K$1:K879)&gt;0,N(K880)-MAX(K$1:K879)&gt;180),"⚠ Gap &gt; 3h",IF(C880-I880&gt;=0.99,"next day",IF(C880-I880&gt;0.4,"12h → 24h","")))))))))))</f>
        <v/>
      </c>
      <c r="H880" s="4" t="str">
        <f t="shared" si="65"/>
        <v/>
      </c>
      <c r="I880" s="5" t="str">
        <f t="shared" si="66"/>
        <v/>
      </c>
      <c r="J880" s="6">
        <f t="shared" si="67"/>
        <v>0</v>
      </c>
      <c r="K880" s="4" t="str">
        <f t="shared" si="68"/>
        <v/>
      </c>
      <c r="L880" s="4" t="str">
        <f t="shared" si="69"/>
        <v/>
      </c>
      <c r="M880" s="4" t="b" cm="1">
        <f t="array" ref="M880">IF(H880="",FALSE,SUMPRODUCT(--(H$1:H879=H880))&gt;0)</f>
        <v>0</v>
      </c>
    </row>
    <row r="881" spans="1:13" x14ac:dyDescent="0.25">
      <c r="A881" s="9" t="str">
        <f>IF(OR(B881="",M881,G881="— ignored"),"",MAX(A$1:A880)+1)</f>
        <v/>
      </c>
      <c r="B881" s="10"/>
      <c r="C881" s="11" t="str">
        <f>IF(I881="","",ROUND((I881+0.5*MAX(0,CEILING(ROUND((MAX(C$1:C880)-1/48-I881)/0.5,6),1)))*1440,0)/1440)</f>
        <v/>
      </c>
      <c r="D881" s="9" t="str" cm="1">
        <f t="array" ref="D881">IF(H881="","",IFERROR(INDEX(Log!$C$19:$G$19,VALUE(MID(H881,FIND("#",H881)+1,1))),""))</f>
        <v/>
      </c>
      <c r="E881" s="9" t="str" cm="1">
        <f t="array" ref="E881">IF(OR(H881="",M881),"",IFERROR(_xlfn.LET(_xlpm.t,SUBSTITUTE(UPPER(H881),"م","M"),_xlpm.u,SUBSTITUTE(_xlpm.t,"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81" s="12"/>
      <c r="G881" s="13" t="str">
        <f>IF(B881="","",IF(M881,"⚠ Duplicate (not counted)",IF(AND(I881="",D881="",E881=""),"— ignored",IF(C881="","⚠ Time",IF(D881="","⚠ Plant",IF(E881="","⚠ Quantity",IF(AND(ISNUMBER(L881),COUNTIF(L$1:L880,L881)&gt;0),"⚠ Same serial "&amp;L881,IF(AND(ISNUMBER(L881),L881&gt;MIN($L$2:$L$1001),COUNTIF($L$2:$L$1001,L881-1)=0,COUNTIF($L$2:$L$1001,L881-2)&lt;2),"⚠ Missing serial "&amp;(L881-1),IF(AND(MAX(K$1:K880)&gt;0,N(K881)-MAX(K$1:K880)&gt;180),"⚠ Gap &gt; 3h",IF(C881-I881&gt;=0.99,"next day",IF(C881-I881&gt;0.4,"12h → 24h","")))))))))))</f>
        <v/>
      </c>
      <c r="H881" s="4" t="str">
        <f t="shared" si="65"/>
        <v/>
      </c>
      <c r="I881" s="5" t="str">
        <f t="shared" si="66"/>
        <v/>
      </c>
      <c r="J881" s="6">
        <f t="shared" si="67"/>
        <v>0</v>
      </c>
      <c r="K881" s="4" t="str">
        <f t="shared" si="68"/>
        <v/>
      </c>
      <c r="L881" s="4" t="str">
        <f t="shared" si="69"/>
        <v/>
      </c>
      <c r="M881" s="4" t="b" cm="1">
        <f t="array" ref="M881">IF(H881="",FALSE,SUMPRODUCT(--(H$1:H880=H881))&gt;0)</f>
        <v>0</v>
      </c>
    </row>
    <row r="882" spans="1:13" x14ac:dyDescent="0.25">
      <c r="A882" s="9" t="str">
        <f>IF(OR(B882="",M882,G882="— ignored"),"",MAX(A$1:A881)+1)</f>
        <v/>
      </c>
      <c r="B882" s="10"/>
      <c r="C882" s="11" t="str">
        <f>IF(I882="","",ROUND((I882+0.5*MAX(0,CEILING(ROUND((MAX(C$1:C881)-1/48-I882)/0.5,6),1)))*1440,0)/1440)</f>
        <v/>
      </c>
      <c r="D882" s="9" t="str" cm="1">
        <f t="array" ref="D882">IF(H882="","",IFERROR(INDEX(Log!$C$19:$G$19,VALUE(MID(H882,FIND("#",H882)+1,1))),""))</f>
        <v/>
      </c>
      <c r="E882" s="9" t="str" cm="1">
        <f t="array" ref="E882">IF(OR(H882="",M882),"",IFERROR(_xlfn.LET(_xlpm.t,SUBSTITUTE(UPPER(H882),"م","M"),_xlpm.u,SUBSTITUTE(_xlpm.t,"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82" s="12"/>
      <c r="G882" s="13" t="str">
        <f>IF(B882="","",IF(M882,"⚠ Duplicate (not counted)",IF(AND(I882="",D882="",E882=""),"— ignored",IF(C882="","⚠ Time",IF(D882="","⚠ Plant",IF(E882="","⚠ Quantity",IF(AND(ISNUMBER(L882),COUNTIF(L$1:L881,L882)&gt;0),"⚠ Same serial "&amp;L882,IF(AND(ISNUMBER(L882),L882&gt;MIN($L$2:$L$1001),COUNTIF($L$2:$L$1001,L882-1)=0,COUNTIF($L$2:$L$1001,L882-2)&lt;2),"⚠ Missing serial "&amp;(L882-1),IF(AND(MAX(K$1:K881)&gt;0,N(K882)-MAX(K$1:K881)&gt;180),"⚠ Gap &gt; 3h",IF(C882-I882&gt;=0.99,"next day",IF(C882-I882&gt;0.4,"12h → 24h","")))))))))))</f>
        <v/>
      </c>
      <c r="H882" s="4" t="str">
        <f t="shared" si="65"/>
        <v/>
      </c>
      <c r="I882" s="5" t="str">
        <f t="shared" si="66"/>
        <v/>
      </c>
      <c r="J882" s="6">
        <f t="shared" si="67"/>
        <v>0</v>
      </c>
      <c r="K882" s="4" t="str">
        <f t="shared" si="68"/>
        <v/>
      </c>
      <c r="L882" s="4" t="str">
        <f t="shared" si="69"/>
        <v/>
      </c>
      <c r="M882" s="4" t="b" cm="1">
        <f t="array" ref="M882">IF(H882="",FALSE,SUMPRODUCT(--(H$1:H881=H882))&gt;0)</f>
        <v>0</v>
      </c>
    </row>
    <row r="883" spans="1:13" x14ac:dyDescent="0.25">
      <c r="A883" s="9" t="str">
        <f>IF(OR(B883="",M883,G883="— ignored"),"",MAX(A$1:A882)+1)</f>
        <v/>
      </c>
      <c r="B883" s="10"/>
      <c r="C883" s="11" t="str">
        <f>IF(I883="","",ROUND((I883+0.5*MAX(0,CEILING(ROUND((MAX(C$1:C882)-1/48-I883)/0.5,6),1)))*1440,0)/1440)</f>
        <v/>
      </c>
      <c r="D883" s="9" t="str" cm="1">
        <f t="array" ref="D883">IF(H883="","",IFERROR(INDEX(Log!$C$19:$G$19,VALUE(MID(H883,FIND("#",H883)+1,1))),""))</f>
        <v/>
      </c>
      <c r="E883" s="9" t="str" cm="1">
        <f t="array" ref="E883">IF(OR(H883="",M883),"",IFERROR(_xlfn.LET(_xlpm.t,SUBSTITUTE(UPPER(H883),"م","M"),_xlpm.u,SUBSTITUTE(_xlpm.t,"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83" s="12"/>
      <c r="G883" s="13" t="str">
        <f>IF(B883="","",IF(M883,"⚠ Duplicate (not counted)",IF(AND(I883="",D883="",E883=""),"— ignored",IF(C883="","⚠ Time",IF(D883="","⚠ Plant",IF(E883="","⚠ Quantity",IF(AND(ISNUMBER(L883),COUNTIF(L$1:L882,L883)&gt;0),"⚠ Same serial "&amp;L883,IF(AND(ISNUMBER(L883),L883&gt;MIN($L$2:$L$1001),COUNTIF($L$2:$L$1001,L883-1)=0,COUNTIF($L$2:$L$1001,L883-2)&lt;2),"⚠ Missing serial "&amp;(L883-1),IF(AND(MAX(K$1:K882)&gt;0,N(K883)-MAX(K$1:K882)&gt;180),"⚠ Gap &gt; 3h",IF(C883-I883&gt;=0.99,"next day",IF(C883-I883&gt;0.4,"12h → 24h","")))))))))))</f>
        <v/>
      </c>
      <c r="H883" s="4" t="str">
        <f t="shared" si="65"/>
        <v/>
      </c>
      <c r="I883" s="5" t="str">
        <f t="shared" si="66"/>
        <v/>
      </c>
      <c r="J883" s="6">
        <f t="shared" si="67"/>
        <v>0</v>
      </c>
      <c r="K883" s="4" t="str">
        <f t="shared" si="68"/>
        <v/>
      </c>
      <c r="L883" s="4" t="str">
        <f t="shared" si="69"/>
        <v/>
      </c>
      <c r="M883" s="4" t="b" cm="1">
        <f t="array" ref="M883">IF(H883="",FALSE,SUMPRODUCT(--(H$1:H882=H883))&gt;0)</f>
        <v>0</v>
      </c>
    </row>
    <row r="884" spans="1:13" x14ac:dyDescent="0.25">
      <c r="A884" s="9" t="str">
        <f>IF(OR(B884="",M884,G884="— ignored"),"",MAX(A$1:A883)+1)</f>
        <v/>
      </c>
      <c r="B884" s="10"/>
      <c r="C884" s="11" t="str">
        <f>IF(I884="","",ROUND((I884+0.5*MAX(0,CEILING(ROUND((MAX(C$1:C883)-1/48-I884)/0.5,6),1)))*1440,0)/1440)</f>
        <v/>
      </c>
      <c r="D884" s="9" t="str" cm="1">
        <f t="array" ref="D884">IF(H884="","",IFERROR(INDEX(Log!$C$19:$G$19,VALUE(MID(H884,FIND("#",H884)+1,1))),""))</f>
        <v/>
      </c>
      <c r="E884" s="9" t="str" cm="1">
        <f t="array" ref="E884">IF(OR(H884="",M884),"",IFERROR(_xlfn.LET(_xlpm.t,SUBSTITUTE(UPPER(H884),"م","M"),_xlpm.u,SUBSTITUTE(_xlpm.t,"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84" s="12"/>
      <c r="G884" s="13" t="str">
        <f>IF(B884="","",IF(M884,"⚠ Duplicate (not counted)",IF(AND(I884="",D884="",E884=""),"— ignored",IF(C884="","⚠ Time",IF(D884="","⚠ Plant",IF(E884="","⚠ Quantity",IF(AND(ISNUMBER(L884),COUNTIF(L$1:L883,L884)&gt;0),"⚠ Same serial "&amp;L884,IF(AND(ISNUMBER(L884),L884&gt;MIN($L$2:$L$1001),COUNTIF($L$2:$L$1001,L884-1)=0,COUNTIF($L$2:$L$1001,L884-2)&lt;2),"⚠ Missing serial "&amp;(L884-1),IF(AND(MAX(K$1:K883)&gt;0,N(K884)-MAX(K$1:K883)&gt;180),"⚠ Gap &gt; 3h",IF(C884-I884&gt;=0.99,"next day",IF(C884-I884&gt;0.4,"12h → 24h","")))))))))))</f>
        <v/>
      </c>
      <c r="H884" s="4" t="str">
        <f t="shared" si="65"/>
        <v/>
      </c>
      <c r="I884" s="5" t="str">
        <f t="shared" si="66"/>
        <v/>
      </c>
      <c r="J884" s="6">
        <f t="shared" si="67"/>
        <v>0</v>
      </c>
      <c r="K884" s="4" t="str">
        <f t="shared" si="68"/>
        <v/>
      </c>
      <c r="L884" s="4" t="str">
        <f t="shared" si="69"/>
        <v/>
      </c>
      <c r="M884" s="4" t="b" cm="1">
        <f t="array" ref="M884">IF(H884="",FALSE,SUMPRODUCT(--(H$1:H883=H884))&gt;0)</f>
        <v>0</v>
      </c>
    </row>
    <row r="885" spans="1:13" x14ac:dyDescent="0.25">
      <c r="A885" s="9" t="str">
        <f>IF(OR(B885="",M885,G885="— ignored"),"",MAX(A$1:A884)+1)</f>
        <v/>
      </c>
      <c r="B885" s="10"/>
      <c r="C885" s="11" t="str">
        <f>IF(I885="","",ROUND((I885+0.5*MAX(0,CEILING(ROUND((MAX(C$1:C884)-1/48-I885)/0.5,6),1)))*1440,0)/1440)</f>
        <v/>
      </c>
      <c r="D885" s="9" t="str" cm="1">
        <f t="array" ref="D885">IF(H885="","",IFERROR(INDEX(Log!$C$19:$G$19,VALUE(MID(H885,FIND("#",H885)+1,1))),""))</f>
        <v/>
      </c>
      <c r="E885" s="9" t="str" cm="1">
        <f t="array" ref="E885">IF(OR(H885="",M885),"",IFERROR(_xlfn.LET(_xlpm.t,SUBSTITUTE(UPPER(H885),"م","M"),_xlpm.u,SUBSTITUTE(_xlpm.t,"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85" s="12"/>
      <c r="G885" s="13" t="str">
        <f>IF(B885="","",IF(M885,"⚠ Duplicate (not counted)",IF(AND(I885="",D885="",E885=""),"— ignored",IF(C885="","⚠ Time",IF(D885="","⚠ Plant",IF(E885="","⚠ Quantity",IF(AND(ISNUMBER(L885),COUNTIF(L$1:L884,L885)&gt;0),"⚠ Same serial "&amp;L885,IF(AND(ISNUMBER(L885),L885&gt;MIN($L$2:$L$1001),COUNTIF($L$2:$L$1001,L885-1)=0,COUNTIF($L$2:$L$1001,L885-2)&lt;2),"⚠ Missing serial "&amp;(L885-1),IF(AND(MAX(K$1:K884)&gt;0,N(K885)-MAX(K$1:K884)&gt;180),"⚠ Gap &gt; 3h",IF(C885-I885&gt;=0.99,"next day",IF(C885-I885&gt;0.4,"12h → 24h","")))))))))))</f>
        <v/>
      </c>
      <c r="H885" s="4" t="str">
        <f t="shared" si="65"/>
        <v/>
      </c>
      <c r="I885" s="5" t="str">
        <f t="shared" si="66"/>
        <v/>
      </c>
      <c r="J885" s="6">
        <f t="shared" si="67"/>
        <v>0</v>
      </c>
      <c r="K885" s="4" t="str">
        <f t="shared" si="68"/>
        <v/>
      </c>
      <c r="L885" s="4" t="str">
        <f t="shared" si="69"/>
        <v/>
      </c>
      <c r="M885" s="4" t="b" cm="1">
        <f t="array" ref="M885">IF(H885="",FALSE,SUMPRODUCT(--(H$1:H884=H885))&gt;0)</f>
        <v>0</v>
      </c>
    </row>
    <row r="886" spans="1:13" x14ac:dyDescent="0.25">
      <c r="A886" s="9" t="str">
        <f>IF(OR(B886="",M886,G886="— ignored"),"",MAX(A$1:A885)+1)</f>
        <v/>
      </c>
      <c r="B886" s="10"/>
      <c r="C886" s="11" t="str">
        <f>IF(I886="","",ROUND((I886+0.5*MAX(0,CEILING(ROUND((MAX(C$1:C885)-1/48-I886)/0.5,6),1)))*1440,0)/1440)</f>
        <v/>
      </c>
      <c r="D886" s="9" t="str" cm="1">
        <f t="array" ref="D886">IF(H886="","",IFERROR(INDEX(Log!$C$19:$G$19,VALUE(MID(H886,FIND("#",H886)+1,1))),""))</f>
        <v/>
      </c>
      <c r="E886" s="9" t="str" cm="1">
        <f t="array" ref="E886">IF(OR(H886="",M886),"",IFERROR(_xlfn.LET(_xlpm.t,SUBSTITUTE(UPPER(H886),"م","M"),_xlpm.u,SUBSTITUTE(_xlpm.t,"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86" s="12"/>
      <c r="G886" s="13" t="str">
        <f>IF(B886="","",IF(M886,"⚠ Duplicate (not counted)",IF(AND(I886="",D886="",E886=""),"— ignored",IF(C886="","⚠ Time",IF(D886="","⚠ Plant",IF(E886="","⚠ Quantity",IF(AND(ISNUMBER(L886),COUNTIF(L$1:L885,L886)&gt;0),"⚠ Same serial "&amp;L886,IF(AND(ISNUMBER(L886),L886&gt;MIN($L$2:$L$1001),COUNTIF($L$2:$L$1001,L886-1)=0,COUNTIF($L$2:$L$1001,L886-2)&lt;2),"⚠ Missing serial "&amp;(L886-1),IF(AND(MAX(K$1:K885)&gt;0,N(K886)-MAX(K$1:K885)&gt;180),"⚠ Gap &gt; 3h",IF(C886-I886&gt;=0.99,"next day",IF(C886-I886&gt;0.4,"12h → 24h","")))))))))))</f>
        <v/>
      </c>
      <c r="H886" s="4" t="str">
        <f t="shared" si="65"/>
        <v/>
      </c>
      <c r="I886" s="5" t="str">
        <f t="shared" si="66"/>
        <v/>
      </c>
      <c r="J886" s="6">
        <f t="shared" si="67"/>
        <v>0</v>
      </c>
      <c r="K886" s="4" t="str">
        <f t="shared" si="68"/>
        <v/>
      </c>
      <c r="L886" s="4" t="str">
        <f t="shared" si="69"/>
        <v/>
      </c>
      <c r="M886" s="4" t="b" cm="1">
        <f t="array" ref="M886">IF(H886="",FALSE,SUMPRODUCT(--(H$1:H885=H886))&gt;0)</f>
        <v>0</v>
      </c>
    </row>
    <row r="887" spans="1:13" x14ac:dyDescent="0.25">
      <c r="A887" s="9" t="str">
        <f>IF(OR(B887="",M887,G887="— ignored"),"",MAX(A$1:A886)+1)</f>
        <v/>
      </c>
      <c r="B887" s="10"/>
      <c r="C887" s="11" t="str">
        <f>IF(I887="","",ROUND((I887+0.5*MAX(0,CEILING(ROUND((MAX(C$1:C886)-1/48-I887)/0.5,6),1)))*1440,0)/1440)</f>
        <v/>
      </c>
      <c r="D887" s="9" t="str" cm="1">
        <f t="array" ref="D887">IF(H887="","",IFERROR(INDEX(Log!$C$19:$G$19,VALUE(MID(H887,FIND("#",H887)+1,1))),""))</f>
        <v/>
      </c>
      <c r="E887" s="9" t="str" cm="1">
        <f t="array" ref="E887">IF(OR(H887="",M887),"",IFERROR(_xlfn.LET(_xlpm.t,SUBSTITUTE(UPPER(H887),"م","M"),_xlpm.u,SUBSTITUTE(_xlpm.t,"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87" s="12"/>
      <c r="G887" s="13" t="str">
        <f>IF(B887="","",IF(M887,"⚠ Duplicate (not counted)",IF(AND(I887="",D887="",E887=""),"— ignored",IF(C887="","⚠ Time",IF(D887="","⚠ Plant",IF(E887="","⚠ Quantity",IF(AND(ISNUMBER(L887),COUNTIF(L$1:L886,L887)&gt;0),"⚠ Same serial "&amp;L887,IF(AND(ISNUMBER(L887),L887&gt;MIN($L$2:$L$1001),COUNTIF($L$2:$L$1001,L887-1)=0,COUNTIF($L$2:$L$1001,L887-2)&lt;2),"⚠ Missing serial "&amp;(L887-1),IF(AND(MAX(K$1:K886)&gt;0,N(K887)-MAX(K$1:K886)&gt;180),"⚠ Gap &gt; 3h",IF(C887-I887&gt;=0.99,"next day",IF(C887-I887&gt;0.4,"12h → 24h","")))))))))))</f>
        <v/>
      </c>
      <c r="H887" s="4" t="str">
        <f t="shared" si="65"/>
        <v/>
      </c>
      <c r="I887" s="5" t="str">
        <f t="shared" si="66"/>
        <v/>
      </c>
      <c r="J887" s="6">
        <f t="shared" si="67"/>
        <v>0</v>
      </c>
      <c r="K887" s="4" t="str">
        <f t="shared" si="68"/>
        <v/>
      </c>
      <c r="L887" s="4" t="str">
        <f t="shared" si="69"/>
        <v/>
      </c>
      <c r="M887" s="4" t="b" cm="1">
        <f t="array" ref="M887">IF(H887="",FALSE,SUMPRODUCT(--(H$1:H886=H887))&gt;0)</f>
        <v>0</v>
      </c>
    </row>
    <row r="888" spans="1:13" x14ac:dyDescent="0.25">
      <c r="A888" s="9" t="str">
        <f>IF(OR(B888="",M888,G888="— ignored"),"",MAX(A$1:A887)+1)</f>
        <v/>
      </c>
      <c r="B888" s="10"/>
      <c r="C888" s="11" t="str">
        <f>IF(I888="","",ROUND((I888+0.5*MAX(0,CEILING(ROUND((MAX(C$1:C887)-1/48-I888)/0.5,6),1)))*1440,0)/1440)</f>
        <v/>
      </c>
      <c r="D888" s="9" t="str" cm="1">
        <f t="array" ref="D888">IF(H888="","",IFERROR(INDEX(Log!$C$19:$G$19,VALUE(MID(H888,FIND("#",H888)+1,1))),""))</f>
        <v/>
      </c>
      <c r="E888" s="9" t="str" cm="1">
        <f t="array" ref="E888">IF(OR(H888="",M888),"",IFERROR(_xlfn.LET(_xlpm.t,SUBSTITUTE(UPPER(H888),"م","M"),_xlpm.u,SUBSTITUTE(_xlpm.t,"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88" s="12"/>
      <c r="G888" s="13" t="str">
        <f>IF(B888="","",IF(M888,"⚠ Duplicate (not counted)",IF(AND(I888="",D888="",E888=""),"— ignored",IF(C888="","⚠ Time",IF(D888="","⚠ Plant",IF(E888="","⚠ Quantity",IF(AND(ISNUMBER(L888),COUNTIF(L$1:L887,L888)&gt;0),"⚠ Same serial "&amp;L888,IF(AND(ISNUMBER(L888),L888&gt;MIN($L$2:$L$1001),COUNTIF($L$2:$L$1001,L888-1)=0,COUNTIF($L$2:$L$1001,L888-2)&lt;2),"⚠ Missing serial "&amp;(L888-1),IF(AND(MAX(K$1:K887)&gt;0,N(K888)-MAX(K$1:K887)&gt;180),"⚠ Gap &gt; 3h",IF(C888-I888&gt;=0.99,"next day",IF(C888-I888&gt;0.4,"12h → 24h","")))))))))))</f>
        <v/>
      </c>
      <c r="H888" s="4" t="str">
        <f t="shared" si="65"/>
        <v/>
      </c>
      <c r="I888" s="5" t="str">
        <f t="shared" si="66"/>
        <v/>
      </c>
      <c r="J888" s="6">
        <f t="shared" si="67"/>
        <v>0</v>
      </c>
      <c r="K888" s="4" t="str">
        <f t="shared" si="68"/>
        <v/>
      </c>
      <c r="L888" s="4" t="str">
        <f t="shared" si="69"/>
        <v/>
      </c>
      <c r="M888" s="4" t="b" cm="1">
        <f t="array" ref="M888">IF(H888="",FALSE,SUMPRODUCT(--(H$1:H887=H888))&gt;0)</f>
        <v>0</v>
      </c>
    </row>
    <row r="889" spans="1:13" x14ac:dyDescent="0.25">
      <c r="A889" s="9" t="str">
        <f>IF(OR(B889="",M889,G889="— ignored"),"",MAX(A$1:A888)+1)</f>
        <v/>
      </c>
      <c r="B889" s="10"/>
      <c r="C889" s="11" t="str">
        <f>IF(I889="","",ROUND((I889+0.5*MAX(0,CEILING(ROUND((MAX(C$1:C888)-1/48-I889)/0.5,6),1)))*1440,0)/1440)</f>
        <v/>
      </c>
      <c r="D889" s="9" t="str" cm="1">
        <f t="array" ref="D889">IF(H889="","",IFERROR(INDEX(Log!$C$19:$G$19,VALUE(MID(H889,FIND("#",H889)+1,1))),""))</f>
        <v/>
      </c>
      <c r="E889" s="9" t="str" cm="1">
        <f t="array" ref="E889">IF(OR(H889="",M889),"",IFERROR(_xlfn.LET(_xlpm.t,SUBSTITUTE(UPPER(H889),"م","M"),_xlpm.u,SUBSTITUTE(_xlpm.t,"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89" s="12"/>
      <c r="G889" s="13" t="str">
        <f>IF(B889="","",IF(M889,"⚠ Duplicate (not counted)",IF(AND(I889="",D889="",E889=""),"— ignored",IF(C889="","⚠ Time",IF(D889="","⚠ Plant",IF(E889="","⚠ Quantity",IF(AND(ISNUMBER(L889),COUNTIF(L$1:L888,L889)&gt;0),"⚠ Same serial "&amp;L889,IF(AND(ISNUMBER(L889),L889&gt;MIN($L$2:$L$1001),COUNTIF($L$2:$L$1001,L889-1)=0,COUNTIF($L$2:$L$1001,L889-2)&lt;2),"⚠ Missing serial "&amp;(L889-1),IF(AND(MAX(K$1:K888)&gt;0,N(K889)-MAX(K$1:K888)&gt;180),"⚠ Gap &gt; 3h",IF(C889-I889&gt;=0.99,"next day",IF(C889-I889&gt;0.4,"12h → 24h","")))))))))))</f>
        <v/>
      </c>
      <c r="H889" s="4" t="str">
        <f t="shared" si="65"/>
        <v/>
      </c>
      <c r="I889" s="5" t="str">
        <f t="shared" si="66"/>
        <v/>
      </c>
      <c r="J889" s="6">
        <f t="shared" si="67"/>
        <v>0</v>
      </c>
      <c r="K889" s="4" t="str">
        <f t="shared" si="68"/>
        <v/>
      </c>
      <c r="L889" s="4" t="str">
        <f t="shared" si="69"/>
        <v/>
      </c>
      <c r="M889" s="4" t="b" cm="1">
        <f t="array" ref="M889">IF(H889="",FALSE,SUMPRODUCT(--(H$1:H888=H889))&gt;0)</f>
        <v>0</v>
      </c>
    </row>
    <row r="890" spans="1:13" x14ac:dyDescent="0.25">
      <c r="A890" s="9" t="str">
        <f>IF(OR(B890="",M890,G890="— ignored"),"",MAX(A$1:A889)+1)</f>
        <v/>
      </c>
      <c r="B890" s="10"/>
      <c r="C890" s="11" t="str">
        <f>IF(I890="","",ROUND((I890+0.5*MAX(0,CEILING(ROUND((MAX(C$1:C889)-1/48-I890)/0.5,6),1)))*1440,0)/1440)</f>
        <v/>
      </c>
      <c r="D890" s="9" t="str" cm="1">
        <f t="array" ref="D890">IF(H890="","",IFERROR(INDEX(Log!$C$19:$G$19,VALUE(MID(H890,FIND("#",H890)+1,1))),""))</f>
        <v/>
      </c>
      <c r="E890" s="9" t="str" cm="1">
        <f t="array" ref="E890">IF(OR(H890="",M890),"",IFERROR(_xlfn.LET(_xlpm.t,SUBSTITUTE(UPPER(H890),"م","M"),_xlpm.u,SUBSTITUTE(_xlpm.t,"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90" s="12"/>
      <c r="G890" s="13" t="str">
        <f>IF(B890="","",IF(M890,"⚠ Duplicate (not counted)",IF(AND(I890="",D890="",E890=""),"— ignored",IF(C890="","⚠ Time",IF(D890="","⚠ Plant",IF(E890="","⚠ Quantity",IF(AND(ISNUMBER(L890),COUNTIF(L$1:L889,L890)&gt;0),"⚠ Same serial "&amp;L890,IF(AND(ISNUMBER(L890),L890&gt;MIN($L$2:$L$1001),COUNTIF($L$2:$L$1001,L890-1)=0,COUNTIF($L$2:$L$1001,L890-2)&lt;2),"⚠ Missing serial "&amp;(L890-1),IF(AND(MAX(K$1:K889)&gt;0,N(K890)-MAX(K$1:K889)&gt;180),"⚠ Gap &gt; 3h",IF(C890-I890&gt;=0.99,"next day",IF(C890-I890&gt;0.4,"12h → 24h","")))))))))))</f>
        <v/>
      </c>
      <c r="H890" s="4" t="str">
        <f t="shared" si="65"/>
        <v/>
      </c>
      <c r="I890" s="5" t="str">
        <f t="shared" si="66"/>
        <v/>
      </c>
      <c r="J890" s="6">
        <f t="shared" si="67"/>
        <v>0</v>
      </c>
      <c r="K890" s="4" t="str">
        <f t="shared" si="68"/>
        <v/>
      </c>
      <c r="L890" s="4" t="str">
        <f t="shared" si="69"/>
        <v/>
      </c>
      <c r="M890" s="4" t="b" cm="1">
        <f t="array" ref="M890">IF(H890="",FALSE,SUMPRODUCT(--(H$1:H889=H890))&gt;0)</f>
        <v>0</v>
      </c>
    </row>
    <row r="891" spans="1:13" x14ac:dyDescent="0.25">
      <c r="A891" s="9" t="str">
        <f>IF(OR(B891="",M891,G891="— ignored"),"",MAX(A$1:A890)+1)</f>
        <v/>
      </c>
      <c r="B891" s="10"/>
      <c r="C891" s="11" t="str">
        <f>IF(I891="","",ROUND((I891+0.5*MAX(0,CEILING(ROUND((MAX(C$1:C890)-1/48-I891)/0.5,6),1)))*1440,0)/1440)</f>
        <v/>
      </c>
      <c r="D891" s="9" t="str" cm="1">
        <f t="array" ref="D891">IF(H891="","",IFERROR(INDEX(Log!$C$19:$G$19,VALUE(MID(H891,FIND("#",H891)+1,1))),""))</f>
        <v/>
      </c>
      <c r="E891" s="9" t="str" cm="1">
        <f t="array" ref="E891">IF(OR(H891="",M891),"",IFERROR(_xlfn.LET(_xlpm.t,SUBSTITUTE(UPPER(H891),"م","M"),_xlpm.u,SUBSTITUTE(_xlpm.t,"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91" s="12"/>
      <c r="G891" s="13" t="str">
        <f>IF(B891="","",IF(M891,"⚠ Duplicate (not counted)",IF(AND(I891="",D891="",E891=""),"— ignored",IF(C891="","⚠ Time",IF(D891="","⚠ Plant",IF(E891="","⚠ Quantity",IF(AND(ISNUMBER(L891),COUNTIF(L$1:L890,L891)&gt;0),"⚠ Same serial "&amp;L891,IF(AND(ISNUMBER(L891),L891&gt;MIN($L$2:$L$1001),COUNTIF($L$2:$L$1001,L891-1)=0,COUNTIF($L$2:$L$1001,L891-2)&lt;2),"⚠ Missing serial "&amp;(L891-1),IF(AND(MAX(K$1:K890)&gt;0,N(K891)-MAX(K$1:K890)&gt;180),"⚠ Gap &gt; 3h",IF(C891-I891&gt;=0.99,"next day",IF(C891-I891&gt;0.4,"12h → 24h","")))))))))))</f>
        <v/>
      </c>
      <c r="H891" s="4" t="str">
        <f t="shared" si="65"/>
        <v/>
      </c>
      <c r="I891" s="5" t="str">
        <f t="shared" si="66"/>
        <v/>
      </c>
      <c r="J891" s="6">
        <f t="shared" si="67"/>
        <v>0</v>
      </c>
      <c r="K891" s="4" t="str">
        <f t="shared" si="68"/>
        <v/>
      </c>
      <c r="L891" s="4" t="str">
        <f t="shared" si="69"/>
        <v/>
      </c>
      <c r="M891" s="4" t="b" cm="1">
        <f t="array" ref="M891">IF(H891="",FALSE,SUMPRODUCT(--(H$1:H890=H891))&gt;0)</f>
        <v>0</v>
      </c>
    </row>
    <row r="892" spans="1:13" x14ac:dyDescent="0.25">
      <c r="A892" s="9" t="str">
        <f>IF(OR(B892="",M892,G892="— ignored"),"",MAX(A$1:A891)+1)</f>
        <v/>
      </c>
      <c r="B892" s="10"/>
      <c r="C892" s="11" t="str">
        <f>IF(I892="","",ROUND((I892+0.5*MAX(0,CEILING(ROUND((MAX(C$1:C891)-1/48-I892)/0.5,6),1)))*1440,0)/1440)</f>
        <v/>
      </c>
      <c r="D892" s="9" t="str" cm="1">
        <f t="array" ref="D892">IF(H892="","",IFERROR(INDEX(Log!$C$19:$G$19,VALUE(MID(H892,FIND("#",H892)+1,1))),""))</f>
        <v/>
      </c>
      <c r="E892" s="9" t="str" cm="1">
        <f t="array" ref="E892">IF(OR(H892="",M892),"",IFERROR(_xlfn.LET(_xlpm.t,SUBSTITUTE(UPPER(H892),"م","M"),_xlpm.u,SUBSTITUTE(_xlpm.t,"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92" s="12"/>
      <c r="G892" s="13" t="str">
        <f>IF(B892="","",IF(M892,"⚠ Duplicate (not counted)",IF(AND(I892="",D892="",E892=""),"— ignored",IF(C892="","⚠ Time",IF(D892="","⚠ Plant",IF(E892="","⚠ Quantity",IF(AND(ISNUMBER(L892),COUNTIF(L$1:L891,L892)&gt;0),"⚠ Same serial "&amp;L892,IF(AND(ISNUMBER(L892),L892&gt;MIN($L$2:$L$1001),COUNTIF($L$2:$L$1001,L892-1)=0,COUNTIF($L$2:$L$1001,L892-2)&lt;2),"⚠ Missing serial "&amp;(L892-1),IF(AND(MAX(K$1:K891)&gt;0,N(K892)-MAX(K$1:K891)&gt;180),"⚠ Gap &gt; 3h",IF(C892-I892&gt;=0.99,"next day",IF(C892-I892&gt;0.4,"12h → 24h","")))))))))))</f>
        <v/>
      </c>
      <c r="H892" s="4" t="str">
        <f t="shared" si="65"/>
        <v/>
      </c>
      <c r="I892" s="5" t="str">
        <f t="shared" si="66"/>
        <v/>
      </c>
      <c r="J892" s="6">
        <f t="shared" si="67"/>
        <v>0</v>
      </c>
      <c r="K892" s="4" t="str">
        <f t="shared" si="68"/>
        <v/>
      </c>
      <c r="L892" s="4" t="str">
        <f t="shared" si="69"/>
        <v/>
      </c>
      <c r="M892" s="4" t="b" cm="1">
        <f t="array" ref="M892">IF(H892="",FALSE,SUMPRODUCT(--(H$1:H891=H892))&gt;0)</f>
        <v>0</v>
      </c>
    </row>
    <row r="893" spans="1:13" x14ac:dyDescent="0.25">
      <c r="A893" s="9" t="str">
        <f>IF(OR(B893="",M893,G893="— ignored"),"",MAX(A$1:A892)+1)</f>
        <v/>
      </c>
      <c r="B893" s="10"/>
      <c r="C893" s="11" t="str">
        <f>IF(I893="","",ROUND((I893+0.5*MAX(0,CEILING(ROUND((MAX(C$1:C892)-1/48-I893)/0.5,6),1)))*1440,0)/1440)</f>
        <v/>
      </c>
      <c r="D893" s="9" t="str" cm="1">
        <f t="array" ref="D893">IF(H893="","",IFERROR(INDEX(Log!$C$19:$G$19,VALUE(MID(H893,FIND("#",H893)+1,1))),""))</f>
        <v/>
      </c>
      <c r="E893" s="9" t="str" cm="1">
        <f t="array" ref="E893">IF(OR(H893="",M893),"",IFERROR(_xlfn.LET(_xlpm.t,SUBSTITUTE(UPPER(H893),"م","M"),_xlpm.u,SUBSTITUTE(_xlpm.t,"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93" s="12"/>
      <c r="G893" s="13" t="str">
        <f>IF(B893="","",IF(M893,"⚠ Duplicate (not counted)",IF(AND(I893="",D893="",E893=""),"— ignored",IF(C893="","⚠ Time",IF(D893="","⚠ Plant",IF(E893="","⚠ Quantity",IF(AND(ISNUMBER(L893),COUNTIF(L$1:L892,L893)&gt;0),"⚠ Same serial "&amp;L893,IF(AND(ISNUMBER(L893),L893&gt;MIN($L$2:$L$1001),COUNTIF($L$2:$L$1001,L893-1)=0,COUNTIF($L$2:$L$1001,L893-2)&lt;2),"⚠ Missing serial "&amp;(L893-1),IF(AND(MAX(K$1:K892)&gt;0,N(K893)-MAX(K$1:K892)&gt;180),"⚠ Gap &gt; 3h",IF(C893-I893&gt;=0.99,"next day",IF(C893-I893&gt;0.4,"12h → 24h","")))))))))))</f>
        <v/>
      </c>
      <c r="H893" s="4" t="str">
        <f t="shared" si="65"/>
        <v/>
      </c>
      <c r="I893" s="5" t="str">
        <f t="shared" si="66"/>
        <v/>
      </c>
      <c r="J893" s="6">
        <f t="shared" si="67"/>
        <v>0</v>
      </c>
      <c r="K893" s="4" t="str">
        <f t="shared" si="68"/>
        <v/>
      </c>
      <c r="L893" s="4" t="str">
        <f t="shared" si="69"/>
        <v/>
      </c>
      <c r="M893" s="4" t="b" cm="1">
        <f t="array" ref="M893">IF(H893="",FALSE,SUMPRODUCT(--(H$1:H892=H893))&gt;0)</f>
        <v>0</v>
      </c>
    </row>
    <row r="894" spans="1:13" x14ac:dyDescent="0.25">
      <c r="A894" s="9" t="str">
        <f>IF(OR(B894="",M894,G894="— ignored"),"",MAX(A$1:A893)+1)</f>
        <v/>
      </c>
      <c r="B894" s="10"/>
      <c r="C894" s="11" t="str">
        <f>IF(I894="","",ROUND((I894+0.5*MAX(0,CEILING(ROUND((MAX(C$1:C893)-1/48-I894)/0.5,6),1)))*1440,0)/1440)</f>
        <v/>
      </c>
      <c r="D894" s="9" t="str" cm="1">
        <f t="array" ref="D894">IF(H894="","",IFERROR(INDEX(Log!$C$19:$G$19,VALUE(MID(H894,FIND("#",H894)+1,1))),""))</f>
        <v/>
      </c>
      <c r="E894" s="9" t="str" cm="1">
        <f t="array" ref="E894">IF(OR(H894="",M894),"",IFERROR(_xlfn.LET(_xlpm.t,SUBSTITUTE(UPPER(H894),"م","M"),_xlpm.u,SUBSTITUTE(_xlpm.t,"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94" s="12"/>
      <c r="G894" s="13" t="str">
        <f>IF(B894="","",IF(M894,"⚠ Duplicate (not counted)",IF(AND(I894="",D894="",E894=""),"— ignored",IF(C894="","⚠ Time",IF(D894="","⚠ Plant",IF(E894="","⚠ Quantity",IF(AND(ISNUMBER(L894),COUNTIF(L$1:L893,L894)&gt;0),"⚠ Same serial "&amp;L894,IF(AND(ISNUMBER(L894),L894&gt;MIN($L$2:$L$1001),COUNTIF($L$2:$L$1001,L894-1)=0,COUNTIF($L$2:$L$1001,L894-2)&lt;2),"⚠ Missing serial "&amp;(L894-1),IF(AND(MAX(K$1:K893)&gt;0,N(K894)-MAX(K$1:K893)&gt;180),"⚠ Gap &gt; 3h",IF(C894-I894&gt;=0.99,"next day",IF(C894-I894&gt;0.4,"12h → 24h","")))))))))))</f>
        <v/>
      </c>
      <c r="H894" s="4" t="str">
        <f t="shared" si="65"/>
        <v/>
      </c>
      <c r="I894" s="5" t="str">
        <f t="shared" si="66"/>
        <v/>
      </c>
      <c r="J894" s="6">
        <f t="shared" si="67"/>
        <v>0</v>
      </c>
      <c r="K894" s="4" t="str">
        <f t="shared" si="68"/>
        <v/>
      </c>
      <c r="L894" s="4" t="str">
        <f t="shared" si="69"/>
        <v/>
      </c>
      <c r="M894" s="4" t="b" cm="1">
        <f t="array" ref="M894">IF(H894="",FALSE,SUMPRODUCT(--(H$1:H893=H894))&gt;0)</f>
        <v>0</v>
      </c>
    </row>
    <row r="895" spans="1:13" x14ac:dyDescent="0.25">
      <c r="A895" s="9" t="str">
        <f>IF(OR(B895="",M895,G895="— ignored"),"",MAX(A$1:A894)+1)</f>
        <v/>
      </c>
      <c r="B895" s="10"/>
      <c r="C895" s="11" t="str">
        <f>IF(I895="","",ROUND((I895+0.5*MAX(0,CEILING(ROUND((MAX(C$1:C894)-1/48-I895)/0.5,6),1)))*1440,0)/1440)</f>
        <v/>
      </c>
      <c r="D895" s="9" t="str" cm="1">
        <f t="array" ref="D895">IF(H895="","",IFERROR(INDEX(Log!$C$19:$G$19,VALUE(MID(H895,FIND("#",H895)+1,1))),""))</f>
        <v/>
      </c>
      <c r="E895" s="9" t="str" cm="1">
        <f t="array" ref="E895">IF(OR(H895="",M895),"",IFERROR(_xlfn.LET(_xlpm.t,SUBSTITUTE(UPPER(H895),"م","M"),_xlpm.u,SUBSTITUTE(_xlpm.t,"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95" s="12"/>
      <c r="G895" s="13" t="str">
        <f>IF(B895="","",IF(M895,"⚠ Duplicate (not counted)",IF(AND(I895="",D895="",E895=""),"— ignored",IF(C895="","⚠ Time",IF(D895="","⚠ Plant",IF(E895="","⚠ Quantity",IF(AND(ISNUMBER(L895),COUNTIF(L$1:L894,L895)&gt;0),"⚠ Same serial "&amp;L895,IF(AND(ISNUMBER(L895),L895&gt;MIN($L$2:$L$1001),COUNTIF($L$2:$L$1001,L895-1)=0,COUNTIF($L$2:$L$1001,L895-2)&lt;2),"⚠ Missing serial "&amp;(L895-1),IF(AND(MAX(K$1:K894)&gt;0,N(K895)-MAX(K$1:K894)&gt;180),"⚠ Gap &gt; 3h",IF(C895-I895&gt;=0.99,"next day",IF(C895-I895&gt;0.4,"12h → 24h","")))))))))))</f>
        <v/>
      </c>
      <c r="H895" s="4" t="str">
        <f t="shared" si="65"/>
        <v/>
      </c>
      <c r="I895" s="5" t="str">
        <f t="shared" si="66"/>
        <v/>
      </c>
      <c r="J895" s="6">
        <f t="shared" si="67"/>
        <v>0</v>
      </c>
      <c r="K895" s="4" t="str">
        <f t="shared" si="68"/>
        <v/>
      </c>
      <c r="L895" s="4" t="str">
        <f t="shared" si="69"/>
        <v/>
      </c>
      <c r="M895" s="4" t="b" cm="1">
        <f t="array" ref="M895">IF(H895="",FALSE,SUMPRODUCT(--(H$1:H894=H895))&gt;0)</f>
        <v>0</v>
      </c>
    </row>
    <row r="896" spans="1:13" x14ac:dyDescent="0.25">
      <c r="A896" s="9" t="str">
        <f>IF(OR(B896="",M896,G896="— ignored"),"",MAX(A$1:A895)+1)</f>
        <v/>
      </c>
      <c r="B896" s="10"/>
      <c r="C896" s="11" t="str">
        <f>IF(I896="","",ROUND((I896+0.5*MAX(0,CEILING(ROUND((MAX(C$1:C895)-1/48-I896)/0.5,6),1)))*1440,0)/1440)</f>
        <v/>
      </c>
      <c r="D896" s="9" t="str" cm="1">
        <f t="array" ref="D896">IF(H896="","",IFERROR(INDEX(Log!$C$19:$G$19,VALUE(MID(H896,FIND("#",H896)+1,1))),""))</f>
        <v/>
      </c>
      <c r="E896" s="9" t="str" cm="1">
        <f t="array" ref="E896">IF(OR(H896="",M896),"",IFERROR(_xlfn.LET(_xlpm.t,SUBSTITUTE(UPPER(H896),"م","M"),_xlpm.u,SUBSTITUTE(_xlpm.t,"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96" s="12"/>
      <c r="G896" s="13" t="str">
        <f>IF(B896="","",IF(M896,"⚠ Duplicate (not counted)",IF(AND(I896="",D896="",E896=""),"— ignored",IF(C896="","⚠ Time",IF(D896="","⚠ Plant",IF(E896="","⚠ Quantity",IF(AND(ISNUMBER(L896),COUNTIF(L$1:L895,L896)&gt;0),"⚠ Same serial "&amp;L896,IF(AND(ISNUMBER(L896),L896&gt;MIN($L$2:$L$1001),COUNTIF($L$2:$L$1001,L896-1)=0,COUNTIF($L$2:$L$1001,L896-2)&lt;2),"⚠ Missing serial "&amp;(L896-1),IF(AND(MAX(K$1:K895)&gt;0,N(K896)-MAX(K$1:K895)&gt;180),"⚠ Gap &gt; 3h",IF(C896-I896&gt;=0.99,"next day",IF(C896-I896&gt;0.4,"12h → 24h","")))))))))))</f>
        <v/>
      </c>
      <c r="H896" s="4" t="str">
        <f t="shared" si="65"/>
        <v/>
      </c>
      <c r="I896" s="5" t="str">
        <f t="shared" si="66"/>
        <v/>
      </c>
      <c r="J896" s="6">
        <f t="shared" si="67"/>
        <v>0</v>
      </c>
      <c r="K896" s="4" t="str">
        <f t="shared" si="68"/>
        <v/>
      </c>
      <c r="L896" s="4" t="str">
        <f t="shared" si="69"/>
        <v/>
      </c>
      <c r="M896" s="4" t="b" cm="1">
        <f t="array" ref="M896">IF(H896="",FALSE,SUMPRODUCT(--(H$1:H895=H896))&gt;0)</f>
        <v>0</v>
      </c>
    </row>
    <row r="897" spans="1:13" x14ac:dyDescent="0.25">
      <c r="A897" s="9" t="str">
        <f>IF(OR(B897="",M897,G897="— ignored"),"",MAX(A$1:A896)+1)</f>
        <v/>
      </c>
      <c r="B897" s="10"/>
      <c r="C897" s="11" t="str">
        <f>IF(I897="","",ROUND((I897+0.5*MAX(0,CEILING(ROUND((MAX(C$1:C896)-1/48-I897)/0.5,6),1)))*1440,0)/1440)</f>
        <v/>
      </c>
      <c r="D897" s="9" t="str" cm="1">
        <f t="array" ref="D897">IF(H897="","",IFERROR(INDEX(Log!$C$19:$G$19,VALUE(MID(H897,FIND("#",H897)+1,1))),""))</f>
        <v/>
      </c>
      <c r="E897" s="9" t="str" cm="1">
        <f t="array" ref="E897">IF(OR(H897="",M897),"",IFERROR(_xlfn.LET(_xlpm.t,SUBSTITUTE(UPPER(H897),"م","M"),_xlpm.u,SUBSTITUTE(_xlpm.t,"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97" s="12"/>
      <c r="G897" s="13" t="str">
        <f>IF(B897="","",IF(M897,"⚠ Duplicate (not counted)",IF(AND(I897="",D897="",E897=""),"— ignored",IF(C897="","⚠ Time",IF(D897="","⚠ Plant",IF(E897="","⚠ Quantity",IF(AND(ISNUMBER(L897),COUNTIF(L$1:L896,L897)&gt;0),"⚠ Same serial "&amp;L897,IF(AND(ISNUMBER(L897),L897&gt;MIN($L$2:$L$1001),COUNTIF($L$2:$L$1001,L897-1)=0,COUNTIF($L$2:$L$1001,L897-2)&lt;2),"⚠ Missing serial "&amp;(L897-1),IF(AND(MAX(K$1:K896)&gt;0,N(K897)-MAX(K$1:K896)&gt;180),"⚠ Gap &gt; 3h",IF(C897-I897&gt;=0.99,"next day",IF(C897-I897&gt;0.4,"12h → 24h","")))))))))))</f>
        <v/>
      </c>
      <c r="H897" s="4" t="str">
        <f t="shared" si="65"/>
        <v/>
      </c>
      <c r="I897" s="5" t="str">
        <f t="shared" si="66"/>
        <v/>
      </c>
      <c r="J897" s="6">
        <f t="shared" si="67"/>
        <v>0</v>
      </c>
      <c r="K897" s="4" t="str">
        <f t="shared" si="68"/>
        <v/>
      </c>
      <c r="L897" s="4" t="str">
        <f t="shared" si="69"/>
        <v/>
      </c>
      <c r="M897" s="4" t="b" cm="1">
        <f t="array" ref="M897">IF(H897="",FALSE,SUMPRODUCT(--(H$1:H896=H897))&gt;0)</f>
        <v>0</v>
      </c>
    </row>
    <row r="898" spans="1:13" x14ac:dyDescent="0.25">
      <c r="A898" s="9" t="str">
        <f>IF(OR(B898="",M898,G898="— ignored"),"",MAX(A$1:A897)+1)</f>
        <v/>
      </c>
      <c r="B898" s="10"/>
      <c r="C898" s="11" t="str">
        <f>IF(I898="","",ROUND((I898+0.5*MAX(0,CEILING(ROUND((MAX(C$1:C897)-1/48-I898)/0.5,6),1)))*1440,0)/1440)</f>
        <v/>
      </c>
      <c r="D898" s="9" t="str" cm="1">
        <f t="array" ref="D898">IF(H898="","",IFERROR(INDEX(Log!$C$19:$G$19,VALUE(MID(H898,FIND("#",H898)+1,1))),""))</f>
        <v/>
      </c>
      <c r="E898" s="9" t="str" cm="1">
        <f t="array" ref="E898">IF(OR(H898="",M898),"",IFERROR(_xlfn.LET(_xlpm.t,SUBSTITUTE(UPPER(H898),"م","M"),_xlpm.u,SUBSTITUTE(_xlpm.t,"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98" s="12"/>
      <c r="G898" s="13" t="str">
        <f>IF(B898="","",IF(M898,"⚠ Duplicate (not counted)",IF(AND(I898="",D898="",E898=""),"— ignored",IF(C898="","⚠ Time",IF(D898="","⚠ Plant",IF(E898="","⚠ Quantity",IF(AND(ISNUMBER(L898),COUNTIF(L$1:L897,L898)&gt;0),"⚠ Same serial "&amp;L898,IF(AND(ISNUMBER(L898),L898&gt;MIN($L$2:$L$1001),COUNTIF($L$2:$L$1001,L898-1)=0,COUNTIF($L$2:$L$1001,L898-2)&lt;2),"⚠ Missing serial "&amp;(L898-1),IF(AND(MAX(K$1:K897)&gt;0,N(K898)-MAX(K$1:K897)&gt;180),"⚠ Gap &gt; 3h",IF(C898-I898&gt;=0.99,"next day",IF(C898-I898&gt;0.4,"12h → 24h","")))))))))))</f>
        <v/>
      </c>
      <c r="H898" s="4" t="str">
        <f t="shared" ref="H898:H961" si="70">IF(B898="","",_xlfn.LET(_xlpm.t,TRIM(B898),IF(LEFT(_xlpm.t,1)="[",IFERROR(TRIM(MID(_xlpm.t,FIND(": ",_xlpm.t,FIND("]",_xlpm.t))+2,500)),_xlpm.t),_xlpm.t)))</f>
        <v/>
      </c>
      <c r="I898" s="5" t="str">
        <f t="shared" ref="I898:I961" si="71">IF(H898="","",IFERROR(TIMEVALUE(TRIM(SUBSTITUTE(SUBSTITUTE(MID(H898,SEARCH(":",H898)-2,5),".",""),"*",""))),""))</f>
        <v/>
      </c>
      <c r="J898" s="6">
        <f t="shared" ref="J898:J961" si="72">IF(OR(B898="",F898="",M898),0,IF(ISNUMBER(F898),F898,N(E898)))</f>
        <v>0</v>
      </c>
      <c r="K898" s="4" t="str">
        <f t="shared" ref="K898:K961" si="73">IF(OR(C898="",M898),"",ROUND(C898*1440,0))</f>
        <v/>
      </c>
      <c r="L898" s="4" t="str">
        <f t="shared" ref="L898:L961" si="74">IF(OR(H898="",AND(I898="",D898="")),"",IFERROR(_xlfn.LET(_xlpm.t,TRIM(SUBSTITUTE(SUBSTITUTE(H898,"*",""),"_","")),VALUE(SUBSTITUTE(LEFT(_xlpm.t,FIND(" ",_xlpm.t&amp;" ")-1),".",""))),""))</f>
        <v/>
      </c>
      <c r="M898" s="4" t="b" cm="1">
        <f t="array" ref="M898">IF(H898="",FALSE,SUMPRODUCT(--(H$1:H897=H898))&gt;0)</f>
        <v>0</v>
      </c>
    </row>
    <row r="899" spans="1:13" x14ac:dyDescent="0.25">
      <c r="A899" s="9" t="str">
        <f>IF(OR(B899="",M899,G899="— ignored"),"",MAX(A$1:A898)+1)</f>
        <v/>
      </c>
      <c r="B899" s="10"/>
      <c r="C899" s="11" t="str">
        <f>IF(I899="","",ROUND((I899+0.5*MAX(0,CEILING(ROUND((MAX(C$1:C898)-1/48-I899)/0.5,6),1)))*1440,0)/1440)</f>
        <v/>
      </c>
      <c r="D899" s="9" t="str" cm="1">
        <f t="array" ref="D899">IF(H899="","",IFERROR(INDEX(Log!$C$19:$G$19,VALUE(MID(H899,FIND("#",H899)+1,1))),""))</f>
        <v/>
      </c>
      <c r="E899" s="9" t="str" cm="1">
        <f t="array" ref="E899">IF(OR(H899="",M899),"",IFERROR(_xlfn.LET(_xlpm.t,SUBSTITUTE(UPPER(H899),"م","M"),_xlpm.u,SUBSTITUTE(_xlpm.t,"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899" s="12"/>
      <c r="G899" s="13" t="str">
        <f>IF(B899="","",IF(M899,"⚠ Duplicate (not counted)",IF(AND(I899="",D899="",E899=""),"— ignored",IF(C899="","⚠ Time",IF(D899="","⚠ Plant",IF(E899="","⚠ Quantity",IF(AND(ISNUMBER(L899),COUNTIF(L$1:L898,L899)&gt;0),"⚠ Same serial "&amp;L899,IF(AND(ISNUMBER(L899),L899&gt;MIN($L$2:$L$1001),COUNTIF($L$2:$L$1001,L899-1)=0,COUNTIF($L$2:$L$1001,L899-2)&lt;2),"⚠ Missing serial "&amp;(L899-1),IF(AND(MAX(K$1:K898)&gt;0,N(K899)-MAX(K$1:K898)&gt;180),"⚠ Gap &gt; 3h",IF(C899-I899&gt;=0.99,"next day",IF(C899-I899&gt;0.4,"12h → 24h","")))))))))))</f>
        <v/>
      </c>
      <c r="H899" s="4" t="str">
        <f t="shared" si="70"/>
        <v/>
      </c>
      <c r="I899" s="5" t="str">
        <f t="shared" si="71"/>
        <v/>
      </c>
      <c r="J899" s="6">
        <f t="shared" si="72"/>
        <v>0</v>
      </c>
      <c r="K899" s="4" t="str">
        <f t="shared" si="73"/>
        <v/>
      </c>
      <c r="L899" s="4" t="str">
        <f t="shared" si="74"/>
        <v/>
      </c>
      <c r="M899" s="4" t="b" cm="1">
        <f t="array" ref="M899">IF(H899="",FALSE,SUMPRODUCT(--(H$1:H898=H899))&gt;0)</f>
        <v>0</v>
      </c>
    </row>
    <row r="900" spans="1:13" x14ac:dyDescent="0.25">
      <c r="A900" s="9" t="str">
        <f>IF(OR(B900="",M900,G900="— ignored"),"",MAX(A$1:A899)+1)</f>
        <v/>
      </c>
      <c r="B900" s="10"/>
      <c r="C900" s="11" t="str">
        <f>IF(I900="","",ROUND((I900+0.5*MAX(0,CEILING(ROUND((MAX(C$1:C899)-1/48-I900)/0.5,6),1)))*1440,0)/1440)</f>
        <v/>
      </c>
      <c r="D900" s="9" t="str" cm="1">
        <f t="array" ref="D900">IF(H900="","",IFERROR(INDEX(Log!$C$19:$G$19,VALUE(MID(H900,FIND("#",H900)+1,1))),""))</f>
        <v/>
      </c>
      <c r="E900" s="9" t="str" cm="1">
        <f t="array" ref="E900">IF(OR(H900="",M900),"",IFERROR(_xlfn.LET(_xlpm.t,SUBSTITUTE(UPPER(H900),"م","M"),_xlpm.u,SUBSTITUTE(_xlpm.t,"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900" s="12"/>
      <c r="G900" s="13" t="str">
        <f>IF(B900="","",IF(M900,"⚠ Duplicate (not counted)",IF(AND(I900="",D900="",E900=""),"— ignored",IF(C900="","⚠ Time",IF(D900="","⚠ Plant",IF(E900="","⚠ Quantity",IF(AND(ISNUMBER(L900),COUNTIF(L$1:L899,L900)&gt;0),"⚠ Same serial "&amp;L900,IF(AND(ISNUMBER(L900),L900&gt;MIN($L$2:$L$1001),COUNTIF($L$2:$L$1001,L900-1)=0,COUNTIF($L$2:$L$1001,L900-2)&lt;2),"⚠ Missing serial "&amp;(L900-1),IF(AND(MAX(K$1:K899)&gt;0,N(K900)-MAX(K$1:K899)&gt;180),"⚠ Gap &gt; 3h",IF(C900-I900&gt;=0.99,"next day",IF(C900-I900&gt;0.4,"12h → 24h","")))))))))))</f>
        <v/>
      </c>
      <c r="H900" s="4" t="str">
        <f t="shared" si="70"/>
        <v/>
      </c>
      <c r="I900" s="5" t="str">
        <f t="shared" si="71"/>
        <v/>
      </c>
      <c r="J900" s="6">
        <f t="shared" si="72"/>
        <v>0</v>
      </c>
      <c r="K900" s="4" t="str">
        <f t="shared" si="73"/>
        <v/>
      </c>
      <c r="L900" s="4" t="str">
        <f t="shared" si="74"/>
        <v/>
      </c>
      <c r="M900" s="4" t="b" cm="1">
        <f t="array" ref="M900">IF(H900="",FALSE,SUMPRODUCT(--(H$1:H899=H900))&gt;0)</f>
        <v>0</v>
      </c>
    </row>
    <row r="901" spans="1:13" x14ac:dyDescent="0.25">
      <c r="A901" s="9" t="str">
        <f>IF(OR(B901="",M901,G901="— ignored"),"",MAX(A$1:A900)+1)</f>
        <v/>
      </c>
      <c r="B901" s="10"/>
      <c r="C901" s="11" t="str">
        <f>IF(I901="","",ROUND((I901+0.5*MAX(0,CEILING(ROUND((MAX(C$1:C900)-1/48-I901)/0.5,6),1)))*1440,0)/1440)</f>
        <v/>
      </c>
      <c r="D901" s="9" t="str" cm="1">
        <f t="array" ref="D901">IF(H901="","",IFERROR(INDEX(Log!$C$19:$G$19,VALUE(MID(H901,FIND("#",H901)+1,1))),""))</f>
        <v/>
      </c>
      <c r="E901" s="9" t="str" cm="1">
        <f t="array" ref="E901">IF(OR(H901="",M901),"",IFERROR(_xlfn.LET(_xlpm.t,SUBSTITUTE(UPPER(H901),"م","M"),_xlpm.u,SUBSTITUTE(_xlpm.t,"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901" s="12"/>
      <c r="G901" s="13" t="str">
        <f>IF(B901="","",IF(M901,"⚠ Duplicate (not counted)",IF(AND(I901="",D901="",E901=""),"— ignored",IF(C901="","⚠ Time",IF(D901="","⚠ Plant",IF(E901="","⚠ Quantity",IF(AND(ISNUMBER(L901),COUNTIF(L$1:L900,L901)&gt;0),"⚠ Same serial "&amp;L901,IF(AND(ISNUMBER(L901),L901&gt;MIN($L$2:$L$1001),COUNTIF($L$2:$L$1001,L901-1)=0,COUNTIF($L$2:$L$1001,L901-2)&lt;2),"⚠ Missing serial "&amp;(L901-1),IF(AND(MAX(K$1:K900)&gt;0,N(K901)-MAX(K$1:K900)&gt;180),"⚠ Gap &gt; 3h",IF(C901-I901&gt;=0.99,"next day",IF(C901-I901&gt;0.4,"12h → 24h","")))))))))))</f>
        <v/>
      </c>
      <c r="H901" s="4" t="str">
        <f t="shared" si="70"/>
        <v/>
      </c>
      <c r="I901" s="5" t="str">
        <f t="shared" si="71"/>
        <v/>
      </c>
      <c r="J901" s="6">
        <f t="shared" si="72"/>
        <v>0</v>
      </c>
      <c r="K901" s="4" t="str">
        <f t="shared" si="73"/>
        <v/>
      </c>
      <c r="L901" s="4" t="str">
        <f t="shared" si="74"/>
        <v/>
      </c>
      <c r="M901" s="4" t="b" cm="1">
        <f t="array" ref="M901">IF(H901="",FALSE,SUMPRODUCT(--(H$1:H900=H901))&gt;0)</f>
        <v>0</v>
      </c>
    </row>
    <row r="902" spans="1:13" x14ac:dyDescent="0.25">
      <c r="A902" s="9" t="str">
        <f>IF(OR(B902="",M902,G902="— ignored"),"",MAX(A$1:A901)+1)</f>
        <v/>
      </c>
      <c r="B902" s="10"/>
      <c r="C902" s="11" t="str">
        <f>IF(I902="","",ROUND((I902+0.5*MAX(0,CEILING(ROUND((MAX(C$1:C901)-1/48-I902)/0.5,6),1)))*1440,0)/1440)</f>
        <v/>
      </c>
      <c r="D902" s="9" t="str" cm="1">
        <f t="array" ref="D902">IF(H902="","",IFERROR(INDEX(Log!$C$19:$G$19,VALUE(MID(H902,FIND("#",H902)+1,1))),""))</f>
        <v/>
      </c>
      <c r="E902" s="9" t="str" cm="1">
        <f t="array" ref="E902">IF(OR(H902="",M902),"",IFERROR(_xlfn.LET(_xlpm.t,SUBSTITUTE(UPPER(H902),"م","M"),_xlpm.u,SUBSTITUTE(_xlpm.t,"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902" s="12"/>
      <c r="G902" s="13" t="str">
        <f>IF(B902="","",IF(M902,"⚠ Duplicate (not counted)",IF(AND(I902="",D902="",E902=""),"— ignored",IF(C902="","⚠ Time",IF(D902="","⚠ Plant",IF(E902="","⚠ Quantity",IF(AND(ISNUMBER(L902),COUNTIF(L$1:L901,L902)&gt;0),"⚠ Same serial "&amp;L902,IF(AND(ISNUMBER(L902),L902&gt;MIN($L$2:$L$1001),COUNTIF($L$2:$L$1001,L902-1)=0,COUNTIF($L$2:$L$1001,L902-2)&lt;2),"⚠ Missing serial "&amp;(L902-1),IF(AND(MAX(K$1:K901)&gt;0,N(K902)-MAX(K$1:K901)&gt;180),"⚠ Gap &gt; 3h",IF(C902-I902&gt;=0.99,"next day",IF(C902-I902&gt;0.4,"12h → 24h","")))))))))))</f>
        <v/>
      </c>
      <c r="H902" s="4" t="str">
        <f t="shared" si="70"/>
        <v/>
      </c>
      <c r="I902" s="5" t="str">
        <f t="shared" si="71"/>
        <v/>
      </c>
      <c r="J902" s="6">
        <f t="shared" si="72"/>
        <v>0</v>
      </c>
      <c r="K902" s="4" t="str">
        <f t="shared" si="73"/>
        <v/>
      </c>
      <c r="L902" s="4" t="str">
        <f t="shared" si="74"/>
        <v/>
      </c>
      <c r="M902" s="4" t="b" cm="1">
        <f t="array" ref="M902">IF(H902="",FALSE,SUMPRODUCT(--(H$1:H901=H902))&gt;0)</f>
        <v>0</v>
      </c>
    </row>
    <row r="903" spans="1:13" x14ac:dyDescent="0.25">
      <c r="A903" s="9" t="str">
        <f>IF(OR(B903="",M903,G903="— ignored"),"",MAX(A$1:A902)+1)</f>
        <v/>
      </c>
      <c r="B903" s="10"/>
      <c r="C903" s="11" t="str">
        <f>IF(I903="","",ROUND((I903+0.5*MAX(0,CEILING(ROUND((MAX(C$1:C902)-1/48-I903)/0.5,6),1)))*1440,0)/1440)</f>
        <v/>
      </c>
      <c r="D903" s="9" t="str" cm="1">
        <f t="array" ref="D903">IF(H903="","",IFERROR(INDEX(Log!$C$19:$G$19,VALUE(MID(H903,FIND("#",H903)+1,1))),""))</f>
        <v/>
      </c>
      <c r="E903" s="9" t="str" cm="1">
        <f t="array" ref="E903">IF(OR(H903="",M903),"",IFERROR(_xlfn.LET(_xlpm.t,SUBSTITUTE(UPPER(H903),"م","M"),_xlpm.u,SUBSTITUTE(_xlpm.t,"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903" s="12"/>
      <c r="G903" s="13" t="str">
        <f>IF(B903="","",IF(M903,"⚠ Duplicate (not counted)",IF(AND(I903="",D903="",E903=""),"— ignored",IF(C903="","⚠ Time",IF(D903="","⚠ Plant",IF(E903="","⚠ Quantity",IF(AND(ISNUMBER(L903),COUNTIF(L$1:L902,L903)&gt;0),"⚠ Same serial "&amp;L903,IF(AND(ISNUMBER(L903),L903&gt;MIN($L$2:$L$1001),COUNTIF($L$2:$L$1001,L903-1)=0,COUNTIF($L$2:$L$1001,L903-2)&lt;2),"⚠ Missing serial "&amp;(L903-1),IF(AND(MAX(K$1:K902)&gt;0,N(K903)-MAX(K$1:K902)&gt;180),"⚠ Gap &gt; 3h",IF(C903-I903&gt;=0.99,"next day",IF(C903-I903&gt;0.4,"12h → 24h","")))))))))))</f>
        <v/>
      </c>
      <c r="H903" s="4" t="str">
        <f t="shared" si="70"/>
        <v/>
      </c>
      <c r="I903" s="5" t="str">
        <f t="shared" si="71"/>
        <v/>
      </c>
      <c r="J903" s="6">
        <f t="shared" si="72"/>
        <v>0</v>
      </c>
      <c r="K903" s="4" t="str">
        <f t="shared" si="73"/>
        <v/>
      </c>
      <c r="L903" s="4" t="str">
        <f t="shared" si="74"/>
        <v/>
      </c>
      <c r="M903" s="4" t="b" cm="1">
        <f t="array" ref="M903">IF(H903="",FALSE,SUMPRODUCT(--(H$1:H902=H903))&gt;0)</f>
        <v>0</v>
      </c>
    </row>
    <row r="904" spans="1:13" x14ac:dyDescent="0.25">
      <c r="A904" s="9" t="str">
        <f>IF(OR(B904="",M904,G904="— ignored"),"",MAX(A$1:A903)+1)</f>
        <v/>
      </c>
      <c r="B904" s="10"/>
      <c r="C904" s="11" t="str">
        <f>IF(I904="","",ROUND((I904+0.5*MAX(0,CEILING(ROUND((MAX(C$1:C903)-1/48-I904)/0.5,6),1)))*1440,0)/1440)</f>
        <v/>
      </c>
      <c r="D904" s="9" t="str" cm="1">
        <f t="array" ref="D904">IF(H904="","",IFERROR(INDEX(Log!$C$19:$G$19,VALUE(MID(H904,FIND("#",H904)+1,1))),""))</f>
        <v/>
      </c>
      <c r="E904" s="9" t="str" cm="1">
        <f t="array" ref="E904">IF(OR(H904="",M904),"",IFERROR(_xlfn.LET(_xlpm.t,SUBSTITUTE(UPPER(H904),"م","M"),_xlpm.u,SUBSTITUTE(_xlpm.t,"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904" s="12"/>
      <c r="G904" s="13" t="str">
        <f>IF(B904="","",IF(M904,"⚠ Duplicate (not counted)",IF(AND(I904="",D904="",E904=""),"— ignored",IF(C904="","⚠ Time",IF(D904="","⚠ Plant",IF(E904="","⚠ Quantity",IF(AND(ISNUMBER(L904),COUNTIF(L$1:L903,L904)&gt;0),"⚠ Same serial "&amp;L904,IF(AND(ISNUMBER(L904),L904&gt;MIN($L$2:$L$1001),COUNTIF($L$2:$L$1001,L904-1)=0,COUNTIF($L$2:$L$1001,L904-2)&lt;2),"⚠ Missing serial "&amp;(L904-1),IF(AND(MAX(K$1:K903)&gt;0,N(K904)-MAX(K$1:K903)&gt;180),"⚠ Gap &gt; 3h",IF(C904-I904&gt;=0.99,"next day",IF(C904-I904&gt;0.4,"12h → 24h","")))))))))))</f>
        <v/>
      </c>
      <c r="H904" s="4" t="str">
        <f t="shared" si="70"/>
        <v/>
      </c>
      <c r="I904" s="5" t="str">
        <f t="shared" si="71"/>
        <v/>
      </c>
      <c r="J904" s="6">
        <f t="shared" si="72"/>
        <v>0</v>
      </c>
      <c r="K904" s="4" t="str">
        <f t="shared" si="73"/>
        <v/>
      </c>
      <c r="L904" s="4" t="str">
        <f t="shared" si="74"/>
        <v/>
      </c>
      <c r="M904" s="4" t="b" cm="1">
        <f t="array" ref="M904">IF(H904="",FALSE,SUMPRODUCT(--(H$1:H903=H904))&gt;0)</f>
        <v>0</v>
      </c>
    </row>
    <row r="905" spans="1:13" x14ac:dyDescent="0.25">
      <c r="A905" s="9" t="str">
        <f>IF(OR(B905="",M905,G905="— ignored"),"",MAX(A$1:A904)+1)</f>
        <v/>
      </c>
      <c r="B905" s="10"/>
      <c r="C905" s="11" t="str">
        <f>IF(I905="","",ROUND((I905+0.5*MAX(0,CEILING(ROUND((MAX(C$1:C904)-1/48-I905)/0.5,6),1)))*1440,0)/1440)</f>
        <v/>
      </c>
      <c r="D905" s="9" t="str" cm="1">
        <f t="array" ref="D905">IF(H905="","",IFERROR(INDEX(Log!$C$19:$G$19,VALUE(MID(H905,FIND("#",H905)+1,1))),""))</f>
        <v/>
      </c>
      <c r="E905" s="9" t="str" cm="1">
        <f t="array" ref="E905">IF(OR(H905="",M905),"",IFERROR(_xlfn.LET(_xlpm.t,SUBSTITUTE(UPPER(H905),"م","M"),_xlpm.u,SUBSTITUTE(_xlpm.t,"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905" s="12"/>
      <c r="G905" s="13" t="str">
        <f>IF(B905="","",IF(M905,"⚠ Duplicate (not counted)",IF(AND(I905="",D905="",E905=""),"— ignored",IF(C905="","⚠ Time",IF(D905="","⚠ Plant",IF(E905="","⚠ Quantity",IF(AND(ISNUMBER(L905),COUNTIF(L$1:L904,L905)&gt;0),"⚠ Same serial "&amp;L905,IF(AND(ISNUMBER(L905),L905&gt;MIN($L$2:$L$1001),COUNTIF($L$2:$L$1001,L905-1)=0,COUNTIF($L$2:$L$1001,L905-2)&lt;2),"⚠ Missing serial "&amp;(L905-1),IF(AND(MAX(K$1:K904)&gt;0,N(K905)-MAX(K$1:K904)&gt;180),"⚠ Gap &gt; 3h",IF(C905-I905&gt;=0.99,"next day",IF(C905-I905&gt;0.4,"12h → 24h","")))))))))))</f>
        <v/>
      </c>
      <c r="H905" s="4" t="str">
        <f t="shared" si="70"/>
        <v/>
      </c>
      <c r="I905" s="5" t="str">
        <f t="shared" si="71"/>
        <v/>
      </c>
      <c r="J905" s="6">
        <f t="shared" si="72"/>
        <v>0</v>
      </c>
      <c r="K905" s="4" t="str">
        <f t="shared" si="73"/>
        <v/>
      </c>
      <c r="L905" s="4" t="str">
        <f t="shared" si="74"/>
        <v/>
      </c>
      <c r="M905" s="4" t="b" cm="1">
        <f t="array" ref="M905">IF(H905="",FALSE,SUMPRODUCT(--(H$1:H904=H905))&gt;0)</f>
        <v>0</v>
      </c>
    </row>
    <row r="906" spans="1:13" x14ac:dyDescent="0.25">
      <c r="A906" s="9" t="str">
        <f>IF(OR(B906="",M906,G906="— ignored"),"",MAX(A$1:A905)+1)</f>
        <v/>
      </c>
      <c r="B906" s="10"/>
      <c r="C906" s="11" t="str">
        <f>IF(I906="","",ROUND((I906+0.5*MAX(0,CEILING(ROUND((MAX(C$1:C905)-1/48-I906)/0.5,6),1)))*1440,0)/1440)</f>
        <v/>
      </c>
      <c r="D906" s="9" t="str" cm="1">
        <f t="array" ref="D906">IF(H906="","",IFERROR(INDEX(Log!$C$19:$G$19,VALUE(MID(H906,FIND("#",H906)+1,1))),""))</f>
        <v/>
      </c>
      <c r="E906" s="9" t="str" cm="1">
        <f t="array" ref="E906">IF(OR(H906="",M906),"",IFERROR(_xlfn.LET(_xlpm.t,SUBSTITUTE(UPPER(H906),"م","M"),_xlpm.u,SUBSTITUTE(_xlpm.t,"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906" s="12"/>
      <c r="G906" s="13" t="str">
        <f>IF(B906="","",IF(M906,"⚠ Duplicate (not counted)",IF(AND(I906="",D906="",E906=""),"— ignored",IF(C906="","⚠ Time",IF(D906="","⚠ Plant",IF(E906="","⚠ Quantity",IF(AND(ISNUMBER(L906),COUNTIF(L$1:L905,L906)&gt;0),"⚠ Same serial "&amp;L906,IF(AND(ISNUMBER(L906),L906&gt;MIN($L$2:$L$1001),COUNTIF($L$2:$L$1001,L906-1)=0,COUNTIF($L$2:$L$1001,L906-2)&lt;2),"⚠ Missing serial "&amp;(L906-1),IF(AND(MAX(K$1:K905)&gt;0,N(K906)-MAX(K$1:K905)&gt;180),"⚠ Gap &gt; 3h",IF(C906-I906&gt;=0.99,"next day",IF(C906-I906&gt;0.4,"12h → 24h","")))))))))))</f>
        <v/>
      </c>
      <c r="H906" s="4" t="str">
        <f t="shared" si="70"/>
        <v/>
      </c>
      <c r="I906" s="5" t="str">
        <f t="shared" si="71"/>
        <v/>
      </c>
      <c r="J906" s="6">
        <f t="shared" si="72"/>
        <v>0</v>
      </c>
      <c r="K906" s="4" t="str">
        <f t="shared" si="73"/>
        <v/>
      </c>
      <c r="L906" s="4" t="str">
        <f t="shared" si="74"/>
        <v/>
      </c>
      <c r="M906" s="4" t="b" cm="1">
        <f t="array" ref="M906">IF(H906="",FALSE,SUMPRODUCT(--(H$1:H905=H906))&gt;0)</f>
        <v>0</v>
      </c>
    </row>
    <row r="907" spans="1:13" x14ac:dyDescent="0.25">
      <c r="A907" s="9" t="str">
        <f>IF(OR(B907="",M907,G907="— ignored"),"",MAX(A$1:A906)+1)</f>
        <v/>
      </c>
      <c r="B907" s="10"/>
      <c r="C907" s="11" t="str">
        <f>IF(I907="","",ROUND((I907+0.5*MAX(0,CEILING(ROUND((MAX(C$1:C906)-1/48-I907)/0.5,6),1)))*1440,0)/1440)</f>
        <v/>
      </c>
      <c r="D907" s="9" t="str" cm="1">
        <f t="array" ref="D907">IF(H907="","",IFERROR(INDEX(Log!$C$19:$G$19,VALUE(MID(H907,FIND("#",H907)+1,1))),""))</f>
        <v/>
      </c>
      <c r="E907" s="9" t="str" cm="1">
        <f t="array" ref="E907">IF(OR(H907="",M907),"",IFERROR(_xlfn.LET(_xlpm.t,SUBSTITUTE(UPPER(H907),"م","M"),_xlpm.u,SUBSTITUTE(_xlpm.t,"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907" s="12"/>
      <c r="G907" s="13" t="str">
        <f>IF(B907="","",IF(M907,"⚠ Duplicate (not counted)",IF(AND(I907="",D907="",E907=""),"— ignored",IF(C907="","⚠ Time",IF(D907="","⚠ Plant",IF(E907="","⚠ Quantity",IF(AND(ISNUMBER(L907),COUNTIF(L$1:L906,L907)&gt;0),"⚠ Same serial "&amp;L907,IF(AND(ISNUMBER(L907),L907&gt;MIN($L$2:$L$1001),COUNTIF($L$2:$L$1001,L907-1)=0,COUNTIF($L$2:$L$1001,L907-2)&lt;2),"⚠ Missing serial "&amp;(L907-1),IF(AND(MAX(K$1:K906)&gt;0,N(K907)-MAX(K$1:K906)&gt;180),"⚠ Gap &gt; 3h",IF(C907-I907&gt;=0.99,"next day",IF(C907-I907&gt;0.4,"12h → 24h","")))))))))))</f>
        <v/>
      </c>
      <c r="H907" s="4" t="str">
        <f t="shared" si="70"/>
        <v/>
      </c>
      <c r="I907" s="5" t="str">
        <f t="shared" si="71"/>
        <v/>
      </c>
      <c r="J907" s="6">
        <f t="shared" si="72"/>
        <v>0</v>
      </c>
      <c r="K907" s="4" t="str">
        <f t="shared" si="73"/>
        <v/>
      </c>
      <c r="L907" s="4" t="str">
        <f t="shared" si="74"/>
        <v/>
      </c>
      <c r="M907" s="4" t="b" cm="1">
        <f t="array" ref="M907">IF(H907="",FALSE,SUMPRODUCT(--(H$1:H906=H907))&gt;0)</f>
        <v>0</v>
      </c>
    </row>
    <row r="908" spans="1:13" x14ac:dyDescent="0.25">
      <c r="A908" s="9" t="str">
        <f>IF(OR(B908="",M908,G908="— ignored"),"",MAX(A$1:A907)+1)</f>
        <v/>
      </c>
      <c r="B908" s="10"/>
      <c r="C908" s="11" t="str">
        <f>IF(I908="","",ROUND((I908+0.5*MAX(0,CEILING(ROUND((MAX(C$1:C907)-1/48-I908)/0.5,6),1)))*1440,0)/1440)</f>
        <v/>
      </c>
      <c r="D908" s="9" t="str" cm="1">
        <f t="array" ref="D908">IF(H908="","",IFERROR(INDEX(Log!$C$19:$G$19,VALUE(MID(H908,FIND("#",H908)+1,1))),""))</f>
        <v/>
      </c>
      <c r="E908" s="9" t="str" cm="1">
        <f t="array" ref="E908">IF(OR(H908="",M908),"",IFERROR(_xlfn.LET(_xlpm.t,SUBSTITUTE(UPPER(H908),"م","M"),_xlpm.u,SUBSTITUTE(_xlpm.t,"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908" s="12"/>
      <c r="G908" s="13" t="str">
        <f>IF(B908="","",IF(M908,"⚠ Duplicate (not counted)",IF(AND(I908="",D908="",E908=""),"— ignored",IF(C908="","⚠ Time",IF(D908="","⚠ Plant",IF(E908="","⚠ Quantity",IF(AND(ISNUMBER(L908),COUNTIF(L$1:L907,L908)&gt;0),"⚠ Same serial "&amp;L908,IF(AND(ISNUMBER(L908),L908&gt;MIN($L$2:$L$1001),COUNTIF($L$2:$L$1001,L908-1)=0,COUNTIF($L$2:$L$1001,L908-2)&lt;2),"⚠ Missing serial "&amp;(L908-1),IF(AND(MAX(K$1:K907)&gt;0,N(K908)-MAX(K$1:K907)&gt;180),"⚠ Gap &gt; 3h",IF(C908-I908&gt;=0.99,"next day",IF(C908-I908&gt;0.4,"12h → 24h","")))))))))))</f>
        <v/>
      </c>
      <c r="H908" s="4" t="str">
        <f t="shared" si="70"/>
        <v/>
      </c>
      <c r="I908" s="5" t="str">
        <f t="shared" si="71"/>
        <v/>
      </c>
      <c r="J908" s="6">
        <f t="shared" si="72"/>
        <v>0</v>
      </c>
      <c r="K908" s="4" t="str">
        <f t="shared" si="73"/>
        <v/>
      </c>
      <c r="L908" s="4" t="str">
        <f t="shared" si="74"/>
        <v/>
      </c>
      <c r="M908" s="4" t="b" cm="1">
        <f t="array" ref="M908">IF(H908="",FALSE,SUMPRODUCT(--(H$1:H907=H908))&gt;0)</f>
        <v>0</v>
      </c>
    </row>
    <row r="909" spans="1:13" x14ac:dyDescent="0.25">
      <c r="A909" s="9" t="str">
        <f>IF(OR(B909="",M909,G909="— ignored"),"",MAX(A$1:A908)+1)</f>
        <v/>
      </c>
      <c r="B909" s="10"/>
      <c r="C909" s="11" t="str">
        <f>IF(I909="","",ROUND((I909+0.5*MAX(0,CEILING(ROUND((MAX(C$1:C908)-1/48-I909)/0.5,6),1)))*1440,0)/1440)</f>
        <v/>
      </c>
      <c r="D909" s="9" t="str" cm="1">
        <f t="array" ref="D909">IF(H909="","",IFERROR(INDEX(Log!$C$19:$G$19,VALUE(MID(H909,FIND("#",H909)+1,1))),""))</f>
        <v/>
      </c>
      <c r="E909" s="9" t="str" cm="1">
        <f t="array" ref="E909">IF(OR(H909="",M909),"",IFERROR(_xlfn.LET(_xlpm.t,SUBSTITUTE(UPPER(H909),"م","M"),_xlpm.u,SUBSTITUTE(_xlpm.t,"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909" s="12"/>
      <c r="G909" s="13" t="str">
        <f>IF(B909="","",IF(M909,"⚠ Duplicate (not counted)",IF(AND(I909="",D909="",E909=""),"— ignored",IF(C909="","⚠ Time",IF(D909="","⚠ Plant",IF(E909="","⚠ Quantity",IF(AND(ISNUMBER(L909),COUNTIF(L$1:L908,L909)&gt;0),"⚠ Same serial "&amp;L909,IF(AND(ISNUMBER(L909),L909&gt;MIN($L$2:$L$1001),COUNTIF($L$2:$L$1001,L909-1)=0,COUNTIF($L$2:$L$1001,L909-2)&lt;2),"⚠ Missing serial "&amp;(L909-1),IF(AND(MAX(K$1:K908)&gt;0,N(K909)-MAX(K$1:K908)&gt;180),"⚠ Gap &gt; 3h",IF(C909-I909&gt;=0.99,"next day",IF(C909-I909&gt;0.4,"12h → 24h","")))))))))))</f>
        <v/>
      </c>
      <c r="H909" s="4" t="str">
        <f t="shared" si="70"/>
        <v/>
      </c>
      <c r="I909" s="5" t="str">
        <f t="shared" si="71"/>
        <v/>
      </c>
      <c r="J909" s="6">
        <f t="shared" si="72"/>
        <v>0</v>
      </c>
      <c r="K909" s="4" t="str">
        <f t="shared" si="73"/>
        <v/>
      </c>
      <c r="L909" s="4" t="str">
        <f t="shared" si="74"/>
        <v/>
      </c>
      <c r="M909" s="4" t="b" cm="1">
        <f t="array" ref="M909">IF(H909="",FALSE,SUMPRODUCT(--(H$1:H908=H909))&gt;0)</f>
        <v>0</v>
      </c>
    </row>
    <row r="910" spans="1:13" x14ac:dyDescent="0.25">
      <c r="A910" s="9" t="str">
        <f>IF(OR(B910="",M910,G910="— ignored"),"",MAX(A$1:A909)+1)</f>
        <v/>
      </c>
      <c r="B910" s="10"/>
      <c r="C910" s="11" t="str">
        <f>IF(I910="","",ROUND((I910+0.5*MAX(0,CEILING(ROUND((MAX(C$1:C909)-1/48-I910)/0.5,6),1)))*1440,0)/1440)</f>
        <v/>
      </c>
      <c r="D910" s="9" t="str" cm="1">
        <f t="array" ref="D910">IF(H910="","",IFERROR(INDEX(Log!$C$19:$G$19,VALUE(MID(H910,FIND("#",H910)+1,1))),""))</f>
        <v/>
      </c>
      <c r="E910" s="9" t="str" cm="1">
        <f t="array" ref="E910">IF(OR(H910="",M910),"",IFERROR(_xlfn.LET(_xlpm.t,SUBSTITUTE(UPPER(H910),"م","M"),_xlpm.u,SUBSTITUTE(_xlpm.t,"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910" s="12"/>
      <c r="G910" s="13" t="str">
        <f>IF(B910="","",IF(M910,"⚠ Duplicate (not counted)",IF(AND(I910="",D910="",E910=""),"— ignored",IF(C910="","⚠ Time",IF(D910="","⚠ Plant",IF(E910="","⚠ Quantity",IF(AND(ISNUMBER(L910),COUNTIF(L$1:L909,L910)&gt;0),"⚠ Same serial "&amp;L910,IF(AND(ISNUMBER(L910),L910&gt;MIN($L$2:$L$1001),COUNTIF($L$2:$L$1001,L910-1)=0,COUNTIF($L$2:$L$1001,L910-2)&lt;2),"⚠ Missing serial "&amp;(L910-1),IF(AND(MAX(K$1:K909)&gt;0,N(K910)-MAX(K$1:K909)&gt;180),"⚠ Gap &gt; 3h",IF(C910-I910&gt;=0.99,"next day",IF(C910-I910&gt;0.4,"12h → 24h","")))))))))))</f>
        <v/>
      </c>
      <c r="H910" s="4" t="str">
        <f t="shared" si="70"/>
        <v/>
      </c>
      <c r="I910" s="5" t="str">
        <f t="shared" si="71"/>
        <v/>
      </c>
      <c r="J910" s="6">
        <f t="shared" si="72"/>
        <v>0</v>
      </c>
      <c r="K910" s="4" t="str">
        <f t="shared" si="73"/>
        <v/>
      </c>
      <c r="L910" s="4" t="str">
        <f t="shared" si="74"/>
        <v/>
      </c>
      <c r="M910" s="4" t="b" cm="1">
        <f t="array" ref="M910">IF(H910="",FALSE,SUMPRODUCT(--(H$1:H909=H910))&gt;0)</f>
        <v>0</v>
      </c>
    </row>
    <row r="911" spans="1:13" x14ac:dyDescent="0.25">
      <c r="A911" s="9" t="str">
        <f>IF(OR(B911="",M911,G911="— ignored"),"",MAX(A$1:A910)+1)</f>
        <v/>
      </c>
      <c r="B911" s="10"/>
      <c r="C911" s="11" t="str">
        <f>IF(I911="","",ROUND((I911+0.5*MAX(0,CEILING(ROUND((MAX(C$1:C910)-1/48-I911)/0.5,6),1)))*1440,0)/1440)</f>
        <v/>
      </c>
      <c r="D911" s="9" t="str" cm="1">
        <f t="array" ref="D911">IF(H911="","",IFERROR(INDEX(Log!$C$19:$G$19,VALUE(MID(H911,FIND("#",H911)+1,1))),""))</f>
        <v/>
      </c>
      <c r="E911" s="9" t="str" cm="1">
        <f t="array" ref="E911">IF(OR(H911="",M911),"",IFERROR(_xlfn.LET(_xlpm.t,SUBSTITUTE(UPPER(H911),"م","M"),_xlpm.u,SUBSTITUTE(_xlpm.t,"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911" s="12"/>
      <c r="G911" s="13" t="str">
        <f>IF(B911="","",IF(M911,"⚠ Duplicate (not counted)",IF(AND(I911="",D911="",E911=""),"— ignored",IF(C911="","⚠ Time",IF(D911="","⚠ Plant",IF(E911="","⚠ Quantity",IF(AND(ISNUMBER(L911),COUNTIF(L$1:L910,L911)&gt;0),"⚠ Same serial "&amp;L911,IF(AND(ISNUMBER(L911),L911&gt;MIN($L$2:$L$1001),COUNTIF($L$2:$L$1001,L911-1)=0,COUNTIF($L$2:$L$1001,L911-2)&lt;2),"⚠ Missing serial "&amp;(L911-1),IF(AND(MAX(K$1:K910)&gt;0,N(K911)-MAX(K$1:K910)&gt;180),"⚠ Gap &gt; 3h",IF(C911-I911&gt;=0.99,"next day",IF(C911-I911&gt;0.4,"12h → 24h","")))))))))))</f>
        <v/>
      </c>
      <c r="H911" s="4" t="str">
        <f t="shared" si="70"/>
        <v/>
      </c>
      <c r="I911" s="5" t="str">
        <f t="shared" si="71"/>
        <v/>
      </c>
      <c r="J911" s="6">
        <f t="shared" si="72"/>
        <v>0</v>
      </c>
      <c r="K911" s="4" t="str">
        <f t="shared" si="73"/>
        <v/>
      </c>
      <c r="L911" s="4" t="str">
        <f t="shared" si="74"/>
        <v/>
      </c>
      <c r="M911" s="4" t="b" cm="1">
        <f t="array" ref="M911">IF(H911="",FALSE,SUMPRODUCT(--(H$1:H910=H911))&gt;0)</f>
        <v>0</v>
      </c>
    </row>
    <row r="912" spans="1:13" x14ac:dyDescent="0.25">
      <c r="A912" s="9" t="str">
        <f>IF(OR(B912="",M912,G912="— ignored"),"",MAX(A$1:A911)+1)</f>
        <v/>
      </c>
      <c r="B912" s="10"/>
      <c r="C912" s="11" t="str">
        <f>IF(I912="","",ROUND((I912+0.5*MAX(0,CEILING(ROUND((MAX(C$1:C911)-1/48-I912)/0.5,6),1)))*1440,0)/1440)</f>
        <v/>
      </c>
      <c r="D912" s="9" t="str" cm="1">
        <f t="array" ref="D912">IF(H912="","",IFERROR(INDEX(Log!$C$19:$G$19,VALUE(MID(H912,FIND("#",H912)+1,1))),""))</f>
        <v/>
      </c>
      <c r="E912" s="9" t="str" cm="1">
        <f t="array" ref="E912">IF(OR(H912="",M912),"",IFERROR(_xlfn.LET(_xlpm.t,SUBSTITUTE(UPPER(H912),"م","M"),_xlpm.u,SUBSTITUTE(_xlpm.t,"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912" s="12"/>
      <c r="G912" s="13" t="str">
        <f>IF(B912="","",IF(M912,"⚠ Duplicate (not counted)",IF(AND(I912="",D912="",E912=""),"— ignored",IF(C912="","⚠ Time",IF(D912="","⚠ Plant",IF(E912="","⚠ Quantity",IF(AND(ISNUMBER(L912),COUNTIF(L$1:L911,L912)&gt;0),"⚠ Same serial "&amp;L912,IF(AND(ISNUMBER(L912),L912&gt;MIN($L$2:$L$1001),COUNTIF($L$2:$L$1001,L912-1)=0,COUNTIF($L$2:$L$1001,L912-2)&lt;2),"⚠ Missing serial "&amp;(L912-1),IF(AND(MAX(K$1:K911)&gt;0,N(K912)-MAX(K$1:K911)&gt;180),"⚠ Gap &gt; 3h",IF(C912-I912&gt;=0.99,"next day",IF(C912-I912&gt;0.4,"12h → 24h","")))))))))))</f>
        <v/>
      </c>
      <c r="H912" s="4" t="str">
        <f t="shared" si="70"/>
        <v/>
      </c>
      <c r="I912" s="5" t="str">
        <f t="shared" si="71"/>
        <v/>
      </c>
      <c r="J912" s="6">
        <f t="shared" si="72"/>
        <v>0</v>
      </c>
      <c r="K912" s="4" t="str">
        <f t="shared" si="73"/>
        <v/>
      </c>
      <c r="L912" s="4" t="str">
        <f t="shared" si="74"/>
        <v/>
      </c>
      <c r="M912" s="4" t="b" cm="1">
        <f t="array" ref="M912">IF(H912="",FALSE,SUMPRODUCT(--(H$1:H911=H912))&gt;0)</f>
        <v>0</v>
      </c>
    </row>
    <row r="913" spans="1:13" x14ac:dyDescent="0.25">
      <c r="A913" s="9" t="str">
        <f>IF(OR(B913="",M913,G913="— ignored"),"",MAX(A$1:A912)+1)</f>
        <v/>
      </c>
      <c r="B913" s="10"/>
      <c r="C913" s="11" t="str">
        <f>IF(I913="","",ROUND((I913+0.5*MAX(0,CEILING(ROUND((MAX(C$1:C912)-1/48-I913)/0.5,6),1)))*1440,0)/1440)</f>
        <v/>
      </c>
      <c r="D913" s="9" t="str" cm="1">
        <f t="array" ref="D913">IF(H913="","",IFERROR(INDEX(Log!$C$19:$G$19,VALUE(MID(H913,FIND("#",H913)+1,1))),""))</f>
        <v/>
      </c>
      <c r="E913" s="9" t="str" cm="1">
        <f t="array" ref="E913">IF(OR(H913="",M913),"",IFERROR(_xlfn.LET(_xlpm.t,SUBSTITUTE(UPPER(H913),"م","M"),_xlpm.u,SUBSTITUTE(_xlpm.t,"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913" s="12"/>
      <c r="G913" s="13" t="str">
        <f>IF(B913="","",IF(M913,"⚠ Duplicate (not counted)",IF(AND(I913="",D913="",E913=""),"— ignored",IF(C913="","⚠ Time",IF(D913="","⚠ Plant",IF(E913="","⚠ Quantity",IF(AND(ISNUMBER(L913),COUNTIF(L$1:L912,L913)&gt;0),"⚠ Same serial "&amp;L913,IF(AND(ISNUMBER(L913),L913&gt;MIN($L$2:$L$1001),COUNTIF($L$2:$L$1001,L913-1)=0,COUNTIF($L$2:$L$1001,L913-2)&lt;2),"⚠ Missing serial "&amp;(L913-1),IF(AND(MAX(K$1:K912)&gt;0,N(K913)-MAX(K$1:K912)&gt;180),"⚠ Gap &gt; 3h",IF(C913-I913&gt;=0.99,"next day",IF(C913-I913&gt;0.4,"12h → 24h","")))))))))))</f>
        <v/>
      </c>
      <c r="H913" s="4" t="str">
        <f t="shared" si="70"/>
        <v/>
      </c>
      <c r="I913" s="5" t="str">
        <f t="shared" si="71"/>
        <v/>
      </c>
      <c r="J913" s="6">
        <f t="shared" si="72"/>
        <v>0</v>
      </c>
      <c r="K913" s="4" t="str">
        <f t="shared" si="73"/>
        <v/>
      </c>
      <c r="L913" s="4" t="str">
        <f t="shared" si="74"/>
        <v/>
      </c>
      <c r="M913" s="4" t="b" cm="1">
        <f t="array" ref="M913">IF(H913="",FALSE,SUMPRODUCT(--(H$1:H912=H913))&gt;0)</f>
        <v>0</v>
      </c>
    </row>
    <row r="914" spans="1:13" x14ac:dyDescent="0.25">
      <c r="A914" s="9" t="str">
        <f>IF(OR(B914="",M914,G914="— ignored"),"",MAX(A$1:A913)+1)</f>
        <v/>
      </c>
      <c r="B914" s="10"/>
      <c r="C914" s="11" t="str">
        <f>IF(I914="","",ROUND((I914+0.5*MAX(0,CEILING(ROUND((MAX(C$1:C913)-1/48-I914)/0.5,6),1)))*1440,0)/1440)</f>
        <v/>
      </c>
      <c r="D914" s="9" t="str" cm="1">
        <f t="array" ref="D914">IF(H914="","",IFERROR(INDEX(Log!$C$19:$G$19,VALUE(MID(H914,FIND("#",H914)+1,1))),""))</f>
        <v/>
      </c>
      <c r="E914" s="9" t="str" cm="1">
        <f t="array" ref="E914">IF(OR(H914="",M914),"",IFERROR(_xlfn.LET(_xlpm.t,SUBSTITUTE(UPPER(H914),"م","M"),_xlpm.u,SUBSTITUTE(_xlpm.t,"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914" s="12"/>
      <c r="G914" s="13" t="str">
        <f>IF(B914="","",IF(M914,"⚠ Duplicate (not counted)",IF(AND(I914="",D914="",E914=""),"— ignored",IF(C914="","⚠ Time",IF(D914="","⚠ Plant",IF(E914="","⚠ Quantity",IF(AND(ISNUMBER(L914),COUNTIF(L$1:L913,L914)&gt;0),"⚠ Same serial "&amp;L914,IF(AND(ISNUMBER(L914),L914&gt;MIN($L$2:$L$1001),COUNTIF($L$2:$L$1001,L914-1)=0,COUNTIF($L$2:$L$1001,L914-2)&lt;2),"⚠ Missing serial "&amp;(L914-1),IF(AND(MAX(K$1:K913)&gt;0,N(K914)-MAX(K$1:K913)&gt;180),"⚠ Gap &gt; 3h",IF(C914-I914&gt;=0.99,"next day",IF(C914-I914&gt;0.4,"12h → 24h","")))))))))))</f>
        <v/>
      </c>
      <c r="H914" s="4" t="str">
        <f t="shared" si="70"/>
        <v/>
      </c>
      <c r="I914" s="5" t="str">
        <f t="shared" si="71"/>
        <v/>
      </c>
      <c r="J914" s="6">
        <f t="shared" si="72"/>
        <v>0</v>
      </c>
      <c r="K914" s="4" t="str">
        <f t="shared" si="73"/>
        <v/>
      </c>
      <c r="L914" s="4" t="str">
        <f t="shared" si="74"/>
        <v/>
      </c>
      <c r="M914" s="4" t="b" cm="1">
        <f t="array" ref="M914">IF(H914="",FALSE,SUMPRODUCT(--(H$1:H913=H914))&gt;0)</f>
        <v>0</v>
      </c>
    </row>
    <row r="915" spans="1:13" x14ac:dyDescent="0.25">
      <c r="A915" s="9" t="str">
        <f>IF(OR(B915="",M915,G915="— ignored"),"",MAX(A$1:A914)+1)</f>
        <v/>
      </c>
      <c r="B915" s="10"/>
      <c r="C915" s="11" t="str">
        <f>IF(I915="","",ROUND((I915+0.5*MAX(0,CEILING(ROUND((MAX(C$1:C914)-1/48-I915)/0.5,6),1)))*1440,0)/1440)</f>
        <v/>
      </c>
      <c r="D915" s="9" t="str" cm="1">
        <f t="array" ref="D915">IF(H915="","",IFERROR(INDEX(Log!$C$19:$G$19,VALUE(MID(H915,FIND("#",H915)+1,1))),""))</f>
        <v/>
      </c>
      <c r="E915" s="9" t="str" cm="1">
        <f t="array" ref="E915">IF(OR(H915="",M915),"",IFERROR(_xlfn.LET(_xlpm.t,SUBSTITUTE(UPPER(H915),"م","M"),_xlpm.u,SUBSTITUTE(_xlpm.t,"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915" s="12"/>
      <c r="G915" s="13" t="str">
        <f>IF(B915="","",IF(M915,"⚠ Duplicate (not counted)",IF(AND(I915="",D915="",E915=""),"— ignored",IF(C915="","⚠ Time",IF(D915="","⚠ Plant",IF(E915="","⚠ Quantity",IF(AND(ISNUMBER(L915),COUNTIF(L$1:L914,L915)&gt;0),"⚠ Same serial "&amp;L915,IF(AND(ISNUMBER(L915),L915&gt;MIN($L$2:$L$1001),COUNTIF($L$2:$L$1001,L915-1)=0,COUNTIF($L$2:$L$1001,L915-2)&lt;2),"⚠ Missing serial "&amp;(L915-1),IF(AND(MAX(K$1:K914)&gt;0,N(K915)-MAX(K$1:K914)&gt;180),"⚠ Gap &gt; 3h",IF(C915-I915&gt;=0.99,"next day",IF(C915-I915&gt;0.4,"12h → 24h","")))))))))))</f>
        <v/>
      </c>
      <c r="H915" s="4" t="str">
        <f t="shared" si="70"/>
        <v/>
      </c>
      <c r="I915" s="5" t="str">
        <f t="shared" si="71"/>
        <v/>
      </c>
      <c r="J915" s="6">
        <f t="shared" si="72"/>
        <v>0</v>
      </c>
      <c r="K915" s="4" t="str">
        <f t="shared" si="73"/>
        <v/>
      </c>
      <c r="L915" s="4" t="str">
        <f t="shared" si="74"/>
        <v/>
      </c>
      <c r="M915" s="4" t="b" cm="1">
        <f t="array" ref="M915">IF(H915="",FALSE,SUMPRODUCT(--(H$1:H914=H915))&gt;0)</f>
        <v>0</v>
      </c>
    </row>
    <row r="916" spans="1:13" x14ac:dyDescent="0.25">
      <c r="A916" s="9" t="str">
        <f>IF(OR(B916="",M916,G916="— ignored"),"",MAX(A$1:A915)+1)</f>
        <v/>
      </c>
      <c r="B916" s="10"/>
      <c r="C916" s="11" t="str">
        <f>IF(I916="","",ROUND((I916+0.5*MAX(0,CEILING(ROUND((MAX(C$1:C915)-1/48-I916)/0.5,6),1)))*1440,0)/1440)</f>
        <v/>
      </c>
      <c r="D916" s="9" t="str" cm="1">
        <f t="array" ref="D916">IF(H916="","",IFERROR(INDEX(Log!$C$19:$G$19,VALUE(MID(H916,FIND("#",H916)+1,1))),""))</f>
        <v/>
      </c>
      <c r="E916" s="9" t="str" cm="1">
        <f t="array" ref="E916">IF(OR(H916="",M916),"",IFERROR(_xlfn.LET(_xlpm.t,SUBSTITUTE(UPPER(H916),"م","M"),_xlpm.u,SUBSTITUTE(_xlpm.t,"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916" s="12"/>
      <c r="G916" s="13" t="str">
        <f>IF(B916="","",IF(M916,"⚠ Duplicate (not counted)",IF(AND(I916="",D916="",E916=""),"— ignored",IF(C916="","⚠ Time",IF(D916="","⚠ Plant",IF(E916="","⚠ Quantity",IF(AND(ISNUMBER(L916),COUNTIF(L$1:L915,L916)&gt;0),"⚠ Same serial "&amp;L916,IF(AND(ISNUMBER(L916),L916&gt;MIN($L$2:$L$1001),COUNTIF($L$2:$L$1001,L916-1)=0,COUNTIF($L$2:$L$1001,L916-2)&lt;2),"⚠ Missing serial "&amp;(L916-1),IF(AND(MAX(K$1:K915)&gt;0,N(K916)-MAX(K$1:K915)&gt;180),"⚠ Gap &gt; 3h",IF(C916-I916&gt;=0.99,"next day",IF(C916-I916&gt;0.4,"12h → 24h","")))))))))))</f>
        <v/>
      </c>
      <c r="H916" s="4" t="str">
        <f t="shared" si="70"/>
        <v/>
      </c>
      <c r="I916" s="5" t="str">
        <f t="shared" si="71"/>
        <v/>
      </c>
      <c r="J916" s="6">
        <f t="shared" si="72"/>
        <v>0</v>
      </c>
      <c r="K916" s="4" t="str">
        <f t="shared" si="73"/>
        <v/>
      </c>
      <c r="L916" s="4" t="str">
        <f t="shared" si="74"/>
        <v/>
      </c>
      <c r="M916" s="4" t="b" cm="1">
        <f t="array" ref="M916">IF(H916="",FALSE,SUMPRODUCT(--(H$1:H915=H916))&gt;0)</f>
        <v>0</v>
      </c>
    </row>
    <row r="917" spans="1:13" x14ac:dyDescent="0.25">
      <c r="A917" s="9" t="str">
        <f>IF(OR(B917="",M917,G917="— ignored"),"",MAX(A$1:A916)+1)</f>
        <v/>
      </c>
      <c r="B917" s="10"/>
      <c r="C917" s="11" t="str">
        <f>IF(I917="","",ROUND((I917+0.5*MAX(0,CEILING(ROUND((MAX(C$1:C916)-1/48-I917)/0.5,6),1)))*1440,0)/1440)</f>
        <v/>
      </c>
      <c r="D917" s="9" t="str" cm="1">
        <f t="array" ref="D917">IF(H917="","",IFERROR(INDEX(Log!$C$19:$G$19,VALUE(MID(H917,FIND("#",H917)+1,1))),""))</f>
        <v/>
      </c>
      <c r="E917" s="9" t="str" cm="1">
        <f t="array" ref="E917">IF(OR(H917="",M917),"",IFERROR(_xlfn.LET(_xlpm.t,SUBSTITUTE(UPPER(H917),"م","M"),_xlpm.u,SUBSTITUTE(_xlpm.t,"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917" s="12"/>
      <c r="G917" s="13" t="str">
        <f>IF(B917="","",IF(M917,"⚠ Duplicate (not counted)",IF(AND(I917="",D917="",E917=""),"— ignored",IF(C917="","⚠ Time",IF(D917="","⚠ Plant",IF(E917="","⚠ Quantity",IF(AND(ISNUMBER(L917),COUNTIF(L$1:L916,L917)&gt;0),"⚠ Same serial "&amp;L917,IF(AND(ISNUMBER(L917),L917&gt;MIN($L$2:$L$1001),COUNTIF($L$2:$L$1001,L917-1)=0,COUNTIF($L$2:$L$1001,L917-2)&lt;2),"⚠ Missing serial "&amp;(L917-1),IF(AND(MAX(K$1:K916)&gt;0,N(K917)-MAX(K$1:K916)&gt;180),"⚠ Gap &gt; 3h",IF(C917-I917&gt;=0.99,"next day",IF(C917-I917&gt;0.4,"12h → 24h","")))))))))))</f>
        <v/>
      </c>
      <c r="H917" s="4" t="str">
        <f t="shared" si="70"/>
        <v/>
      </c>
      <c r="I917" s="5" t="str">
        <f t="shared" si="71"/>
        <v/>
      </c>
      <c r="J917" s="6">
        <f t="shared" si="72"/>
        <v>0</v>
      </c>
      <c r="K917" s="4" t="str">
        <f t="shared" si="73"/>
        <v/>
      </c>
      <c r="L917" s="4" t="str">
        <f t="shared" si="74"/>
        <v/>
      </c>
      <c r="M917" s="4" t="b" cm="1">
        <f t="array" ref="M917">IF(H917="",FALSE,SUMPRODUCT(--(H$1:H916=H917))&gt;0)</f>
        <v>0</v>
      </c>
    </row>
    <row r="918" spans="1:13" x14ac:dyDescent="0.25">
      <c r="A918" s="9" t="str">
        <f>IF(OR(B918="",M918,G918="— ignored"),"",MAX(A$1:A917)+1)</f>
        <v/>
      </c>
      <c r="B918" s="10"/>
      <c r="C918" s="11" t="str">
        <f>IF(I918="","",ROUND((I918+0.5*MAX(0,CEILING(ROUND((MAX(C$1:C917)-1/48-I918)/0.5,6),1)))*1440,0)/1440)</f>
        <v/>
      </c>
      <c r="D918" s="9" t="str" cm="1">
        <f t="array" ref="D918">IF(H918="","",IFERROR(INDEX(Log!$C$19:$G$19,VALUE(MID(H918,FIND("#",H918)+1,1))),""))</f>
        <v/>
      </c>
      <c r="E918" s="9" t="str" cm="1">
        <f t="array" ref="E918">IF(OR(H918="",M918),"",IFERROR(_xlfn.LET(_xlpm.t,SUBSTITUTE(UPPER(H918),"م","M"),_xlpm.u,SUBSTITUTE(_xlpm.t,"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918" s="12"/>
      <c r="G918" s="13" t="str">
        <f>IF(B918="","",IF(M918,"⚠ Duplicate (not counted)",IF(AND(I918="",D918="",E918=""),"— ignored",IF(C918="","⚠ Time",IF(D918="","⚠ Plant",IF(E918="","⚠ Quantity",IF(AND(ISNUMBER(L918),COUNTIF(L$1:L917,L918)&gt;0),"⚠ Same serial "&amp;L918,IF(AND(ISNUMBER(L918),L918&gt;MIN($L$2:$L$1001),COUNTIF($L$2:$L$1001,L918-1)=0,COUNTIF($L$2:$L$1001,L918-2)&lt;2),"⚠ Missing serial "&amp;(L918-1),IF(AND(MAX(K$1:K917)&gt;0,N(K918)-MAX(K$1:K917)&gt;180),"⚠ Gap &gt; 3h",IF(C918-I918&gt;=0.99,"next day",IF(C918-I918&gt;0.4,"12h → 24h","")))))))))))</f>
        <v/>
      </c>
      <c r="H918" s="4" t="str">
        <f t="shared" si="70"/>
        <v/>
      </c>
      <c r="I918" s="5" t="str">
        <f t="shared" si="71"/>
        <v/>
      </c>
      <c r="J918" s="6">
        <f t="shared" si="72"/>
        <v>0</v>
      </c>
      <c r="K918" s="4" t="str">
        <f t="shared" si="73"/>
        <v/>
      </c>
      <c r="L918" s="4" t="str">
        <f t="shared" si="74"/>
        <v/>
      </c>
      <c r="M918" s="4" t="b" cm="1">
        <f t="array" ref="M918">IF(H918="",FALSE,SUMPRODUCT(--(H$1:H917=H918))&gt;0)</f>
        <v>0</v>
      </c>
    </row>
    <row r="919" spans="1:13" x14ac:dyDescent="0.25">
      <c r="A919" s="9" t="str">
        <f>IF(OR(B919="",M919,G919="— ignored"),"",MAX(A$1:A918)+1)</f>
        <v/>
      </c>
      <c r="B919" s="10"/>
      <c r="C919" s="11" t="str">
        <f>IF(I919="","",ROUND((I919+0.5*MAX(0,CEILING(ROUND((MAX(C$1:C918)-1/48-I919)/0.5,6),1)))*1440,0)/1440)</f>
        <v/>
      </c>
      <c r="D919" s="9" t="str" cm="1">
        <f t="array" ref="D919">IF(H919="","",IFERROR(INDEX(Log!$C$19:$G$19,VALUE(MID(H919,FIND("#",H919)+1,1))),""))</f>
        <v/>
      </c>
      <c r="E919" s="9" t="str" cm="1">
        <f t="array" ref="E919">IF(OR(H919="",M919),"",IFERROR(_xlfn.LET(_xlpm.t,SUBSTITUTE(UPPER(H919),"م","M"),_xlpm.u,SUBSTITUTE(_xlpm.t,"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919" s="12"/>
      <c r="G919" s="13" t="str">
        <f>IF(B919="","",IF(M919,"⚠ Duplicate (not counted)",IF(AND(I919="",D919="",E919=""),"— ignored",IF(C919="","⚠ Time",IF(D919="","⚠ Plant",IF(E919="","⚠ Quantity",IF(AND(ISNUMBER(L919),COUNTIF(L$1:L918,L919)&gt;0),"⚠ Same serial "&amp;L919,IF(AND(ISNUMBER(L919),L919&gt;MIN($L$2:$L$1001),COUNTIF($L$2:$L$1001,L919-1)=0,COUNTIF($L$2:$L$1001,L919-2)&lt;2),"⚠ Missing serial "&amp;(L919-1),IF(AND(MAX(K$1:K918)&gt;0,N(K919)-MAX(K$1:K918)&gt;180),"⚠ Gap &gt; 3h",IF(C919-I919&gt;=0.99,"next day",IF(C919-I919&gt;0.4,"12h → 24h","")))))))))))</f>
        <v/>
      </c>
      <c r="H919" s="4" t="str">
        <f t="shared" si="70"/>
        <v/>
      </c>
      <c r="I919" s="5" t="str">
        <f t="shared" si="71"/>
        <v/>
      </c>
      <c r="J919" s="6">
        <f t="shared" si="72"/>
        <v>0</v>
      </c>
      <c r="K919" s="4" t="str">
        <f t="shared" si="73"/>
        <v/>
      </c>
      <c r="L919" s="4" t="str">
        <f t="shared" si="74"/>
        <v/>
      </c>
      <c r="M919" s="4" t="b" cm="1">
        <f t="array" ref="M919">IF(H919="",FALSE,SUMPRODUCT(--(H$1:H918=H919))&gt;0)</f>
        <v>0</v>
      </c>
    </row>
    <row r="920" spans="1:13" x14ac:dyDescent="0.25">
      <c r="A920" s="9" t="str">
        <f>IF(OR(B920="",M920,G920="— ignored"),"",MAX(A$1:A919)+1)</f>
        <v/>
      </c>
      <c r="B920" s="10"/>
      <c r="C920" s="11" t="str">
        <f>IF(I920="","",ROUND((I920+0.5*MAX(0,CEILING(ROUND((MAX(C$1:C919)-1/48-I920)/0.5,6),1)))*1440,0)/1440)</f>
        <v/>
      </c>
      <c r="D920" s="9" t="str" cm="1">
        <f t="array" ref="D920">IF(H920="","",IFERROR(INDEX(Log!$C$19:$G$19,VALUE(MID(H920,FIND("#",H920)+1,1))),""))</f>
        <v/>
      </c>
      <c r="E920" s="9" t="str" cm="1">
        <f t="array" ref="E920">IF(OR(H920="",M920),"",IFERROR(_xlfn.LET(_xlpm.t,SUBSTITUTE(UPPER(H920),"م","M"),_xlpm.u,SUBSTITUTE(_xlpm.t,"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920" s="12"/>
      <c r="G920" s="13" t="str">
        <f>IF(B920="","",IF(M920,"⚠ Duplicate (not counted)",IF(AND(I920="",D920="",E920=""),"— ignored",IF(C920="","⚠ Time",IF(D920="","⚠ Plant",IF(E920="","⚠ Quantity",IF(AND(ISNUMBER(L920),COUNTIF(L$1:L919,L920)&gt;0),"⚠ Same serial "&amp;L920,IF(AND(ISNUMBER(L920),L920&gt;MIN($L$2:$L$1001),COUNTIF($L$2:$L$1001,L920-1)=0,COUNTIF($L$2:$L$1001,L920-2)&lt;2),"⚠ Missing serial "&amp;(L920-1),IF(AND(MAX(K$1:K919)&gt;0,N(K920)-MAX(K$1:K919)&gt;180),"⚠ Gap &gt; 3h",IF(C920-I920&gt;=0.99,"next day",IF(C920-I920&gt;0.4,"12h → 24h","")))))))))))</f>
        <v/>
      </c>
      <c r="H920" s="4" t="str">
        <f t="shared" si="70"/>
        <v/>
      </c>
      <c r="I920" s="5" t="str">
        <f t="shared" si="71"/>
        <v/>
      </c>
      <c r="J920" s="6">
        <f t="shared" si="72"/>
        <v>0</v>
      </c>
      <c r="K920" s="4" t="str">
        <f t="shared" si="73"/>
        <v/>
      </c>
      <c r="L920" s="4" t="str">
        <f t="shared" si="74"/>
        <v/>
      </c>
      <c r="M920" s="4" t="b" cm="1">
        <f t="array" ref="M920">IF(H920="",FALSE,SUMPRODUCT(--(H$1:H919=H920))&gt;0)</f>
        <v>0</v>
      </c>
    </row>
    <row r="921" spans="1:13" x14ac:dyDescent="0.25">
      <c r="A921" s="9" t="str">
        <f>IF(OR(B921="",M921,G921="— ignored"),"",MAX(A$1:A920)+1)</f>
        <v/>
      </c>
      <c r="B921" s="10"/>
      <c r="C921" s="11" t="str">
        <f>IF(I921="","",ROUND((I921+0.5*MAX(0,CEILING(ROUND((MAX(C$1:C920)-1/48-I921)/0.5,6),1)))*1440,0)/1440)</f>
        <v/>
      </c>
      <c r="D921" s="9" t="str" cm="1">
        <f t="array" ref="D921">IF(H921="","",IFERROR(INDEX(Log!$C$19:$G$19,VALUE(MID(H921,FIND("#",H921)+1,1))),""))</f>
        <v/>
      </c>
      <c r="E921" s="9" t="str" cm="1">
        <f t="array" ref="E921">IF(OR(H921="",M921),"",IFERROR(_xlfn.LET(_xlpm.t,SUBSTITUTE(UPPER(H921),"م","M"),_xlpm.u,SUBSTITUTE(_xlpm.t,"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921" s="12"/>
      <c r="G921" s="13" t="str">
        <f>IF(B921="","",IF(M921,"⚠ Duplicate (not counted)",IF(AND(I921="",D921="",E921=""),"— ignored",IF(C921="","⚠ Time",IF(D921="","⚠ Plant",IF(E921="","⚠ Quantity",IF(AND(ISNUMBER(L921),COUNTIF(L$1:L920,L921)&gt;0),"⚠ Same serial "&amp;L921,IF(AND(ISNUMBER(L921),L921&gt;MIN($L$2:$L$1001),COUNTIF($L$2:$L$1001,L921-1)=0,COUNTIF($L$2:$L$1001,L921-2)&lt;2),"⚠ Missing serial "&amp;(L921-1),IF(AND(MAX(K$1:K920)&gt;0,N(K921)-MAX(K$1:K920)&gt;180),"⚠ Gap &gt; 3h",IF(C921-I921&gt;=0.99,"next day",IF(C921-I921&gt;0.4,"12h → 24h","")))))))))))</f>
        <v/>
      </c>
      <c r="H921" s="4" t="str">
        <f t="shared" si="70"/>
        <v/>
      </c>
      <c r="I921" s="5" t="str">
        <f t="shared" si="71"/>
        <v/>
      </c>
      <c r="J921" s="6">
        <f t="shared" si="72"/>
        <v>0</v>
      </c>
      <c r="K921" s="4" t="str">
        <f t="shared" si="73"/>
        <v/>
      </c>
      <c r="L921" s="4" t="str">
        <f t="shared" si="74"/>
        <v/>
      </c>
      <c r="M921" s="4" t="b" cm="1">
        <f t="array" ref="M921">IF(H921="",FALSE,SUMPRODUCT(--(H$1:H920=H921))&gt;0)</f>
        <v>0</v>
      </c>
    </row>
    <row r="922" spans="1:13" x14ac:dyDescent="0.25">
      <c r="A922" s="9" t="str">
        <f>IF(OR(B922="",M922,G922="— ignored"),"",MAX(A$1:A921)+1)</f>
        <v/>
      </c>
      <c r="B922" s="10"/>
      <c r="C922" s="11" t="str">
        <f>IF(I922="","",ROUND((I922+0.5*MAX(0,CEILING(ROUND((MAX(C$1:C921)-1/48-I922)/0.5,6),1)))*1440,0)/1440)</f>
        <v/>
      </c>
      <c r="D922" s="9" t="str" cm="1">
        <f t="array" ref="D922">IF(H922="","",IFERROR(INDEX(Log!$C$19:$G$19,VALUE(MID(H922,FIND("#",H922)+1,1))),""))</f>
        <v/>
      </c>
      <c r="E922" s="9" t="str" cm="1">
        <f t="array" ref="E922">IF(OR(H922="",M922),"",IFERROR(_xlfn.LET(_xlpm.t,SUBSTITUTE(UPPER(H922),"م","M"),_xlpm.u,SUBSTITUTE(_xlpm.t,"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922" s="12"/>
      <c r="G922" s="13" t="str">
        <f>IF(B922="","",IF(M922,"⚠ Duplicate (not counted)",IF(AND(I922="",D922="",E922=""),"— ignored",IF(C922="","⚠ Time",IF(D922="","⚠ Plant",IF(E922="","⚠ Quantity",IF(AND(ISNUMBER(L922),COUNTIF(L$1:L921,L922)&gt;0),"⚠ Same serial "&amp;L922,IF(AND(ISNUMBER(L922),L922&gt;MIN($L$2:$L$1001),COUNTIF($L$2:$L$1001,L922-1)=0,COUNTIF($L$2:$L$1001,L922-2)&lt;2),"⚠ Missing serial "&amp;(L922-1),IF(AND(MAX(K$1:K921)&gt;0,N(K922)-MAX(K$1:K921)&gt;180),"⚠ Gap &gt; 3h",IF(C922-I922&gt;=0.99,"next day",IF(C922-I922&gt;0.4,"12h → 24h","")))))))))))</f>
        <v/>
      </c>
      <c r="H922" s="4" t="str">
        <f t="shared" si="70"/>
        <v/>
      </c>
      <c r="I922" s="5" t="str">
        <f t="shared" si="71"/>
        <v/>
      </c>
      <c r="J922" s="6">
        <f t="shared" si="72"/>
        <v>0</v>
      </c>
      <c r="K922" s="4" t="str">
        <f t="shared" si="73"/>
        <v/>
      </c>
      <c r="L922" s="4" t="str">
        <f t="shared" si="74"/>
        <v/>
      </c>
      <c r="M922" s="4" t="b" cm="1">
        <f t="array" ref="M922">IF(H922="",FALSE,SUMPRODUCT(--(H$1:H921=H922))&gt;0)</f>
        <v>0</v>
      </c>
    </row>
    <row r="923" spans="1:13" x14ac:dyDescent="0.25">
      <c r="A923" s="9" t="str">
        <f>IF(OR(B923="",M923,G923="— ignored"),"",MAX(A$1:A922)+1)</f>
        <v/>
      </c>
      <c r="B923" s="10"/>
      <c r="C923" s="11" t="str">
        <f>IF(I923="","",ROUND((I923+0.5*MAX(0,CEILING(ROUND((MAX(C$1:C922)-1/48-I923)/0.5,6),1)))*1440,0)/1440)</f>
        <v/>
      </c>
      <c r="D923" s="9" t="str" cm="1">
        <f t="array" ref="D923">IF(H923="","",IFERROR(INDEX(Log!$C$19:$G$19,VALUE(MID(H923,FIND("#",H923)+1,1))),""))</f>
        <v/>
      </c>
      <c r="E923" s="9" t="str" cm="1">
        <f t="array" ref="E923">IF(OR(H923="",M923),"",IFERROR(_xlfn.LET(_xlpm.t,SUBSTITUTE(UPPER(H923),"م","M"),_xlpm.u,SUBSTITUTE(_xlpm.t,"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923" s="12"/>
      <c r="G923" s="13" t="str">
        <f>IF(B923="","",IF(M923,"⚠ Duplicate (not counted)",IF(AND(I923="",D923="",E923=""),"— ignored",IF(C923="","⚠ Time",IF(D923="","⚠ Plant",IF(E923="","⚠ Quantity",IF(AND(ISNUMBER(L923),COUNTIF(L$1:L922,L923)&gt;0),"⚠ Same serial "&amp;L923,IF(AND(ISNUMBER(L923),L923&gt;MIN($L$2:$L$1001),COUNTIF($L$2:$L$1001,L923-1)=0,COUNTIF($L$2:$L$1001,L923-2)&lt;2),"⚠ Missing serial "&amp;(L923-1),IF(AND(MAX(K$1:K922)&gt;0,N(K923)-MAX(K$1:K922)&gt;180),"⚠ Gap &gt; 3h",IF(C923-I923&gt;=0.99,"next day",IF(C923-I923&gt;0.4,"12h → 24h","")))))))))))</f>
        <v/>
      </c>
      <c r="H923" s="4" t="str">
        <f t="shared" si="70"/>
        <v/>
      </c>
      <c r="I923" s="5" t="str">
        <f t="shared" si="71"/>
        <v/>
      </c>
      <c r="J923" s="6">
        <f t="shared" si="72"/>
        <v>0</v>
      </c>
      <c r="K923" s="4" t="str">
        <f t="shared" si="73"/>
        <v/>
      </c>
      <c r="L923" s="4" t="str">
        <f t="shared" si="74"/>
        <v/>
      </c>
      <c r="M923" s="4" t="b" cm="1">
        <f t="array" ref="M923">IF(H923="",FALSE,SUMPRODUCT(--(H$1:H922=H923))&gt;0)</f>
        <v>0</v>
      </c>
    </row>
    <row r="924" spans="1:13" x14ac:dyDescent="0.25">
      <c r="A924" s="9" t="str">
        <f>IF(OR(B924="",M924,G924="— ignored"),"",MAX(A$1:A923)+1)</f>
        <v/>
      </c>
      <c r="B924" s="10"/>
      <c r="C924" s="11" t="str">
        <f>IF(I924="","",ROUND((I924+0.5*MAX(0,CEILING(ROUND((MAX(C$1:C923)-1/48-I924)/0.5,6),1)))*1440,0)/1440)</f>
        <v/>
      </c>
      <c r="D924" s="9" t="str" cm="1">
        <f t="array" ref="D924">IF(H924="","",IFERROR(INDEX(Log!$C$19:$G$19,VALUE(MID(H924,FIND("#",H924)+1,1))),""))</f>
        <v/>
      </c>
      <c r="E924" s="9" t="str" cm="1">
        <f t="array" ref="E924">IF(OR(H924="",M924),"",IFERROR(_xlfn.LET(_xlpm.t,SUBSTITUTE(UPPER(H924),"م","M"),_xlpm.u,SUBSTITUTE(_xlpm.t,"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924" s="12"/>
      <c r="G924" s="13" t="str">
        <f>IF(B924="","",IF(M924,"⚠ Duplicate (not counted)",IF(AND(I924="",D924="",E924=""),"— ignored",IF(C924="","⚠ Time",IF(D924="","⚠ Plant",IF(E924="","⚠ Quantity",IF(AND(ISNUMBER(L924),COUNTIF(L$1:L923,L924)&gt;0),"⚠ Same serial "&amp;L924,IF(AND(ISNUMBER(L924),L924&gt;MIN($L$2:$L$1001),COUNTIF($L$2:$L$1001,L924-1)=0,COUNTIF($L$2:$L$1001,L924-2)&lt;2),"⚠ Missing serial "&amp;(L924-1),IF(AND(MAX(K$1:K923)&gt;0,N(K924)-MAX(K$1:K923)&gt;180),"⚠ Gap &gt; 3h",IF(C924-I924&gt;=0.99,"next day",IF(C924-I924&gt;0.4,"12h → 24h","")))))))))))</f>
        <v/>
      </c>
      <c r="H924" s="4" t="str">
        <f t="shared" si="70"/>
        <v/>
      </c>
      <c r="I924" s="5" t="str">
        <f t="shared" si="71"/>
        <v/>
      </c>
      <c r="J924" s="6">
        <f t="shared" si="72"/>
        <v>0</v>
      </c>
      <c r="K924" s="4" t="str">
        <f t="shared" si="73"/>
        <v/>
      </c>
      <c r="L924" s="4" t="str">
        <f t="shared" si="74"/>
        <v/>
      </c>
      <c r="M924" s="4" t="b" cm="1">
        <f t="array" ref="M924">IF(H924="",FALSE,SUMPRODUCT(--(H$1:H923=H924))&gt;0)</f>
        <v>0</v>
      </c>
    </row>
    <row r="925" spans="1:13" x14ac:dyDescent="0.25">
      <c r="A925" s="9" t="str">
        <f>IF(OR(B925="",M925,G925="— ignored"),"",MAX(A$1:A924)+1)</f>
        <v/>
      </c>
      <c r="B925" s="10"/>
      <c r="C925" s="11" t="str">
        <f>IF(I925="","",ROUND((I925+0.5*MAX(0,CEILING(ROUND((MAX(C$1:C924)-1/48-I925)/0.5,6),1)))*1440,0)/1440)</f>
        <v/>
      </c>
      <c r="D925" s="9" t="str" cm="1">
        <f t="array" ref="D925">IF(H925="","",IFERROR(INDEX(Log!$C$19:$G$19,VALUE(MID(H925,FIND("#",H925)+1,1))),""))</f>
        <v/>
      </c>
      <c r="E925" s="9" t="str" cm="1">
        <f t="array" ref="E925">IF(OR(H925="",M925),"",IFERROR(_xlfn.LET(_xlpm.t,SUBSTITUTE(UPPER(H925),"م","M"),_xlpm.u,SUBSTITUTE(_xlpm.t,"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925" s="12"/>
      <c r="G925" s="13" t="str">
        <f>IF(B925="","",IF(M925,"⚠ Duplicate (not counted)",IF(AND(I925="",D925="",E925=""),"— ignored",IF(C925="","⚠ Time",IF(D925="","⚠ Plant",IF(E925="","⚠ Quantity",IF(AND(ISNUMBER(L925),COUNTIF(L$1:L924,L925)&gt;0),"⚠ Same serial "&amp;L925,IF(AND(ISNUMBER(L925),L925&gt;MIN($L$2:$L$1001),COUNTIF($L$2:$L$1001,L925-1)=0,COUNTIF($L$2:$L$1001,L925-2)&lt;2),"⚠ Missing serial "&amp;(L925-1),IF(AND(MAX(K$1:K924)&gt;0,N(K925)-MAX(K$1:K924)&gt;180),"⚠ Gap &gt; 3h",IF(C925-I925&gt;=0.99,"next day",IF(C925-I925&gt;0.4,"12h → 24h","")))))))))))</f>
        <v/>
      </c>
      <c r="H925" s="4" t="str">
        <f t="shared" si="70"/>
        <v/>
      </c>
      <c r="I925" s="5" t="str">
        <f t="shared" si="71"/>
        <v/>
      </c>
      <c r="J925" s="6">
        <f t="shared" si="72"/>
        <v>0</v>
      </c>
      <c r="K925" s="4" t="str">
        <f t="shared" si="73"/>
        <v/>
      </c>
      <c r="L925" s="4" t="str">
        <f t="shared" si="74"/>
        <v/>
      </c>
      <c r="M925" s="4" t="b" cm="1">
        <f t="array" ref="M925">IF(H925="",FALSE,SUMPRODUCT(--(H$1:H924=H925))&gt;0)</f>
        <v>0</v>
      </c>
    </row>
    <row r="926" spans="1:13" x14ac:dyDescent="0.25">
      <c r="A926" s="9" t="str">
        <f>IF(OR(B926="",M926,G926="— ignored"),"",MAX(A$1:A925)+1)</f>
        <v/>
      </c>
      <c r="B926" s="10"/>
      <c r="C926" s="11" t="str">
        <f>IF(I926="","",ROUND((I926+0.5*MAX(0,CEILING(ROUND((MAX(C$1:C925)-1/48-I926)/0.5,6),1)))*1440,0)/1440)</f>
        <v/>
      </c>
      <c r="D926" s="9" t="str" cm="1">
        <f t="array" ref="D926">IF(H926="","",IFERROR(INDEX(Log!$C$19:$G$19,VALUE(MID(H926,FIND("#",H926)+1,1))),""))</f>
        <v/>
      </c>
      <c r="E926" s="9" t="str" cm="1">
        <f t="array" ref="E926">IF(OR(H926="",M926),"",IFERROR(_xlfn.LET(_xlpm.t,SUBSTITUTE(UPPER(H926),"م","M"),_xlpm.u,SUBSTITUTE(_xlpm.t,"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926" s="12"/>
      <c r="G926" s="13" t="str">
        <f>IF(B926="","",IF(M926,"⚠ Duplicate (not counted)",IF(AND(I926="",D926="",E926=""),"— ignored",IF(C926="","⚠ Time",IF(D926="","⚠ Plant",IF(E926="","⚠ Quantity",IF(AND(ISNUMBER(L926),COUNTIF(L$1:L925,L926)&gt;0),"⚠ Same serial "&amp;L926,IF(AND(ISNUMBER(L926),L926&gt;MIN($L$2:$L$1001),COUNTIF($L$2:$L$1001,L926-1)=0,COUNTIF($L$2:$L$1001,L926-2)&lt;2),"⚠ Missing serial "&amp;(L926-1),IF(AND(MAX(K$1:K925)&gt;0,N(K926)-MAX(K$1:K925)&gt;180),"⚠ Gap &gt; 3h",IF(C926-I926&gt;=0.99,"next day",IF(C926-I926&gt;0.4,"12h → 24h","")))))))))))</f>
        <v/>
      </c>
      <c r="H926" s="4" t="str">
        <f t="shared" si="70"/>
        <v/>
      </c>
      <c r="I926" s="5" t="str">
        <f t="shared" si="71"/>
        <v/>
      </c>
      <c r="J926" s="6">
        <f t="shared" si="72"/>
        <v>0</v>
      </c>
      <c r="K926" s="4" t="str">
        <f t="shared" si="73"/>
        <v/>
      </c>
      <c r="L926" s="4" t="str">
        <f t="shared" si="74"/>
        <v/>
      </c>
      <c r="M926" s="4" t="b" cm="1">
        <f t="array" ref="M926">IF(H926="",FALSE,SUMPRODUCT(--(H$1:H925=H926))&gt;0)</f>
        <v>0</v>
      </c>
    </row>
    <row r="927" spans="1:13" x14ac:dyDescent="0.25">
      <c r="A927" s="9" t="str">
        <f>IF(OR(B927="",M927,G927="— ignored"),"",MAX(A$1:A926)+1)</f>
        <v/>
      </c>
      <c r="B927" s="10"/>
      <c r="C927" s="11" t="str">
        <f>IF(I927="","",ROUND((I927+0.5*MAX(0,CEILING(ROUND((MAX(C$1:C926)-1/48-I927)/0.5,6),1)))*1440,0)/1440)</f>
        <v/>
      </c>
      <c r="D927" s="9" t="str" cm="1">
        <f t="array" ref="D927">IF(H927="","",IFERROR(INDEX(Log!$C$19:$G$19,VALUE(MID(H927,FIND("#",H927)+1,1))),""))</f>
        <v/>
      </c>
      <c r="E927" s="9" t="str" cm="1">
        <f t="array" ref="E927">IF(OR(H927="",M927),"",IFERROR(_xlfn.LET(_xlpm.t,SUBSTITUTE(UPPER(H927),"م","M"),_xlpm.u,SUBSTITUTE(_xlpm.t,"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927" s="12"/>
      <c r="G927" s="13" t="str">
        <f>IF(B927="","",IF(M927,"⚠ Duplicate (not counted)",IF(AND(I927="",D927="",E927=""),"— ignored",IF(C927="","⚠ Time",IF(D927="","⚠ Plant",IF(E927="","⚠ Quantity",IF(AND(ISNUMBER(L927),COUNTIF(L$1:L926,L927)&gt;0),"⚠ Same serial "&amp;L927,IF(AND(ISNUMBER(L927),L927&gt;MIN($L$2:$L$1001),COUNTIF($L$2:$L$1001,L927-1)=0,COUNTIF($L$2:$L$1001,L927-2)&lt;2),"⚠ Missing serial "&amp;(L927-1),IF(AND(MAX(K$1:K926)&gt;0,N(K927)-MAX(K$1:K926)&gt;180),"⚠ Gap &gt; 3h",IF(C927-I927&gt;=0.99,"next day",IF(C927-I927&gt;0.4,"12h → 24h","")))))))))))</f>
        <v/>
      </c>
      <c r="H927" s="4" t="str">
        <f t="shared" si="70"/>
        <v/>
      </c>
      <c r="I927" s="5" t="str">
        <f t="shared" si="71"/>
        <v/>
      </c>
      <c r="J927" s="6">
        <f t="shared" si="72"/>
        <v>0</v>
      </c>
      <c r="K927" s="4" t="str">
        <f t="shared" si="73"/>
        <v/>
      </c>
      <c r="L927" s="4" t="str">
        <f t="shared" si="74"/>
        <v/>
      </c>
      <c r="M927" s="4" t="b" cm="1">
        <f t="array" ref="M927">IF(H927="",FALSE,SUMPRODUCT(--(H$1:H926=H927))&gt;0)</f>
        <v>0</v>
      </c>
    </row>
    <row r="928" spans="1:13" x14ac:dyDescent="0.25">
      <c r="A928" s="9" t="str">
        <f>IF(OR(B928="",M928,G928="— ignored"),"",MAX(A$1:A927)+1)</f>
        <v/>
      </c>
      <c r="B928" s="10"/>
      <c r="C928" s="11" t="str">
        <f>IF(I928="","",ROUND((I928+0.5*MAX(0,CEILING(ROUND((MAX(C$1:C927)-1/48-I928)/0.5,6),1)))*1440,0)/1440)</f>
        <v/>
      </c>
      <c r="D928" s="9" t="str" cm="1">
        <f t="array" ref="D928">IF(H928="","",IFERROR(INDEX(Log!$C$19:$G$19,VALUE(MID(H928,FIND("#",H928)+1,1))),""))</f>
        <v/>
      </c>
      <c r="E928" s="9" t="str" cm="1">
        <f t="array" ref="E928">IF(OR(H928="",M928),"",IFERROR(_xlfn.LET(_xlpm.t,SUBSTITUTE(UPPER(H928),"م","M"),_xlpm.u,SUBSTITUTE(_xlpm.t,"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928" s="12"/>
      <c r="G928" s="13" t="str">
        <f>IF(B928="","",IF(M928,"⚠ Duplicate (not counted)",IF(AND(I928="",D928="",E928=""),"— ignored",IF(C928="","⚠ Time",IF(D928="","⚠ Plant",IF(E928="","⚠ Quantity",IF(AND(ISNUMBER(L928),COUNTIF(L$1:L927,L928)&gt;0),"⚠ Same serial "&amp;L928,IF(AND(ISNUMBER(L928),L928&gt;MIN($L$2:$L$1001),COUNTIF($L$2:$L$1001,L928-1)=0,COUNTIF($L$2:$L$1001,L928-2)&lt;2),"⚠ Missing serial "&amp;(L928-1),IF(AND(MAX(K$1:K927)&gt;0,N(K928)-MAX(K$1:K927)&gt;180),"⚠ Gap &gt; 3h",IF(C928-I928&gt;=0.99,"next day",IF(C928-I928&gt;0.4,"12h → 24h","")))))))))))</f>
        <v/>
      </c>
      <c r="H928" s="4" t="str">
        <f t="shared" si="70"/>
        <v/>
      </c>
      <c r="I928" s="5" t="str">
        <f t="shared" si="71"/>
        <v/>
      </c>
      <c r="J928" s="6">
        <f t="shared" si="72"/>
        <v>0</v>
      </c>
      <c r="K928" s="4" t="str">
        <f t="shared" si="73"/>
        <v/>
      </c>
      <c r="L928" s="4" t="str">
        <f t="shared" si="74"/>
        <v/>
      </c>
      <c r="M928" s="4" t="b" cm="1">
        <f t="array" ref="M928">IF(H928="",FALSE,SUMPRODUCT(--(H$1:H927=H928))&gt;0)</f>
        <v>0</v>
      </c>
    </row>
    <row r="929" spans="1:13" x14ac:dyDescent="0.25">
      <c r="A929" s="9" t="str">
        <f>IF(OR(B929="",M929,G929="— ignored"),"",MAX(A$1:A928)+1)</f>
        <v/>
      </c>
      <c r="B929" s="10"/>
      <c r="C929" s="11" t="str">
        <f>IF(I929="","",ROUND((I929+0.5*MAX(0,CEILING(ROUND((MAX(C$1:C928)-1/48-I929)/0.5,6),1)))*1440,0)/1440)</f>
        <v/>
      </c>
      <c r="D929" s="9" t="str" cm="1">
        <f t="array" ref="D929">IF(H929="","",IFERROR(INDEX(Log!$C$19:$G$19,VALUE(MID(H929,FIND("#",H929)+1,1))),""))</f>
        <v/>
      </c>
      <c r="E929" s="9" t="str" cm="1">
        <f t="array" ref="E929">IF(OR(H929="",M929),"",IFERROR(_xlfn.LET(_xlpm.t,SUBSTITUTE(UPPER(H929),"م","M"),_xlpm.u,SUBSTITUTE(_xlpm.t,"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929" s="12"/>
      <c r="G929" s="13" t="str">
        <f>IF(B929="","",IF(M929,"⚠ Duplicate (not counted)",IF(AND(I929="",D929="",E929=""),"— ignored",IF(C929="","⚠ Time",IF(D929="","⚠ Plant",IF(E929="","⚠ Quantity",IF(AND(ISNUMBER(L929),COUNTIF(L$1:L928,L929)&gt;0),"⚠ Same serial "&amp;L929,IF(AND(ISNUMBER(L929),L929&gt;MIN($L$2:$L$1001),COUNTIF($L$2:$L$1001,L929-1)=0,COUNTIF($L$2:$L$1001,L929-2)&lt;2),"⚠ Missing serial "&amp;(L929-1),IF(AND(MAX(K$1:K928)&gt;0,N(K929)-MAX(K$1:K928)&gt;180),"⚠ Gap &gt; 3h",IF(C929-I929&gt;=0.99,"next day",IF(C929-I929&gt;0.4,"12h → 24h","")))))))))))</f>
        <v/>
      </c>
      <c r="H929" s="4" t="str">
        <f t="shared" si="70"/>
        <v/>
      </c>
      <c r="I929" s="5" t="str">
        <f t="shared" si="71"/>
        <v/>
      </c>
      <c r="J929" s="6">
        <f t="shared" si="72"/>
        <v>0</v>
      </c>
      <c r="K929" s="4" t="str">
        <f t="shared" si="73"/>
        <v/>
      </c>
      <c r="L929" s="4" t="str">
        <f t="shared" si="74"/>
        <v/>
      </c>
      <c r="M929" s="4" t="b" cm="1">
        <f t="array" ref="M929">IF(H929="",FALSE,SUMPRODUCT(--(H$1:H928=H929))&gt;0)</f>
        <v>0</v>
      </c>
    </row>
    <row r="930" spans="1:13" x14ac:dyDescent="0.25">
      <c r="A930" s="9" t="str">
        <f>IF(OR(B930="",M930,G930="— ignored"),"",MAX(A$1:A929)+1)</f>
        <v/>
      </c>
      <c r="B930" s="10"/>
      <c r="C930" s="11" t="str">
        <f>IF(I930="","",ROUND((I930+0.5*MAX(0,CEILING(ROUND((MAX(C$1:C929)-1/48-I930)/0.5,6),1)))*1440,0)/1440)</f>
        <v/>
      </c>
      <c r="D930" s="9" t="str" cm="1">
        <f t="array" ref="D930">IF(H930="","",IFERROR(INDEX(Log!$C$19:$G$19,VALUE(MID(H930,FIND("#",H930)+1,1))),""))</f>
        <v/>
      </c>
      <c r="E930" s="9" t="str" cm="1">
        <f t="array" ref="E930">IF(OR(H930="",M930),"",IFERROR(_xlfn.LET(_xlpm.t,SUBSTITUTE(UPPER(H930),"م","M"),_xlpm.u,SUBSTITUTE(_xlpm.t,"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930" s="12"/>
      <c r="G930" s="13" t="str">
        <f>IF(B930="","",IF(M930,"⚠ Duplicate (not counted)",IF(AND(I930="",D930="",E930=""),"— ignored",IF(C930="","⚠ Time",IF(D930="","⚠ Plant",IF(E930="","⚠ Quantity",IF(AND(ISNUMBER(L930),COUNTIF(L$1:L929,L930)&gt;0),"⚠ Same serial "&amp;L930,IF(AND(ISNUMBER(L930),L930&gt;MIN($L$2:$L$1001),COUNTIF($L$2:$L$1001,L930-1)=0,COUNTIF($L$2:$L$1001,L930-2)&lt;2),"⚠ Missing serial "&amp;(L930-1),IF(AND(MAX(K$1:K929)&gt;0,N(K930)-MAX(K$1:K929)&gt;180),"⚠ Gap &gt; 3h",IF(C930-I930&gt;=0.99,"next day",IF(C930-I930&gt;0.4,"12h → 24h","")))))))))))</f>
        <v/>
      </c>
      <c r="H930" s="4" t="str">
        <f t="shared" si="70"/>
        <v/>
      </c>
      <c r="I930" s="5" t="str">
        <f t="shared" si="71"/>
        <v/>
      </c>
      <c r="J930" s="6">
        <f t="shared" si="72"/>
        <v>0</v>
      </c>
      <c r="K930" s="4" t="str">
        <f t="shared" si="73"/>
        <v/>
      </c>
      <c r="L930" s="4" t="str">
        <f t="shared" si="74"/>
        <v/>
      </c>
      <c r="M930" s="4" t="b" cm="1">
        <f t="array" ref="M930">IF(H930="",FALSE,SUMPRODUCT(--(H$1:H929=H930))&gt;0)</f>
        <v>0</v>
      </c>
    </row>
    <row r="931" spans="1:13" x14ac:dyDescent="0.25">
      <c r="A931" s="9" t="str">
        <f>IF(OR(B931="",M931,G931="— ignored"),"",MAX(A$1:A930)+1)</f>
        <v/>
      </c>
      <c r="B931" s="10"/>
      <c r="C931" s="11" t="str">
        <f>IF(I931="","",ROUND((I931+0.5*MAX(0,CEILING(ROUND((MAX(C$1:C930)-1/48-I931)/0.5,6),1)))*1440,0)/1440)</f>
        <v/>
      </c>
      <c r="D931" s="9" t="str" cm="1">
        <f t="array" ref="D931">IF(H931="","",IFERROR(INDEX(Log!$C$19:$G$19,VALUE(MID(H931,FIND("#",H931)+1,1))),""))</f>
        <v/>
      </c>
      <c r="E931" s="9" t="str" cm="1">
        <f t="array" ref="E931">IF(OR(H931="",M931),"",IFERROR(_xlfn.LET(_xlpm.t,SUBSTITUTE(UPPER(H931),"م","M"),_xlpm.u,SUBSTITUTE(_xlpm.t,"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931" s="12"/>
      <c r="G931" s="13" t="str">
        <f>IF(B931="","",IF(M931,"⚠ Duplicate (not counted)",IF(AND(I931="",D931="",E931=""),"— ignored",IF(C931="","⚠ Time",IF(D931="","⚠ Plant",IF(E931="","⚠ Quantity",IF(AND(ISNUMBER(L931),COUNTIF(L$1:L930,L931)&gt;0),"⚠ Same serial "&amp;L931,IF(AND(ISNUMBER(L931),L931&gt;MIN($L$2:$L$1001),COUNTIF($L$2:$L$1001,L931-1)=0,COUNTIF($L$2:$L$1001,L931-2)&lt;2),"⚠ Missing serial "&amp;(L931-1),IF(AND(MAX(K$1:K930)&gt;0,N(K931)-MAX(K$1:K930)&gt;180),"⚠ Gap &gt; 3h",IF(C931-I931&gt;=0.99,"next day",IF(C931-I931&gt;0.4,"12h → 24h","")))))))))))</f>
        <v/>
      </c>
      <c r="H931" s="4" t="str">
        <f t="shared" si="70"/>
        <v/>
      </c>
      <c r="I931" s="5" t="str">
        <f t="shared" si="71"/>
        <v/>
      </c>
      <c r="J931" s="6">
        <f t="shared" si="72"/>
        <v>0</v>
      </c>
      <c r="K931" s="4" t="str">
        <f t="shared" si="73"/>
        <v/>
      </c>
      <c r="L931" s="4" t="str">
        <f t="shared" si="74"/>
        <v/>
      </c>
      <c r="M931" s="4" t="b" cm="1">
        <f t="array" ref="M931">IF(H931="",FALSE,SUMPRODUCT(--(H$1:H930=H931))&gt;0)</f>
        <v>0</v>
      </c>
    </row>
    <row r="932" spans="1:13" x14ac:dyDescent="0.25">
      <c r="A932" s="9" t="str">
        <f>IF(OR(B932="",M932,G932="— ignored"),"",MAX(A$1:A931)+1)</f>
        <v/>
      </c>
      <c r="B932" s="10"/>
      <c r="C932" s="11" t="str">
        <f>IF(I932="","",ROUND((I932+0.5*MAX(0,CEILING(ROUND((MAX(C$1:C931)-1/48-I932)/0.5,6),1)))*1440,0)/1440)</f>
        <v/>
      </c>
      <c r="D932" s="9" t="str" cm="1">
        <f t="array" ref="D932">IF(H932="","",IFERROR(INDEX(Log!$C$19:$G$19,VALUE(MID(H932,FIND("#",H932)+1,1))),""))</f>
        <v/>
      </c>
      <c r="E932" s="9" t="str" cm="1">
        <f t="array" ref="E932">IF(OR(H932="",M932),"",IFERROR(_xlfn.LET(_xlpm.t,SUBSTITUTE(UPPER(H932),"م","M"),_xlpm.u,SUBSTITUTE(_xlpm.t,"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932" s="12"/>
      <c r="G932" s="13" t="str">
        <f>IF(B932="","",IF(M932,"⚠ Duplicate (not counted)",IF(AND(I932="",D932="",E932=""),"— ignored",IF(C932="","⚠ Time",IF(D932="","⚠ Plant",IF(E932="","⚠ Quantity",IF(AND(ISNUMBER(L932),COUNTIF(L$1:L931,L932)&gt;0),"⚠ Same serial "&amp;L932,IF(AND(ISNUMBER(L932),L932&gt;MIN($L$2:$L$1001),COUNTIF($L$2:$L$1001,L932-1)=0,COUNTIF($L$2:$L$1001,L932-2)&lt;2),"⚠ Missing serial "&amp;(L932-1),IF(AND(MAX(K$1:K931)&gt;0,N(K932)-MAX(K$1:K931)&gt;180),"⚠ Gap &gt; 3h",IF(C932-I932&gt;=0.99,"next day",IF(C932-I932&gt;0.4,"12h → 24h","")))))))))))</f>
        <v/>
      </c>
      <c r="H932" s="4" t="str">
        <f t="shared" si="70"/>
        <v/>
      </c>
      <c r="I932" s="5" t="str">
        <f t="shared" si="71"/>
        <v/>
      </c>
      <c r="J932" s="6">
        <f t="shared" si="72"/>
        <v>0</v>
      </c>
      <c r="K932" s="4" t="str">
        <f t="shared" si="73"/>
        <v/>
      </c>
      <c r="L932" s="4" t="str">
        <f t="shared" si="74"/>
        <v/>
      </c>
      <c r="M932" s="4" t="b" cm="1">
        <f t="array" ref="M932">IF(H932="",FALSE,SUMPRODUCT(--(H$1:H931=H932))&gt;0)</f>
        <v>0</v>
      </c>
    </row>
    <row r="933" spans="1:13" x14ac:dyDescent="0.25">
      <c r="A933" s="9" t="str">
        <f>IF(OR(B933="",M933,G933="— ignored"),"",MAX(A$1:A932)+1)</f>
        <v/>
      </c>
      <c r="B933" s="10"/>
      <c r="C933" s="11" t="str">
        <f>IF(I933="","",ROUND((I933+0.5*MAX(0,CEILING(ROUND((MAX(C$1:C932)-1/48-I933)/0.5,6),1)))*1440,0)/1440)</f>
        <v/>
      </c>
      <c r="D933" s="9" t="str" cm="1">
        <f t="array" ref="D933">IF(H933="","",IFERROR(INDEX(Log!$C$19:$G$19,VALUE(MID(H933,FIND("#",H933)+1,1))),""))</f>
        <v/>
      </c>
      <c r="E933" s="9" t="str" cm="1">
        <f t="array" ref="E933">IF(OR(H933="",M933),"",IFERROR(_xlfn.LET(_xlpm.t,SUBSTITUTE(UPPER(H933),"م","M"),_xlpm.u,SUBSTITUTE(_xlpm.t,"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933" s="12"/>
      <c r="G933" s="13" t="str">
        <f>IF(B933="","",IF(M933,"⚠ Duplicate (not counted)",IF(AND(I933="",D933="",E933=""),"— ignored",IF(C933="","⚠ Time",IF(D933="","⚠ Plant",IF(E933="","⚠ Quantity",IF(AND(ISNUMBER(L933),COUNTIF(L$1:L932,L933)&gt;0),"⚠ Same serial "&amp;L933,IF(AND(ISNUMBER(L933),L933&gt;MIN($L$2:$L$1001),COUNTIF($L$2:$L$1001,L933-1)=0,COUNTIF($L$2:$L$1001,L933-2)&lt;2),"⚠ Missing serial "&amp;(L933-1),IF(AND(MAX(K$1:K932)&gt;0,N(K933)-MAX(K$1:K932)&gt;180),"⚠ Gap &gt; 3h",IF(C933-I933&gt;=0.99,"next day",IF(C933-I933&gt;0.4,"12h → 24h","")))))))))))</f>
        <v/>
      </c>
      <c r="H933" s="4" t="str">
        <f t="shared" si="70"/>
        <v/>
      </c>
      <c r="I933" s="5" t="str">
        <f t="shared" si="71"/>
        <v/>
      </c>
      <c r="J933" s="6">
        <f t="shared" si="72"/>
        <v>0</v>
      </c>
      <c r="K933" s="4" t="str">
        <f t="shared" si="73"/>
        <v/>
      </c>
      <c r="L933" s="4" t="str">
        <f t="shared" si="74"/>
        <v/>
      </c>
      <c r="M933" s="4" t="b" cm="1">
        <f t="array" ref="M933">IF(H933="",FALSE,SUMPRODUCT(--(H$1:H932=H933))&gt;0)</f>
        <v>0</v>
      </c>
    </row>
    <row r="934" spans="1:13" x14ac:dyDescent="0.25">
      <c r="A934" s="9" t="str">
        <f>IF(OR(B934="",M934,G934="— ignored"),"",MAX(A$1:A933)+1)</f>
        <v/>
      </c>
      <c r="B934" s="10"/>
      <c r="C934" s="11" t="str">
        <f>IF(I934="","",ROUND((I934+0.5*MAX(0,CEILING(ROUND((MAX(C$1:C933)-1/48-I934)/0.5,6),1)))*1440,0)/1440)</f>
        <v/>
      </c>
      <c r="D934" s="9" t="str" cm="1">
        <f t="array" ref="D934">IF(H934="","",IFERROR(INDEX(Log!$C$19:$G$19,VALUE(MID(H934,FIND("#",H934)+1,1))),""))</f>
        <v/>
      </c>
      <c r="E934" s="9" t="str" cm="1">
        <f t="array" ref="E934">IF(OR(H934="",M934),"",IFERROR(_xlfn.LET(_xlpm.t,SUBSTITUTE(UPPER(H934),"م","M"),_xlpm.u,SUBSTITUTE(_xlpm.t,"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934" s="12"/>
      <c r="G934" s="13" t="str">
        <f>IF(B934="","",IF(M934,"⚠ Duplicate (not counted)",IF(AND(I934="",D934="",E934=""),"— ignored",IF(C934="","⚠ Time",IF(D934="","⚠ Plant",IF(E934="","⚠ Quantity",IF(AND(ISNUMBER(L934),COUNTIF(L$1:L933,L934)&gt;0),"⚠ Same serial "&amp;L934,IF(AND(ISNUMBER(L934),L934&gt;MIN($L$2:$L$1001),COUNTIF($L$2:$L$1001,L934-1)=0,COUNTIF($L$2:$L$1001,L934-2)&lt;2),"⚠ Missing serial "&amp;(L934-1),IF(AND(MAX(K$1:K933)&gt;0,N(K934)-MAX(K$1:K933)&gt;180),"⚠ Gap &gt; 3h",IF(C934-I934&gt;=0.99,"next day",IF(C934-I934&gt;0.4,"12h → 24h","")))))))))))</f>
        <v/>
      </c>
      <c r="H934" s="4" t="str">
        <f t="shared" si="70"/>
        <v/>
      </c>
      <c r="I934" s="5" t="str">
        <f t="shared" si="71"/>
        <v/>
      </c>
      <c r="J934" s="6">
        <f t="shared" si="72"/>
        <v>0</v>
      </c>
      <c r="K934" s="4" t="str">
        <f t="shared" si="73"/>
        <v/>
      </c>
      <c r="L934" s="4" t="str">
        <f t="shared" si="74"/>
        <v/>
      </c>
      <c r="M934" s="4" t="b" cm="1">
        <f t="array" ref="M934">IF(H934="",FALSE,SUMPRODUCT(--(H$1:H933=H934))&gt;0)</f>
        <v>0</v>
      </c>
    </row>
    <row r="935" spans="1:13" x14ac:dyDescent="0.25">
      <c r="A935" s="9" t="str">
        <f>IF(OR(B935="",M935,G935="— ignored"),"",MAX(A$1:A934)+1)</f>
        <v/>
      </c>
      <c r="B935" s="10"/>
      <c r="C935" s="11" t="str">
        <f>IF(I935="","",ROUND((I935+0.5*MAX(0,CEILING(ROUND((MAX(C$1:C934)-1/48-I935)/0.5,6),1)))*1440,0)/1440)</f>
        <v/>
      </c>
      <c r="D935" s="9" t="str" cm="1">
        <f t="array" ref="D935">IF(H935="","",IFERROR(INDEX(Log!$C$19:$G$19,VALUE(MID(H935,FIND("#",H935)+1,1))),""))</f>
        <v/>
      </c>
      <c r="E935" s="9" t="str" cm="1">
        <f t="array" ref="E935">IF(OR(H935="",M935),"",IFERROR(_xlfn.LET(_xlpm.t,SUBSTITUTE(UPPER(H935),"م","M"),_xlpm.u,SUBSTITUTE(_xlpm.t,"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935" s="12"/>
      <c r="G935" s="13" t="str">
        <f>IF(B935="","",IF(M935,"⚠ Duplicate (not counted)",IF(AND(I935="",D935="",E935=""),"— ignored",IF(C935="","⚠ Time",IF(D935="","⚠ Plant",IF(E935="","⚠ Quantity",IF(AND(ISNUMBER(L935),COUNTIF(L$1:L934,L935)&gt;0),"⚠ Same serial "&amp;L935,IF(AND(ISNUMBER(L935),L935&gt;MIN($L$2:$L$1001),COUNTIF($L$2:$L$1001,L935-1)=0,COUNTIF($L$2:$L$1001,L935-2)&lt;2),"⚠ Missing serial "&amp;(L935-1),IF(AND(MAX(K$1:K934)&gt;0,N(K935)-MAX(K$1:K934)&gt;180),"⚠ Gap &gt; 3h",IF(C935-I935&gt;=0.99,"next day",IF(C935-I935&gt;0.4,"12h → 24h","")))))))))))</f>
        <v/>
      </c>
      <c r="H935" s="4" t="str">
        <f t="shared" si="70"/>
        <v/>
      </c>
      <c r="I935" s="5" t="str">
        <f t="shared" si="71"/>
        <v/>
      </c>
      <c r="J935" s="6">
        <f t="shared" si="72"/>
        <v>0</v>
      </c>
      <c r="K935" s="4" t="str">
        <f t="shared" si="73"/>
        <v/>
      </c>
      <c r="L935" s="4" t="str">
        <f t="shared" si="74"/>
        <v/>
      </c>
      <c r="M935" s="4" t="b" cm="1">
        <f t="array" ref="M935">IF(H935="",FALSE,SUMPRODUCT(--(H$1:H934=H935))&gt;0)</f>
        <v>0</v>
      </c>
    </row>
    <row r="936" spans="1:13" x14ac:dyDescent="0.25">
      <c r="A936" s="9" t="str">
        <f>IF(OR(B936="",M936,G936="— ignored"),"",MAX(A$1:A935)+1)</f>
        <v/>
      </c>
      <c r="B936" s="10"/>
      <c r="C936" s="11" t="str">
        <f>IF(I936="","",ROUND((I936+0.5*MAX(0,CEILING(ROUND((MAX(C$1:C935)-1/48-I936)/0.5,6),1)))*1440,0)/1440)</f>
        <v/>
      </c>
      <c r="D936" s="9" t="str" cm="1">
        <f t="array" ref="D936">IF(H936="","",IFERROR(INDEX(Log!$C$19:$G$19,VALUE(MID(H936,FIND("#",H936)+1,1))),""))</f>
        <v/>
      </c>
      <c r="E936" s="9" t="str" cm="1">
        <f t="array" ref="E936">IF(OR(H936="",M936),"",IFERROR(_xlfn.LET(_xlpm.t,SUBSTITUTE(UPPER(H936),"م","M"),_xlpm.u,SUBSTITUTE(_xlpm.t,"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936" s="12"/>
      <c r="G936" s="13" t="str">
        <f>IF(B936="","",IF(M936,"⚠ Duplicate (not counted)",IF(AND(I936="",D936="",E936=""),"— ignored",IF(C936="","⚠ Time",IF(D936="","⚠ Plant",IF(E936="","⚠ Quantity",IF(AND(ISNUMBER(L936),COUNTIF(L$1:L935,L936)&gt;0),"⚠ Same serial "&amp;L936,IF(AND(ISNUMBER(L936),L936&gt;MIN($L$2:$L$1001),COUNTIF($L$2:$L$1001,L936-1)=0,COUNTIF($L$2:$L$1001,L936-2)&lt;2),"⚠ Missing serial "&amp;(L936-1),IF(AND(MAX(K$1:K935)&gt;0,N(K936)-MAX(K$1:K935)&gt;180),"⚠ Gap &gt; 3h",IF(C936-I936&gt;=0.99,"next day",IF(C936-I936&gt;0.4,"12h → 24h","")))))))))))</f>
        <v/>
      </c>
      <c r="H936" s="4" t="str">
        <f t="shared" si="70"/>
        <v/>
      </c>
      <c r="I936" s="5" t="str">
        <f t="shared" si="71"/>
        <v/>
      </c>
      <c r="J936" s="6">
        <f t="shared" si="72"/>
        <v>0</v>
      </c>
      <c r="K936" s="4" t="str">
        <f t="shared" si="73"/>
        <v/>
      </c>
      <c r="L936" s="4" t="str">
        <f t="shared" si="74"/>
        <v/>
      </c>
      <c r="M936" s="4" t="b" cm="1">
        <f t="array" ref="M936">IF(H936="",FALSE,SUMPRODUCT(--(H$1:H935=H936))&gt;0)</f>
        <v>0</v>
      </c>
    </row>
    <row r="937" spans="1:13" x14ac:dyDescent="0.25">
      <c r="A937" s="9" t="str">
        <f>IF(OR(B937="",M937,G937="— ignored"),"",MAX(A$1:A936)+1)</f>
        <v/>
      </c>
      <c r="B937" s="10"/>
      <c r="C937" s="11" t="str">
        <f>IF(I937="","",ROUND((I937+0.5*MAX(0,CEILING(ROUND((MAX(C$1:C936)-1/48-I937)/0.5,6),1)))*1440,0)/1440)</f>
        <v/>
      </c>
      <c r="D937" s="9" t="str" cm="1">
        <f t="array" ref="D937">IF(H937="","",IFERROR(INDEX(Log!$C$19:$G$19,VALUE(MID(H937,FIND("#",H937)+1,1))),""))</f>
        <v/>
      </c>
      <c r="E937" s="9" t="str" cm="1">
        <f t="array" ref="E937">IF(OR(H937="",M937),"",IFERROR(_xlfn.LET(_xlpm.t,SUBSTITUTE(UPPER(H937),"م","M"),_xlpm.u,SUBSTITUTE(_xlpm.t,"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937" s="12"/>
      <c r="G937" s="13" t="str">
        <f>IF(B937="","",IF(M937,"⚠ Duplicate (not counted)",IF(AND(I937="",D937="",E937=""),"— ignored",IF(C937="","⚠ Time",IF(D937="","⚠ Plant",IF(E937="","⚠ Quantity",IF(AND(ISNUMBER(L937),COUNTIF(L$1:L936,L937)&gt;0),"⚠ Same serial "&amp;L937,IF(AND(ISNUMBER(L937),L937&gt;MIN($L$2:$L$1001),COUNTIF($L$2:$L$1001,L937-1)=0,COUNTIF($L$2:$L$1001,L937-2)&lt;2),"⚠ Missing serial "&amp;(L937-1),IF(AND(MAX(K$1:K936)&gt;0,N(K937)-MAX(K$1:K936)&gt;180),"⚠ Gap &gt; 3h",IF(C937-I937&gt;=0.99,"next day",IF(C937-I937&gt;0.4,"12h → 24h","")))))))))))</f>
        <v/>
      </c>
      <c r="H937" s="4" t="str">
        <f t="shared" si="70"/>
        <v/>
      </c>
      <c r="I937" s="5" t="str">
        <f t="shared" si="71"/>
        <v/>
      </c>
      <c r="J937" s="6">
        <f t="shared" si="72"/>
        <v>0</v>
      </c>
      <c r="K937" s="4" t="str">
        <f t="shared" si="73"/>
        <v/>
      </c>
      <c r="L937" s="4" t="str">
        <f t="shared" si="74"/>
        <v/>
      </c>
      <c r="M937" s="4" t="b" cm="1">
        <f t="array" ref="M937">IF(H937="",FALSE,SUMPRODUCT(--(H$1:H936=H937))&gt;0)</f>
        <v>0</v>
      </c>
    </row>
    <row r="938" spans="1:13" x14ac:dyDescent="0.25">
      <c r="A938" s="9" t="str">
        <f>IF(OR(B938="",M938,G938="— ignored"),"",MAX(A$1:A937)+1)</f>
        <v/>
      </c>
      <c r="B938" s="10"/>
      <c r="C938" s="11" t="str">
        <f>IF(I938="","",ROUND((I938+0.5*MAX(0,CEILING(ROUND((MAX(C$1:C937)-1/48-I938)/0.5,6),1)))*1440,0)/1440)</f>
        <v/>
      </c>
      <c r="D938" s="9" t="str" cm="1">
        <f t="array" ref="D938">IF(H938="","",IFERROR(INDEX(Log!$C$19:$G$19,VALUE(MID(H938,FIND("#",H938)+1,1))),""))</f>
        <v/>
      </c>
      <c r="E938" s="9" t="str" cm="1">
        <f t="array" ref="E938">IF(OR(H938="",M938),"",IFERROR(_xlfn.LET(_xlpm.t,SUBSTITUTE(UPPER(H938),"م","M"),_xlpm.u,SUBSTITUTE(_xlpm.t,"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938" s="12"/>
      <c r="G938" s="13" t="str">
        <f>IF(B938="","",IF(M938,"⚠ Duplicate (not counted)",IF(AND(I938="",D938="",E938=""),"— ignored",IF(C938="","⚠ Time",IF(D938="","⚠ Plant",IF(E938="","⚠ Quantity",IF(AND(ISNUMBER(L938),COUNTIF(L$1:L937,L938)&gt;0),"⚠ Same serial "&amp;L938,IF(AND(ISNUMBER(L938),L938&gt;MIN($L$2:$L$1001),COUNTIF($L$2:$L$1001,L938-1)=0,COUNTIF($L$2:$L$1001,L938-2)&lt;2),"⚠ Missing serial "&amp;(L938-1),IF(AND(MAX(K$1:K937)&gt;0,N(K938)-MAX(K$1:K937)&gt;180),"⚠ Gap &gt; 3h",IF(C938-I938&gt;=0.99,"next day",IF(C938-I938&gt;0.4,"12h → 24h","")))))))))))</f>
        <v/>
      </c>
      <c r="H938" s="4" t="str">
        <f t="shared" si="70"/>
        <v/>
      </c>
      <c r="I938" s="5" t="str">
        <f t="shared" si="71"/>
        <v/>
      </c>
      <c r="J938" s="6">
        <f t="shared" si="72"/>
        <v>0</v>
      </c>
      <c r="K938" s="4" t="str">
        <f t="shared" si="73"/>
        <v/>
      </c>
      <c r="L938" s="4" t="str">
        <f t="shared" si="74"/>
        <v/>
      </c>
      <c r="M938" s="4" t="b" cm="1">
        <f t="array" ref="M938">IF(H938="",FALSE,SUMPRODUCT(--(H$1:H937=H938))&gt;0)</f>
        <v>0</v>
      </c>
    </row>
    <row r="939" spans="1:13" x14ac:dyDescent="0.25">
      <c r="A939" s="9" t="str">
        <f>IF(OR(B939="",M939,G939="— ignored"),"",MAX(A$1:A938)+1)</f>
        <v/>
      </c>
      <c r="B939" s="10"/>
      <c r="C939" s="11" t="str">
        <f>IF(I939="","",ROUND((I939+0.5*MAX(0,CEILING(ROUND((MAX(C$1:C938)-1/48-I939)/0.5,6),1)))*1440,0)/1440)</f>
        <v/>
      </c>
      <c r="D939" s="9" t="str" cm="1">
        <f t="array" ref="D939">IF(H939="","",IFERROR(INDEX(Log!$C$19:$G$19,VALUE(MID(H939,FIND("#",H939)+1,1))),""))</f>
        <v/>
      </c>
      <c r="E939" s="9" t="str" cm="1">
        <f t="array" ref="E939">IF(OR(H939="",M939),"",IFERROR(_xlfn.LET(_xlpm.t,SUBSTITUTE(UPPER(H939),"م","M"),_xlpm.u,SUBSTITUTE(_xlpm.t,"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939" s="12"/>
      <c r="G939" s="13" t="str">
        <f>IF(B939="","",IF(M939,"⚠ Duplicate (not counted)",IF(AND(I939="",D939="",E939=""),"— ignored",IF(C939="","⚠ Time",IF(D939="","⚠ Plant",IF(E939="","⚠ Quantity",IF(AND(ISNUMBER(L939),COUNTIF(L$1:L938,L939)&gt;0),"⚠ Same serial "&amp;L939,IF(AND(ISNUMBER(L939),L939&gt;MIN($L$2:$L$1001),COUNTIF($L$2:$L$1001,L939-1)=0,COUNTIF($L$2:$L$1001,L939-2)&lt;2),"⚠ Missing serial "&amp;(L939-1),IF(AND(MAX(K$1:K938)&gt;0,N(K939)-MAX(K$1:K938)&gt;180),"⚠ Gap &gt; 3h",IF(C939-I939&gt;=0.99,"next day",IF(C939-I939&gt;0.4,"12h → 24h","")))))))))))</f>
        <v/>
      </c>
      <c r="H939" s="4" t="str">
        <f t="shared" si="70"/>
        <v/>
      </c>
      <c r="I939" s="5" t="str">
        <f t="shared" si="71"/>
        <v/>
      </c>
      <c r="J939" s="6">
        <f t="shared" si="72"/>
        <v>0</v>
      </c>
      <c r="K939" s="4" t="str">
        <f t="shared" si="73"/>
        <v/>
      </c>
      <c r="L939" s="4" t="str">
        <f t="shared" si="74"/>
        <v/>
      </c>
      <c r="M939" s="4" t="b" cm="1">
        <f t="array" ref="M939">IF(H939="",FALSE,SUMPRODUCT(--(H$1:H938=H939))&gt;0)</f>
        <v>0</v>
      </c>
    </row>
    <row r="940" spans="1:13" x14ac:dyDescent="0.25">
      <c r="A940" s="9" t="str">
        <f>IF(OR(B940="",M940,G940="— ignored"),"",MAX(A$1:A939)+1)</f>
        <v/>
      </c>
      <c r="B940" s="10"/>
      <c r="C940" s="11" t="str">
        <f>IF(I940="","",ROUND((I940+0.5*MAX(0,CEILING(ROUND((MAX(C$1:C939)-1/48-I940)/0.5,6),1)))*1440,0)/1440)</f>
        <v/>
      </c>
      <c r="D940" s="9" t="str" cm="1">
        <f t="array" ref="D940">IF(H940="","",IFERROR(INDEX(Log!$C$19:$G$19,VALUE(MID(H940,FIND("#",H940)+1,1))),""))</f>
        <v/>
      </c>
      <c r="E940" s="9" t="str" cm="1">
        <f t="array" ref="E940">IF(OR(H940="",M940),"",IFERROR(_xlfn.LET(_xlpm.t,SUBSTITUTE(UPPER(H940),"م","M"),_xlpm.u,SUBSTITUTE(_xlpm.t,"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940" s="12"/>
      <c r="G940" s="13" t="str">
        <f>IF(B940="","",IF(M940,"⚠ Duplicate (not counted)",IF(AND(I940="",D940="",E940=""),"— ignored",IF(C940="","⚠ Time",IF(D940="","⚠ Plant",IF(E940="","⚠ Quantity",IF(AND(ISNUMBER(L940),COUNTIF(L$1:L939,L940)&gt;0),"⚠ Same serial "&amp;L940,IF(AND(ISNUMBER(L940),L940&gt;MIN($L$2:$L$1001),COUNTIF($L$2:$L$1001,L940-1)=0,COUNTIF($L$2:$L$1001,L940-2)&lt;2),"⚠ Missing serial "&amp;(L940-1),IF(AND(MAX(K$1:K939)&gt;0,N(K940)-MAX(K$1:K939)&gt;180),"⚠ Gap &gt; 3h",IF(C940-I940&gt;=0.99,"next day",IF(C940-I940&gt;0.4,"12h → 24h","")))))))))))</f>
        <v/>
      </c>
      <c r="H940" s="4" t="str">
        <f t="shared" si="70"/>
        <v/>
      </c>
      <c r="I940" s="5" t="str">
        <f t="shared" si="71"/>
        <v/>
      </c>
      <c r="J940" s="6">
        <f t="shared" si="72"/>
        <v>0</v>
      </c>
      <c r="K940" s="4" t="str">
        <f t="shared" si="73"/>
        <v/>
      </c>
      <c r="L940" s="4" t="str">
        <f t="shared" si="74"/>
        <v/>
      </c>
      <c r="M940" s="4" t="b" cm="1">
        <f t="array" ref="M940">IF(H940="",FALSE,SUMPRODUCT(--(H$1:H939=H940))&gt;0)</f>
        <v>0</v>
      </c>
    </row>
    <row r="941" spans="1:13" x14ac:dyDescent="0.25">
      <c r="A941" s="9" t="str">
        <f>IF(OR(B941="",M941,G941="— ignored"),"",MAX(A$1:A940)+1)</f>
        <v/>
      </c>
      <c r="B941" s="10"/>
      <c r="C941" s="11" t="str">
        <f>IF(I941="","",ROUND((I941+0.5*MAX(0,CEILING(ROUND((MAX(C$1:C940)-1/48-I941)/0.5,6),1)))*1440,0)/1440)</f>
        <v/>
      </c>
      <c r="D941" s="9" t="str" cm="1">
        <f t="array" ref="D941">IF(H941="","",IFERROR(INDEX(Log!$C$19:$G$19,VALUE(MID(H941,FIND("#",H941)+1,1))),""))</f>
        <v/>
      </c>
      <c r="E941" s="9" t="str" cm="1">
        <f t="array" ref="E941">IF(OR(H941="",M941),"",IFERROR(_xlfn.LET(_xlpm.t,SUBSTITUTE(UPPER(H941),"م","M"),_xlpm.u,SUBSTITUTE(_xlpm.t,"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941" s="12"/>
      <c r="G941" s="13" t="str">
        <f>IF(B941="","",IF(M941,"⚠ Duplicate (not counted)",IF(AND(I941="",D941="",E941=""),"— ignored",IF(C941="","⚠ Time",IF(D941="","⚠ Plant",IF(E941="","⚠ Quantity",IF(AND(ISNUMBER(L941),COUNTIF(L$1:L940,L941)&gt;0),"⚠ Same serial "&amp;L941,IF(AND(ISNUMBER(L941),L941&gt;MIN($L$2:$L$1001),COUNTIF($L$2:$L$1001,L941-1)=0,COUNTIF($L$2:$L$1001,L941-2)&lt;2),"⚠ Missing serial "&amp;(L941-1),IF(AND(MAX(K$1:K940)&gt;0,N(K941)-MAX(K$1:K940)&gt;180),"⚠ Gap &gt; 3h",IF(C941-I941&gt;=0.99,"next day",IF(C941-I941&gt;0.4,"12h → 24h","")))))))))))</f>
        <v/>
      </c>
      <c r="H941" s="4" t="str">
        <f t="shared" si="70"/>
        <v/>
      </c>
      <c r="I941" s="5" t="str">
        <f t="shared" si="71"/>
        <v/>
      </c>
      <c r="J941" s="6">
        <f t="shared" si="72"/>
        <v>0</v>
      </c>
      <c r="K941" s="4" t="str">
        <f t="shared" si="73"/>
        <v/>
      </c>
      <c r="L941" s="4" t="str">
        <f t="shared" si="74"/>
        <v/>
      </c>
      <c r="M941" s="4" t="b" cm="1">
        <f t="array" ref="M941">IF(H941="",FALSE,SUMPRODUCT(--(H$1:H940=H941))&gt;0)</f>
        <v>0</v>
      </c>
    </row>
    <row r="942" spans="1:13" x14ac:dyDescent="0.25">
      <c r="A942" s="9" t="str">
        <f>IF(OR(B942="",M942,G942="— ignored"),"",MAX(A$1:A941)+1)</f>
        <v/>
      </c>
      <c r="B942" s="10"/>
      <c r="C942" s="11" t="str">
        <f>IF(I942="","",ROUND((I942+0.5*MAX(0,CEILING(ROUND((MAX(C$1:C941)-1/48-I942)/0.5,6),1)))*1440,0)/1440)</f>
        <v/>
      </c>
      <c r="D942" s="9" t="str" cm="1">
        <f t="array" ref="D942">IF(H942="","",IFERROR(INDEX(Log!$C$19:$G$19,VALUE(MID(H942,FIND("#",H942)+1,1))),""))</f>
        <v/>
      </c>
      <c r="E942" s="9" t="str" cm="1">
        <f t="array" ref="E942">IF(OR(H942="",M942),"",IFERROR(_xlfn.LET(_xlpm.t,SUBSTITUTE(UPPER(H942),"م","M"),_xlpm.u,SUBSTITUTE(_xlpm.t,"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942" s="12"/>
      <c r="G942" s="13" t="str">
        <f>IF(B942="","",IF(M942,"⚠ Duplicate (not counted)",IF(AND(I942="",D942="",E942=""),"— ignored",IF(C942="","⚠ Time",IF(D942="","⚠ Plant",IF(E942="","⚠ Quantity",IF(AND(ISNUMBER(L942),COUNTIF(L$1:L941,L942)&gt;0),"⚠ Same serial "&amp;L942,IF(AND(ISNUMBER(L942),L942&gt;MIN($L$2:$L$1001),COUNTIF($L$2:$L$1001,L942-1)=0,COUNTIF($L$2:$L$1001,L942-2)&lt;2),"⚠ Missing serial "&amp;(L942-1),IF(AND(MAX(K$1:K941)&gt;0,N(K942)-MAX(K$1:K941)&gt;180),"⚠ Gap &gt; 3h",IF(C942-I942&gt;=0.99,"next day",IF(C942-I942&gt;0.4,"12h → 24h","")))))))))))</f>
        <v/>
      </c>
      <c r="H942" s="4" t="str">
        <f t="shared" si="70"/>
        <v/>
      </c>
      <c r="I942" s="5" t="str">
        <f t="shared" si="71"/>
        <v/>
      </c>
      <c r="J942" s="6">
        <f t="shared" si="72"/>
        <v>0</v>
      </c>
      <c r="K942" s="4" t="str">
        <f t="shared" si="73"/>
        <v/>
      </c>
      <c r="L942" s="4" t="str">
        <f t="shared" si="74"/>
        <v/>
      </c>
      <c r="M942" s="4" t="b" cm="1">
        <f t="array" ref="M942">IF(H942="",FALSE,SUMPRODUCT(--(H$1:H941=H942))&gt;0)</f>
        <v>0</v>
      </c>
    </row>
    <row r="943" spans="1:13" x14ac:dyDescent="0.25">
      <c r="A943" s="9" t="str">
        <f>IF(OR(B943="",M943,G943="— ignored"),"",MAX(A$1:A942)+1)</f>
        <v/>
      </c>
      <c r="B943" s="10"/>
      <c r="C943" s="11" t="str">
        <f>IF(I943="","",ROUND((I943+0.5*MAX(0,CEILING(ROUND((MAX(C$1:C942)-1/48-I943)/0.5,6),1)))*1440,0)/1440)</f>
        <v/>
      </c>
      <c r="D943" s="9" t="str" cm="1">
        <f t="array" ref="D943">IF(H943="","",IFERROR(INDEX(Log!$C$19:$G$19,VALUE(MID(H943,FIND("#",H943)+1,1))),""))</f>
        <v/>
      </c>
      <c r="E943" s="9" t="str" cm="1">
        <f t="array" ref="E943">IF(OR(H943="",M943),"",IFERROR(_xlfn.LET(_xlpm.t,SUBSTITUTE(UPPER(H943),"م","M"),_xlpm.u,SUBSTITUTE(_xlpm.t,"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943" s="12"/>
      <c r="G943" s="13" t="str">
        <f>IF(B943="","",IF(M943,"⚠ Duplicate (not counted)",IF(AND(I943="",D943="",E943=""),"— ignored",IF(C943="","⚠ Time",IF(D943="","⚠ Plant",IF(E943="","⚠ Quantity",IF(AND(ISNUMBER(L943),COUNTIF(L$1:L942,L943)&gt;0),"⚠ Same serial "&amp;L943,IF(AND(ISNUMBER(L943),L943&gt;MIN($L$2:$L$1001),COUNTIF($L$2:$L$1001,L943-1)=0,COUNTIF($L$2:$L$1001,L943-2)&lt;2),"⚠ Missing serial "&amp;(L943-1),IF(AND(MAX(K$1:K942)&gt;0,N(K943)-MAX(K$1:K942)&gt;180),"⚠ Gap &gt; 3h",IF(C943-I943&gt;=0.99,"next day",IF(C943-I943&gt;0.4,"12h → 24h","")))))))))))</f>
        <v/>
      </c>
      <c r="H943" s="4" t="str">
        <f t="shared" si="70"/>
        <v/>
      </c>
      <c r="I943" s="5" t="str">
        <f t="shared" si="71"/>
        <v/>
      </c>
      <c r="J943" s="6">
        <f t="shared" si="72"/>
        <v>0</v>
      </c>
      <c r="K943" s="4" t="str">
        <f t="shared" si="73"/>
        <v/>
      </c>
      <c r="L943" s="4" t="str">
        <f t="shared" si="74"/>
        <v/>
      </c>
      <c r="M943" s="4" t="b" cm="1">
        <f t="array" ref="M943">IF(H943="",FALSE,SUMPRODUCT(--(H$1:H942=H943))&gt;0)</f>
        <v>0</v>
      </c>
    </row>
    <row r="944" spans="1:13" x14ac:dyDescent="0.25">
      <c r="A944" s="9" t="str">
        <f>IF(OR(B944="",M944,G944="— ignored"),"",MAX(A$1:A943)+1)</f>
        <v/>
      </c>
      <c r="B944" s="10"/>
      <c r="C944" s="11" t="str">
        <f>IF(I944="","",ROUND((I944+0.5*MAX(0,CEILING(ROUND((MAX(C$1:C943)-1/48-I944)/0.5,6),1)))*1440,0)/1440)</f>
        <v/>
      </c>
      <c r="D944" s="9" t="str" cm="1">
        <f t="array" ref="D944">IF(H944="","",IFERROR(INDEX(Log!$C$19:$G$19,VALUE(MID(H944,FIND("#",H944)+1,1))),""))</f>
        <v/>
      </c>
      <c r="E944" s="9" t="str" cm="1">
        <f t="array" ref="E944">IF(OR(H944="",M944),"",IFERROR(_xlfn.LET(_xlpm.t,SUBSTITUTE(UPPER(H944),"م","M"),_xlpm.u,SUBSTITUTE(_xlpm.t,"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944" s="12"/>
      <c r="G944" s="13" t="str">
        <f>IF(B944="","",IF(M944,"⚠ Duplicate (not counted)",IF(AND(I944="",D944="",E944=""),"— ignored",IF(C944="","⚠ Time",IF(D944="","⚠ Plant",IF(E944="","⚠ Quantity",IF(AND(ISNUMBER(L944),COUNTIF(L$1:L943,L944)&gt;0),"⚠ Same serial "&amp;L944,IF(AND(ISNUMBER(L944),L944&gt;MIN($L$2:$L$1001),COUNTIF($L$2:$L$1001,L944-1)=0,COUNTIF($L$2:$L$1001,L944-2)&lt;2),"⚠ Missing serial "&amp;(L944-1),IF(AND(MAX(K$1:K943)&gt;0,N(K944)-MAX(K$1:K943)&gt;180),"⚠ Gap &gt; 3h",IF(C944-I944&gt;=0.99,"next day",IF(C944-I944&gt;0.4,"12h → 24h","")))))))))))</f>
        <v/>
      </c>
      <c r="H944" s="4" t="str">
        <f t="shared" si="70"/>
        <v/>
      </c>
      <c r="I944" s="5" t="str">
        <f t="shared" si="71"/>
        <v/>
      </c>
      <c r="J944" s="6">
        <f t="shared" si="72"/>
        <v>0</v>
      </c>
      <c r="K944" s="4" t="str">
        <f t="shared" si="73"/>
        <v/>
      </c>
      <c r="L944" s="4" t="str">
        <f t="shared" si="74"/>
        <v/>
      </c>
      <c r="M944" s="4" t="b" cm="1">
        <f t="array" ref="M944">IF(H944="",FALSE,SUMPRODUCT(--(H$1:H943=H944))&gt;0)</f>
        <v>0</v>
      </c>
    </row>
    <row r="945" spans="1:13" x14ac:dyDescent="0.25">
      <c r="A945" s="9" t="str">
        <f>IF(OR(B945="",M945,G945="— ignored"),"",MAX(A$1:A944)+1)</f>
        <v/>
      </c>
      <c r="B945" s="10"/>
      <c r="C945" s="11" t="str">
        <f>IF(I945="","",ROUND((I945+0.5*MAX(0,CEILING(ROUND((MAX(C$1:C944)-1/48-I945)/0.5,6),1)))*1440,0)/1440)</f>
        <v/>
      </c>
      <c r="D945" s="9" t="str" cm="1">
        <f t="array" ref="D945">IF(H945="","",IFERROR(INDEX(Log!$C$19:$G$19,VALUE(MID(H945,FIND("#",H945)+1,1))),""))</f>
        <v/>
      </c>
      <c r="E945" s="9" t="str" cm="1">
        <f t="array" ref="E945">IF(OR(H945="",M945),"",IFERROR(_xlfn.LET(_xlpm.t,SUBSTITUTE(UPPER(H945),"م","M"),_xlpm.u,SUBSTITUTE(_xlpm.t,"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945" s="12"/>
      <c r="G945" s="13" t="str">
        <f>IF(B945="","",IF(M945,"⚠ Duplicate (not counted)",IF(AND(I945="",D945="",E945=""),"— ignored",IF(C945="","⚠ Time",IF(D945="","⚠ Plant",IF(E945="","⚠ Quantity",IF(AND(ISNUMBER(L945),COUNTIF(L$1:L944,L945)&gt;0),"⚠ Same serial "&amp;L945,IF(AND(ISNUMBER(L945),L945&gt;MIN($L$2:$L$1001),COUNTIF($L$2:$L$1001,L945-1)=0,COUNTIF($L$2:$L$1001,L945-2)&lt;2),"⚠ Missing serial "&amp;(L945-1),IF(AND(MAX(K$1:K944)&gt;0,N(K945)-MAX(K$1:K944)&gt;180),"⚠ Gap &gt; 3h",IF(C945-I945&gt;=0.99,"next day",IF(C945-I945&gt;0.4,"12h → 24h","")))))))))))</f>
        <v/>
      </c>
      <c r="H945" s="4" t="str">
        <f t="shared" si="70"/>
        <v/>
      </c>
      <c r="I945" s="5" t="str">
        <f t="shared" si="71"/>
        <v/>
      </c>
      <c r="J945" s="6">
        <f t="shared" si="72"/>
        <v>0</v>
      </c>
      <c r="K945" s="4" t="str">
        <f t="shared" si="73"/>
        <v/>
      </c>
      <c r="L945" s="4" t="str">
        <f t="shared" si="74"/>
        <v/>
      </c>
      <c r="M945" s="4" t="b" cm="1">
        <f t="array" ref="M945">IF(H945="",FALSE,SUMPRODUCT(--(H$1:H944=H945))&gt;0)</f>
        <v>0</v>
      </c>
    </row>
    <row r="946" spans="1:13" x14ac:dyDescent="0.25">
      <c r="A946" s="9" t="str">
        <f>IF(OR(B946="",M946,G946="— ignored"),"",MAX(A$1:A945)+1)</f>
        <v/>
      </c>
      <c r="B946" s="10"/>
      <c r="C946" s="11" t="str">
        <f>IF(I946="","",ROUND((I946+0.5*MAX(0,CEILING(ROUND((MAX(C$1:C945)-1/48-I946)/0.5,6),1)))*1440,0)/1440)</f>
        <v/>
      </c>
      <c r="D946" s="9" t="str" cm="1">
        <f t="array" ref="D946">IF(H946="","",IFERROR(INDEX(Log!$C$19:$G$19,VALUE(MID(H946,FIND("#",H946)+1,1))),""))</f>
        <v/>
      </c>
      <c r="E946" s="9" t="str" cm="1">
        <f t="array" ref="E946">IF(OR(H946="",M946),"",IFERROR(_xlfn.LET(_xlpm.t,SUBSTITUTE(UPPER(H946),"م","M"),_xlpm.u,SUBSTITUTE(_xlpm.t,"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946" s="12"/>
      <c r="G946" s="13" t="str">
        <f>IF(B946="","",IF(M946,"⚠ Duplicate (not counted)",IF(AND(I946="",D946="",E946=""),"— ignored",IF(C946="","⚠ Time",IF(D946="","⚠ Plant",IF(E946="","⚠ Quantity",IF(AND(ISNUMBER(L946),COUNTIF(L$1:L945,L946)&gt;0),"⚠ Same serial "&amp;L946,IF(AND(ISNUMBER(L946),L946&gt;MIN($L$2:$L$1001),COUNTIF($L$2:$L$1001,L946-1)=0,COUNTIF($L$2:$L$1001,L946-2)&lt;2),"⚠ Missing serial "&amp;(L946-1),IF(AND(MAX(K$1:K945)&gt;0,N(K946)-MAX(K$1:K945)&gt;180),"⚠ Gap &gt; 3h",IF(C946-I946&gt;=0.99,"next day",IF(C946-I946&gt;0.4,"12h → 24h","")))))))))))</f>
        <v/>
      </c>
      <c r="H946" s="4" t="str">
        <f t="shared" si="70"/>
        <v/>
      </c>
      <c r="I946" s="5" t="str">
        <f t="shared" si="71"/>
        <v/>
      </c>
      <c r="J946" s="6">
        <f t="shared" si="72"/>
        <v>0</v>
      </c>
      <c r="K946" s="4" t="str">
        <f t="shared" si="73"/>
        <v/>
      </c>
      <c r="L946" s="4" t="str">
        <f t="shared" si="74"/>
        <v/>
      </c>
      <c r="M946" s="4" t="b" cm="1">
        <f t="array" ref="M946">IF(H946="",FALSE,SUMPRODUCT(--(H$1:H945=H946))&gt;0)</f>
        <v>0</v>
      </c>
    </row>
    <row r="947" spans="1:13" x14ac:dyDescent="0.25">
      <c r="A947" s="9" t="str">
        <f>IF(OR(B947="",M947,G947="— ignored"),"",MAX(A$1:A946)+1)</f>
        <v/>
      </c>
      <c r="B947" s="10"/>
      <c r="C947" s="11" t="str">
        <f>IF(I947="","",ROUND((I947+0.5*MAX(0,CEILING(ROUND((MAX(C$1:C946)-1/48-I947)/0.5,6),1)))*1440,0)/1440)</f>
        <v/>
      </c>
      <c r="D947" s="9" t="str" cm="1">
        <f t="array" ref="D947">IF(H947="","",IFERROR(INDEX(Log!$C$19:$G$19,VALUE(MID(H947,FIND("#",H947)+1,1))),""))</f>
        <v/>
      </c>
      <c r="E947" s="9" t="str" cm="1">
        <f t="array" ref="E947">IF(OR(H947="",M947),"",IFERROR(_xlfn.LET(_xlpm.t,SUBSTITUTE(UPPER(H947),"م","M"),_xlpm.u,SUBSTITUTE(_xlpm.t,"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947" s="12"/>
      <c r="G947" s="13" t="str">
        <f>IF(B947="","",IF(M947,"⚠ Duplicate (not counted)",IF(AND(I947="",D947="",E947=""),"— ignored",IF(C947="","⚠ Time",IF(D947="","⚠ Plant",IF(E947="","⚠ Quantity",IF(AND(ISNUMBER(L947),COUNTIF(L$1:L946,L947)&gt;0),"⚠ Same serial "&amp;L947,IF(AND(ISNUMBER(L947),L947&gt;MIN($L$2:$L$1001),COUNTIF($L$2:$L$1001,L947-1)=0,COUNTIF($L$2:$L$1001,L947-2)&lt;2),"⚠ Missing serial "&amp;(L947-1),IF(AND(MAX(K$1:K946)&gt;0,N(K947)-MAX(K$1:K946)&gt;180),"⚠ Gap &gt; 3h",IF(C947-I947&gt;=0.99,"next day",IF(C947-I947&gt;0.4,"12h → 24h","")))))))))))</f>
        <v/>
      </c>
      <c r="H947" s="4" t="str">
        <f t="shared" si="70"/>
        <v/>
      </c>
      <c r="I947" s="5" t="str">
        <f t="shared" si="71"/>
        <v/>
      </c>
      <c r="J947" s="6">
        <f t="shared" si="72"/>
        <v>0</v>
      </c>
      <c r="K947" s="4" t="str">
        <f t="shared" si="73"/>
        <v/>
      </c>
      <c r="L947" s="4" t="str">
        <f t="shared" si="74"/>
        <v/>
      </c>
      <c r="M947" s="4" t="b" cm="1">
        <f t="array" ref="M947">IF(H947="",FALSE,SUMPRODUCT(--(H$1:H946=H947))&gt;0)</f>
        <v>0</v>
      </c>
    </row>
    <row r="948" spans="1:13" x14ac:dyDescent="0.25">
      <c r="A948" s="9" t="str">
        <f>IF(OR(B948="",M948,G948="— ignored"),"",MAX(A$1:A947)+1)</f>
        <v/>
      </c>
      <c r="B948" s="10"/>
      <c r="C948" s="11" t="str">
        <f>IF(I948="","",ROUND((I948+0.5*MAX(0,CEILING(ROUND((MAX(C$1:C947)-1/48-I948)/0.5,6),1)))*1440,0)/1440)</f>
        <v/>
      </c>
      <c r="D948" s="9" t="str" cm="1">
        <f t="array" ref="D948">IF(H948="","",IFERROR(INDEX(Log!$C$19:$G$19,VALUE(MID(H948,FIND("#",H948)+1,1))),""))</f>
        <v/>
      </c>
      <c r="E948" s="9" t="str" cm="1">
        <f t="array" ref="E948">IF(OR(H948="",M948),"",IFERROR(_xlfn.LET(_xlpm.t,SUBSTITUTE(UPPER(H948),"م","M"),_xlpm.u,SUBSTITUTE(_xlpm.t,"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948" s="12"/>
      <c r="G948" s="13" t="str">
        <f>IF(B948="","",IF(M948,"⚠ Duplicate (not counted)",IF(AND(I948="",D948="",E948=""),"— ignored",IF(C948="","⚠ Time",IF(D948="","⚠ Plant",IF(E948="","⚠ Quantity",IF(AND(ISNUMBER(L948),COUNTIF(L$1:L947,L948)&gt;0),"⚠ Same serial "&amp;L948,IF(AND(ISNUMBER(L948),L948&gt;MIN($L$2:$L$1001),COUNTIF($L$2:$L$1001,L948-1)=0,COUNTIF($L$2:$L$1001,L948-2)&lt;2),"⚠ Missing serial "&amp;(L948-1),IF(AND(MAX(K$1:K947)&gt;0,N(K948)-MAX(K$1:K947)&gt;180),"⚠ Gap &gt; 3h",IF(C948-I948&gt;=0.99,"next day",IF(C948-I948&gt;0.4,"12h → 24h","")))))))))))</f>
        <v/>
      </c>
      <c r="H948" s="4" t="str">
        <f t="shared" si="70"/>
        <v/>
      </c>
      <c r="I948" s="5" t="str">
        <f t="shared" si="71"/>
        <v/>
      </c>
      <c r="J948" s="6">
        <f t="shared" si="72"/>
        <v>0</v>
      </c>
      <c r="K948" s="4" t="str">
        <f t="shared" si="73"/>
        <v/>
      </c>
      <c r="L948" s="4" t="str">
        <f t="shared" si="74"/>
        <v/>
      </c>
      <c r="M948" s="4" t="b" cm="1">
        <f t="array" ref="M948">IF(H948="",FALSE,SUMPRODUCT(--(H$1:H947=H948))&gt;0)</f>
        <v>0</v>
      </c>
    </row>
    <row r="949" spans="1:13" x14ac:dyDescent="0.25">
      <c r="A949" s="9" t="str">
        <f>IF(OR(B949="",M949,G949="— ignored"),"",MAX(A$1:A948)+1)</f>
        <v/>
      </c>
      <c r="B949" s="10"/>
      <c r="C949" s="11" t="str">
        <f>IF(I949="","",ROUND((I949+0.5*MAX(0,CEILING(ROUND((MAX(C$1:C948)-1/48-I949)/0.5,6),1)))*1440,0)/1440)</f>
        <v/>
      </c>
      <c r="D949" s="9" t="str" cm="1">
        <f t="array" ref="D949">IF(H949="","",IFERROR(INDEX(Log!$C$19:$G$19,VALUE(MID(H949,FIND("#",H949)+1,1))),""))</f>
        <v/>
      </c>
      <c r="E949" s="9" t="str" cm="1">
        <f t="array" ref="E949">IF(OR(H949="",M949),"",IFERROR(_xlfn.LET(_xlpm.t,SUBSTITUTE(UPPER(H949),"م","M"),_xlpm.u,SUBSTITUTE(_xlpm.t,"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F949" s="12"/>
      <c r="G949" s="13" t="str">
        <f>IF(B949="","",IF(M949,"⚠ Duplicate (not counted)",IF(AND(I949="",D949="",E949=""),"— ignored",IF(C949="","⚠ Time",IF(D949="","⚠ Plant",IF(E949="","⚠ Quantity",IF(AND(ISNUMBER(L949),COUNTIF(L$1:L948,L949)&gt;0),"⚠ Same serial "&amp;L949,IF(AND(ISNUMBER(L949),L949&gt;MIN($L$2:$L$1001),COUNTIF($L$2:$L$1001,L949-1)=0,COUNTIF($L$2:$L$1001,L949-2)&lt;2),"⚠ Missing serial "&amp;(L949-1),IF(AND(MAX(K$1:K948)&gt;0,N(K949)-MAX(K$1:K948)&gt;180),"⚠ Gap &gt; 3h",IF(C949-I949&gt;=0.99,"next day",IF(C949-I949&gt;0.4,"12h → 24h","")))))))))))</f>
        <v/>
      </c>
      <c r="H949" s="4" t="str">
        <f t="shared" si="70"/>
        <v/>
      </c>
      <c r="I949" s="5" t="str">
        <f t="shared" si="71"/>
        <v/>
      </c>
      <c r="J949" s="6">
        <f t="shared" si="72"/>
        <v>0</v>
      </c>
      <c r="K949" s="4" t="str">
        <f t="shared" si="73"/>
        <v/>
      </c>
      <c r="L949" s="4" t="str">
        <f t="shared" si="74"/>
        <v/>
      </c>
      <c r="M949" s="4" t="b" cm="1">
        <f t="array" ref="M949">IF(H949="",FALSE,SUMPRODUCT(--(H$1:H948=H949))&gt;0)</f>
        <v>0</v>
      </c>
    </row>
    <row r="950" spans="1:13" x14ac:dyDescent="0.25">
      <c r="A950" s="1" t="str">
        <f>IF(OR(B950="",M950,G950="— ignored"),"",MAX(A$1:A949)+1)</f>
        <v/>
      </c>
      <c r="C950" s="1" t="str">
        <f>IF(I950="","",ROUND((I950+0.5*MAX(0,CEILING(ROUND((MAX(C$1:C949)-1/48-I950)/0.5,6),1)))*1440,0)/1440)</f>
        <v/>
      </c>
      <c r="D950" s="1" t="str" cm="1">
        <f t="array" ref="D950">IF(H950="","",IFERROR(INDEX(Log!$C$19:$G$19,VALUE(MID(H950,FIND("#",H950)+1,1))),""))</f>
        <v/>
      </c>
      <c r="E950" s="1" t="str" cm="1">
        <f t="array" ref="E950">IF(OR(H950="",M950),"",IFERROR(_xlfn.LET(_xlpm.t,SUBSTITUTE(UPPER(H950),"م","M"),_xlpm.u,SUBSTITUTE(_xlpm.t,"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G950" s="1" t="str">
        <f>IF(B950="","",IF(M950,"⚠ Duplicate (not counted)",IF(AND(I950="",D950="",E950=""),"— ignored",IF(C950="","⚠ Time",IF(D950="","⚠ Plant",IF(E950="","⚠ Quantity",IF(AND(ISNUMBER(L950),COUNTIF(L$1:L949,L950)&gt;0),"⚠ Same serial "&amp;L950,IF(AND(ISNUMBER(L950),L950&gt;MIN($L$2:$L$1001),COUNTIF($L$2:$L$1001,L950-1)=0,COUNTIF($L$2:$L$1001,L950-2)&lt;2),"⚠ Missing serial "&amp;(L950-1),IF(AND(MAX(K$1:K949)&gt;0,N(K950)-MAX(K$1:K949)&gt;180),"⚠ Gap &gt; 3h",IF(C950-I950&gt;=0.99,"next day",IF(C950-I950&gt;0.4,"12h → 24h","")))))))))))</f>
        <v/>
      </c>
      <c r="H950" s="1" t="str">
        <f t="shared" si="70"/>
        <v/>
      </c>
      <c r="I950" s="1" t="str">
        <f t="shared" si="71"/>
        <v/>
      </c>
      <c r="J950" s="1">
        <f t="shared" si="72"/>
        <v>0</v>
      </c>
      <c r="K950" s="1" t="str">
        <f t="shared" si="73"/>
        <v/>
      </c>
      <c r="L950" s="1" t="str">
        <f t="shared" si="74"/>
        <v/>
      </c>
      <c r="M950" s="1" t="b" cm="1">
        <f t="array" ref="M950">IF(H950="",FALSE,SUMPRODUCT(--(H$1:H949=H950))&gt;0)</f>
        <v>0</v>
      </c>
    </row>
    <row r="951" spans="1:13" x14ac:dyDescent="0.25">
      <c r="A951" s="1" t="str">
        <f>IF(OR(B951="",M951,G951="— ignored"),"",MAX(A$1:A950)+1)</f>
        <v/>
      </c>
      <c r="C951" s="1" t="str">
        <f>IF(I951="","",ROUND((I951+0.5*MAX(0,CEILING(ROUND((MAX(C$1:C950)-1/48-I951)/0.5,6),1)))*1440,0)/1440)</f>
        <v/>
      </c>
      <c r="D951" s="1" t="str" cm="1">
        <f t="array" ref="D951">IF(H951="","",IFERROR(INDEX(Log!$C$19:$G$19,VALUE(MID(H951,FIND("#",H951)+1,1))),""))</f>
        <v/>
      </c>
      <c r="E951" s="1" t="str" cm="1">
        <f t="array" ref="E951">IF(OR(H951="",M951),"",IFERROR(_xlfn.LET(_xlpm.t,SUBSTITUTE(UPPER(H951),"م","M"),_xlpm.u,SUBSTITUTE(_xlpm.t,"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G951" s="1" t="str">
        <f>IF(B951="","",IF(M951,"⚠ Duplicate (not counted)",IF(AND(I951="",D951="",E951=""),"— ignored",IF(C951="","⚠ Time",IF(D951="","⚠ Plant",IF(E951="","⚠ Quantity",IF(AND(ISNUMBER(L951),COUNTIF(L$1:L950,L951)&gt;0),"⚠ Same serial "&amp;L951,IF(AND(ISNUMBER(L951),L951&gt;MIN($L$2:$L$1001),COUNTIF($L$2:$L$1001,L951-1)=0,COUNTIF($L$2:$L$1001,L951-2)&lt;2),"⚠ Missing serial "&amp;(L951-1),IF(AND(MAX(K$1:K950)&gt;0,N(K951)-MAX(K$1:K950)&gt;180),"⚠ Gap &gt; 3h",IF(C951-I951&gt;=0.99,"next day",IF(C951-I951&gt;0.4,"12h → 24h","")))))))))))</f>
        <v/>
      </c>
      <c r="H951" s="1" t="str">
        <f t="shared" si="70"/>
        <v/>
      </c>
      <c r="I951" s="1" t="str">
        <f t="shared" si="71"/>
        <v/>
      </c>
      <c r="J951" s="1">
        <f t="shared" si="72"/>
        <v>0</v>
      </c>
      <c r="K951" s="1" t="str">
        <f t="shared" si="73"/>
        <v/>
      </c>
      <c r="L951" s="1" t="str">
        <f t="shared" si="74"/>
        <v/>
      </c>
      <c r="M951" s="1" t="b" cm="1">
        <f t="array" ref="M951">IF(H951="",FALSE,SUMPRODUCT(--(H$1:H950=H951))&gt;0)</f>
        <v>0</v>
      </c>
    </row>
    <row r="952" spans="1:13" x14ac:dyDescent="0.25">
      <c r="A952" s="1" t="str">
        <f>IF(OR(B952="",M952,G952="— ignored"),"",MAX(A$1:A951)+1)</f>
        <v/>
      </c>
      <c r="C952" s="1" t="str">
        <f>IF(I952="","",ROUND((I952+0.5*MAX(0,CEILING(ROUND((MAX(C$1:C951)-1/48-I952)/0.5,6),1)))*1440,0)/1440)</f>
        <v/>
      </c>
      <c r="D952" s="1" t="str" cm="1">
        <f t="array" ref="D952">IF(H952="","",IFERROR(INDEX(Log!$C$19:$G$19,VALUE(MID(H952,FIND("#",H952)+1,1))),""))</f>
        <v/>
      </c>
      <c r="E952" s="1" t="str" cm="1">
        <f t="array" ref="E952">IF(OR(H952="",M952),"",IFERROR(_xlfn.LET(_xlpm.t,SUBSTITUTE(UPPER(H952),"م","M"),_xlpm.u,SUBSTITUTE(_xlpm.t,"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G952" s="1" t="str">
        <f>IF(B952="","",IF(M952,"⚠ Duplicate (not counted)",IF(AND(I952="",D952="",E952=""),"— ignored",IF(C952="","⚠ Time",IF(D952="","⚠ Plant",IF(E952="","⚠ Quantity",IF(AND(ISNUMBER(L952),COUNTIF(L$1:L951,L952)&gt;0),"⚠ Same serial "&amp;L952,IF(AND(ISNUMBER(L952),L952&gt;MIN($L$2:$L$1001),COUNTIF($L$2:$L$1001,L952-1)=0,COUNTIF($L$2:$L$1001,L952-2)&lt;2),"⚠ Missing serial "&amp;(L952-1),IF(AND(MAX(K$1:K951)&gt;0,N(K952)-MAX(K$1:K951)&gt;180),"⚠ Gap &gt; 3h",IF(C952-I952&gt;=0.99,"next day",IF(C952-I952&gt;0.4,"12h → 24h","")))))))))))</f>
        <v/>
      </c>
      <c r="H952" s="1" t="str">
        <f t="shared" si="70"/>
        <v/>
      </c>
      <c r="I952" s="1" t="str">
        <f t="shared" si="71"/>
        <v/>
      </c>
      <c r="J952" s="1">
        <f t="shared" si="72"/>
        <v>0</v>
      </c>
      <c r="K952" s="1" t="str">
        <f t="shared" si="73"/>
        <v/>
      </c>
      <c r="L952" s="1" t="str">
        <f t="shared" si="74"/>
        <v/>
      </c>
      <c r="M952" s="1" t="b" cm="1">
        <f t="array" ref="M952">IF(H952="",FALSE,SUMPRODUCT(--(H$1:H951=H952))&gt;0)</f>
        <v>0</v>
      </c>
    </row>
    <row r="953" spans="1:13" x14ac:dyDescent="0.25">
      <c r="A953" s="1" t="str">
        <f>IF(OR(B953="",M953,G953="— ignored"),"",MAX(A$1:A952)+1)</f>
        <v/>
      </c>
      <c r="C953" s="1" t="str">
        <f>IF(I953="","",ROUND((I953+0.5*MAX(0,CEILING(ROUND((MAX(C$1:C952)-1/48-I953)/0.5,6),1)))*1440,0)/1440)</f>
        <v/>
      </c>
      <c r="D953" s="1" t="str" cm="1">
        <f t="array" ref="D953">IF(H953="","",IFERROR(INDEX(Log!$C$19:$G$19,VALUE(MID(H953,FIND("#",H953)+1,1))),""))</f>
        <v/>
      </c>
      <c r="E953" s="1" t="str" cm="1">
        <f t="array" ref="E953">IF(OR(H953="",M953),"",IFERROR(_xlfn.LET(_xlpm.t,SUBSTITUTE(UPPER(H953),"م","M"),_xlpm.u,SUBSTITUTE(_xlpm.t,"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G953" s="1" t="str">
        <f>IF(B953="","",IF(M953,"⚠ Duplicate (not counted)",IF(AND(I953="",D953="",E953=""),"— ignored",IF(C953="","⚠ Time",IF(D953="","⚠ Plant",IF(E953="","⚠ Quantity",IF(AND(ISNUMBER(L953),COUNTIF(L$1:L952,L953)&gt;0),"⚠ Same serial "&amp;L953,IF(AND(ISNUMBER(L953),L953&gt;MIN($L$2:$L$1001),COUNTIF($L$2:$L$1001,L953-1)=0,COUNTIF($L$2:$L$1001,L953-2)&lt;2),"⚠ Missing serial "&amp;(L953-1),IF(AND(MAX(K$1:K952)&gt;0,N(K953)-MAX(K$1:K952)&gt;180),"⚠ Gap &gt; 3h",IF(C953-I953&gt;=0.99,"next day",IF(C953-I953&gt;0.4,"12h → 24h","")))))))))))</f>
        <v/>
      </c>
      <c r="H953" s="1" t="str">
        <f t="shared" si="70"/>
        <v/>
      </c>
      <c r="I953" s="1" t="str">
        <f t="shared" si="71"/>
        <v/>
      </c>
      <c r="J953" s="1">
        <f t="shared" si="72"/>
        <v>0</v>
      </c>
      <c r="K953" s="1" t="str">
        <f t="shared" si="73"/>
        <v/>
      </c>
      <c r="L953" s="1" t="str">
        <f t="shared" si="74"/>
        <v/>
      </c>
      <c r="M953" s="1" t="b" cm="1">
        <f t="array" ref="M953">IF(H953="",FALSE,SUMPRODUCT(--(H$1:H952=H953))&gt;0)</f>
        <v>0</v>
      </c>
    </row>
    <row r="954" spans="1:13" x14ac:dyDescent="0.25">
      <c r="A954" s="1" t="str">
        <f>IF(OR(B954="",M954,G954="— ignored"),"",MAX(A$1:A953)+1)</f>
        <v/>
      </c>
      <c r="C954" s="1" t="str">
        <f>IF(I954="","",ROUND((I954+0.5*MAX(0,CEILING(ROUND((MAX(C$1:C953)-1/48-I954)/0.5,6),1)))*1440,0)/1440)</f>
        <v/>
      </c>
      <c r="D954" s="1" t="str" cm="1">
        <f t="array" ref="D954">IF(H954="","",IFERROR(INDEX(Log!$C$19:$G$19,VALUE(MID(H954,FIND("#",H954)+1,1))),""))</f>
        <v/>
      </c>
      <c r="E954" s="1" t="str" cm="1">
        <f t="array" ref="E954">IF(OR(H954="",M954),"",IFERROR(_xlfn.LET(_xlpm.t,SUBSTITUTE(UPPER(H954),"م","M"),_xlpm.u,SUBSTITUTE(_xlpm.t,"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G954" s="1" t="str">
        <f>IF(B954="","",IF(M954,"⚠ Duplicate (not counted)",IF(AND(I954="",D954="",E954=""),"— ignored",IF(C954="","⚠ Time",IF(D954="","⚠ Plant",IF(E954="","⚠ Quantity",IF(AND(ISNUMBER(L954),COUNTIF(L$1:L953,L954)&gt;0),"⚠ Same serial "&amp;L954,IF(AND(ISNUMBER(L954),L954&gt;MIN($L$2:$L$1001),COUNTIF($L$2:$L$1001,L954-1)=0,COUNTIF($L$2:$L$1001,L954-2)&lt;2),"⚠ Missing serial "&amp;(L954-1),IF(AND(MAX(K$1:K953)&gt;0,N(K954)-MAX(K$1:K953)&gt;180),"⚠ Gap &gt; 3h",IF(C954-I954&gt;=0.99,"next day",IF(C954-I954&gt;0.4,"12h → 24h","")))))))))))</f>
        <v/>
      </c>
      <c r="H954" s="1" t="str">
        <f t="shared" si="70"/>
        <v/>
      </c>
      <c r="I954" s="1" t="str">
        <f t="shared" si="71"/>
        <v/>
      </c>
      <c r="J954" s="1">
        <f t="shared" si="72"/>
        <v>0</v>
      </c>
      <c r="K954" s="1" t="str">
        <f t="shared" si="73"/>
        <v/>
      </c>
      <c r="L954" s="1" t="str">
        <f t="shared" si="74"/>
        <v/>
      </c>
      <c r="M954" s="1" t="b" cm="1">
        <f t="array" ref="M954">IF(H954="",FALSE,SUMPRODUCT(--(H$1:H953=H954))&gt;0)</f>
        <v>0</v>
      </c>
    </row>
    <row r="955" spans="1:13" x14ac:dyDescent="0.25">
      <c r="A955" s="1" t="str">
        <f>IF(OR(B955="",M955,G955="— ignored"),"",MAX(A$1:A954)+1)</f>
        <v/>
      </c>
      <c r="C955" s="1" t="str">
        <f>IF(I955="","",ROUND((I955+0.5*MAX(0,CEILING(ROUND((MAX(C$1:C954)-1/48-I955)/0.5,6),1)))*1440,0)/1440)</f>
        <v/>
      </c>
      <c r="D955" s="1" t="str" cm="1">
        <f t="array" ref="D955">IF(H955="","",IFERROR(INDEX(Log!$C$19:$G$19,VALUE(MID(H955,FIND("#",H955)+1,1))),""))</f>
        <v/>
      </c>
      <c r="E955" s="1" t="str" cm="1">
        <f t="array" ref="E955">IF(OR(H955="",M955),"",IFERROR(_xlfn.LET(_xlpm.t,SUBSTITUTE(UPPER(H955),"م","M"),_xlpm.u,SUBSTITUTE(_xlpm.t,"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G955" s="1" t="str">
        <f>IF(B955="","",IF(M955,"⚠ Duplicate (not counted)",IF(AND(I955="",D955="",E955=""),"— ignored",IF(C955="","⚠ Time",IF(D955="","⚠ Plant",IF(E955="","⚠ Quantity",IF(AND(ISNUMBER(L955),COUNTIF(L$1:L954,L955)&gt;0),"⚠ Same serial "&amp;L955,IF(AND(ISNUMBER(L955),L955&gt;MIN($L$2:$L$1001),COUNTIF($L$2:$L$1001,L955-1)=0,COUNTIF($L$2:$L$1001,L955-2)&lt;2),"⚠ Missing serial "&amp;(L955-1),IF(AND(MAX(K$1:K954)&gt;0,N(K955)-MAX(K$1:K954)&gt;180),"⚠ Gap &gt; 3h",IF(C955-I955&gt;=0.99,"next day",IF(C955-I955&gt;0.4,"12h → 24h","")))))))))))</f>
        <v/>
      </c>
      <c r="H955" s="1" t="str">
        <f t="shared" si="70"/>
        <v/>
      </c>
      <c r="I955" s="1" t="str">
        <f t="shared" si="71"/>
        <v/>
      </c>
      <c r="J955" s="1">
        <f t="shared" si="72"/>
        <v>0</v>
      </c>
      <c r="K955" s="1" t="str">
        <f t="shared" si="73"/>
        <v/>
      </c>
      <c r="L955" s="1" t="str">
        <f t="shared" si="74"/>
        <v/>
      </c>
      <c r="M955" s="1" t="b" cm="1">
        <f t="array" ref="M955">IF(H955="",FALSE,SUMPRODUCT(--(H$1:H954=H955))&gt;0)</f>
        <v>0</v>
      </c>
    </row>
    <row r="956" spans="1:13" x14ac:dyDescent="0.25">
      <c r="A956" s="1" t="str">
        <f>IF(OR(B956="",M956,G956="— ignored"),"",MAX(A$1:A955)+1)</f>
        <v/>
      </c>
      <c r="C956" s="1" t="str">
        <f>IF(I956="","",ROUND((I956+0.5*MAX(0,CEILING(ROUND((MAX(C$1:C955)-1/48-I956)/0.5,6),1)))*1440,0)/1440)</f>
        <v/>
      </c>
      <c r="D956" s="1" t="str" cm="1">
        <f t="array" ref="D956">IF(H956="","",IFERROR(INDEX(Log!$C$19:$G$19,VALUE(MID(H956,FIND("#",H956)+1,1))),""))</f>
        <v/>
      </c>
      <c r="E956" s="1" t="str" cm="1">
        <f t="array" ref="E956">IF(OR(H956="",M956),"",IFERROR(_xlfn.LET(_xlpm.t,SUBSTITUTE(UPPER(H956),"م","M"),_xlpm.u,SUBSTITUTE(_xlpm.t,"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G956" s="1" t="str">
        <f>IF(B956="","",IF(M956,"⚠ Duplicate (not counted)",IF(AND(I956="",D956="",E956=""),"— ignored",IF(C956="","⚠ Time",IF(D956="","⚠ Plant",IF(E956="","⚠ Quantity",IF(AND(ISNUMBER(L956),COUNTIF(L$1:L955,L956)&gt;0),"⚠ Same serial "&amp;L956,IF(AND(ISNUMBER(L956),L956&gt;MIN($L$2:$L$1001),COUNTIF($L$2:$L$1001,L956-1)=0,COUNTIF($L$2:$L$1001,L956-2)&lt;2),"⚠ Missing serial "&amp;(L956-1),IF(AND(MAX(K$1:K955)&gt;0,N(K956)-MAX(K$1:K955)&gt;180),"⚠ Gap &gt; 3h",IF(C956-I956&gt;=0.99,"next day",IF(C956-I956&gt;0.4,"12h → 24h","")))))))))))</f>
        <v/>
      </c>
      <c r="H956" s="1" t="str">
        <f t="shared" si="70"/>
        <v/>
      </c>
      <c r="I956" s="1" t="str">
        <f t="shared" si="71"/>
        <v/>
      </c>
      <c r="J956" s="1">
        <f t="shared" si="72"/>
        <v>0</v>
      </c>
      <c r="K956" s="1" t="str">
        <f t="shared" si="73"/>
        <v/>
      </c>
      <c r="L956" s="1" t="str">
        <f t="shared" si="74"/>
        <v/>
      </c>
      <c r="M956" s="1" t="b" cm="1">
        <f t="array" ref="M956">IF(H956="",FALSE,SUMPRODUCT(--(H$1:H955=H956))&gt;0)</f>
        <v>0</v>
      </c>
    </row>
    <row r="957" spans="1:13" x14ac:dyDescent="0.25">
      <c r="A957" s="1" t="str">
        <f>IF(OR(B957="",M957,G957="— ignored"),"",MAX(A$1:A956)+1)</f>
        <v/>
      </c>
      <c r="C957" s="1" t="str">
        <f>IF(I957="","",ROUND((I957+0.5*MAX(0,CEILING(ROUND((MAX(C$1:C956)-1/48-I957)/0.5,6),1)))*1440,0)/1440)</f>
        <v/>
      </c>
      <c r="D957" s="1" t="str" cm="1">
        <f t="array" ref="D957">IF(H957="","",IFERROR(INDEX(Log!$C$19:$G$19,VALUE(MID(H957,FIND("#",H957)+1,1))),""))</f>
        <v/>
      </c>
      <c r="E957" s="1" t="str" cm="1">
        <f t="array" ref="E957">IF(OR(H957="",M957),"",IFERROR(_xlfn.LET(_xlpm.t,SUBSTITUTE(UPPER(H957),"م","M"),_xlpm.u,SUBSTITUTE(_xlpm.t,"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G957" s="1" t="str">
        <f>IF(B957="","",IF(M957,"⚠ Duplicate (not counted)",IF(AND(I957="",D957="",E957=""),"— ignored",IF(C957="","⚠ Time",IF(D957="","⚠ Plant",IF(E957="","⚠ Quantity",IF(AND(ISNUMBER(L957),COUNTIF(L$1:L956,L957)&gt;0),"⚠ Same serial "&amp;L957,IF(AND(ISNUMBER(L957),L957&gt;MIN($L$2:$L$1001),COUNTIF($L$2:$L$1001,L957-1)=0,COUNTIF($L$2:$L$1001,L957-2)&lt;2),"⚠ Missing serial "&amp;(L957-1),IF(AND(MAX(K$1:K956)&gt;0,N(K957)-MAX(K$1:K956)&gt;180),"⚠ Gap &gt; 3h",IF(C957-I957&gt;=0.99,"next day",IF(C957-I957&gt;0.4,"12h → 24h","")))))))))))</f>
        <v/>
      </c>
      <c r="H957" s="1" t="str">
        <f t="shared" si="70"/>
        <v/>
      </c>
      <c r="I957" s="1" t="str">
        <f t="shared" si="71"/>
        <v/>
      </c>
      <c r="J957" s="1">
        <f t="shared" si="72"/>
        <v>0</v>
      </c>
      <c r="K957" s="1" t="str">
        <f t="shared" si="73"/>
        <v/>
      </c>
      <c r="L957" s="1" t="str">
        <f t="shared" si="74"/>
        <v/>
      </c>
      <c r="M957" s="1" t="b" cm="1">
        <f t="array" ref="M957">IF(H957="",FALSE,SUMPRODUCT(--(H$1:H956=H957))&gt;0)</f>
        <v>0</v>
      </c>
    </row>
    <row r="958" spans="1:13" x14ac:dyDescent="0.25">
      <c r="A958" s="1" t="str">
        <f>IF(OR(B958="",M958,G958="— ignored"),"",MAX(A$1:A957)+1)</f>
        <v/>
      </c>
      <c r="C958" s="1" t="str">
        <f>IF(I958="","",ROUND((I958+0.5*MAX(0,CEILING(ROUND((MAX(C$1:C957)-1/48-I958)/0.5,6),1)))*1440,0)/1440)</f>
        <v/>
      </c>
      <c r="D958" s="1" t="str" cm="1">
        <f t="array" ref="D958">IF(H958="","",IFERROR(INDEX(Log!$C$19:$G$19,VALUE(MID(H958,FIND("#",H958)+1,1))),""))</f>
        <v/>
      </c>
      <c r="E958" s="1" t="str" cm="1">
        <f t="array" ref="E958">IF(OR(H958="",M958),"",IFERROR(_xlfn.LET(_xlpm.t,SUBSTITUTE(UPPER(H958),"م","M"),_xlpm.u,SUBSTITUTE(_xlpm.t,"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G958" s="1" t="str">
        <f>IF(B958="","",IF(M958,"⚠ Duplicate (not counted)",IF(AND(I958="",D958="",E958=""),"— ignored",IF(C958="","⚠ Time",IF(D958="","⚠ Plant",IF(E958="","⚠ Quantity",IF(AND(ISNUMBER(L958),COUNTIF(L$1:L957,L958)&gt;0),"⚠ Same serial "&amp;L958,IF(AND(ISNUMBER(L958),L958&gt;MIN($L$2:$L$1001),COUNTIF($L$2:$L$1001,L958-1)=0,COUNTIF($L$2:$L$1001,L958-2)&lt;2),"⚠ Missing serial "&amp;(L958-1),IF(AND(MAX(K$1:K957)&gt;0,N(K958)-MAX(K$1:K957)&gt;180),"⚠ Gap &gt; 3h",IF(C958-I958&gt;=0.99,"next day",IF(C958-I958&gt;0.4,"12h → 24h","")))))))))))</f>
        <v/>
      </c>
      <c r="H958" s="1" t="str">
        <f t="shared" si="70"/>
        <v/>
      </c>
      <c r="I958" s="1" t="str">
        <f t="shared" si="71"/>
        <v/>
      </c>
      <c r="J958" s="1">
        <f t="shared" si="72"/>
        <v>0</v>
      </c>
      <c r="K958" s="1" t="str">
        <f t="shared" si="73"/>
        <v/>
      </c>
      <c r="L958" s="1" t="str">
        <f t="shared" si="74"/>
        <v/>
      </c>
      <c r="M958" s="1" t="b" cm="1">
        <f t="array" ref="M958">IF(H958="",FALSE,SUMPRODUCT(--(H$1:H957=H958))&gt;0)</f>
        <v>0</v>
      </c>
    </row>
    <row r="959" spans="1:13" x14ac:dyDescent="0.25">
      <c r="A959" s="1" t="str">
        <f>IF(OR(B959="",M959,G959="— ignored"),"",MAX(A$1:A958)+1)</f>
        <v/>
      </c>
      <c r="C959" s="1" t="str">
        <f>IF(I959="","",ROUND((I959+0.5*MAX(0,CEILING(ROUND((MAX(C$1:C958)-1/48-I959)/0.5,6),1)))*1440,0)/1440)</f>
        <v/>
      </c>
      <c r="D959" s="1" t="str" cm="1">
        <f t="array" ref="D959">IF(H959="","",IFERROR(INDEX(Log!$C$19:$G$19,VALUE(MID(H959,FIND("#",H959)+1,1))),""))</f>
        <v/>
      </c>
      <c r="E959" s="1" t="str" cm="1">
        <f t="array" ref="E959">IF(OR(H959="",M959),"",IFERROR(_xlfn.LET(_xlpm.t,SUBSTITUTE(UPPER(H959),"م","M"),_xlpm.u,SUBSTITUTE(_xlpm.t,"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G959" s="1" t="str">
        <f>IF(B959="","",IF(M959,"⚠ Duplicate (not counted)",IF(AND(I959="",D959="",E959=""),"— ignored",IF(C959="","⚠ Time",IF(D959="","⚠ Plant",IF(E959="","⚠ Quantity",IF(AND(ISNUMBER(L959),COUNTIF(L$1:L958,L959)&gt;0),"⚠ Same serial "&amp;L959,IF(AND(ISNUMBER(L959),L959&gt;MIN($L$2:$L$1001),COUNTIF($L$2:$L$1001,L959-1)=0,COUNTIF($L$2:$L$1001,L959-2)&lt;2),"⚠ Missing serial "&amp;(L959-1),IF(AND(MAX(K$1:K958)&gt;0,N(K959)-MAX(K$1:K958)&gt;180),"⚠ Gap &gt; 3h",IF(C959-I959&gt;=0.99,"next day",IF(C959-I959&gt;0.4,"12h → 24h","")))))))))))</f>
        <v/>
      </c>
      <c r="H959" s="1" t="str">
        <f t="shared" si="70"/>
        <v/>
      </c>
      <c r="I959" s="1" t="str">
        <f t="shared" si="71"/>
        <v/>
      </c>
      <c r="J959" s="1">
        <f t="shared" si="72"/>
        <v>0</v>
      </c>
      <c r="K959" s="1" t="str">
        <f t="shared" si="73"/>
        <v/>
      </c>
      <c r="L959" s="1" t="str">
        <f t="shared" si="74"/>
        <v/>
      </c>
      <c r="M959" s="1" t="b" cm="1">
        <f t="array" ref="M959">IF(H959="",FALSE,SUMPRODUCT(--(H$1:H958=H959))&gt;0)</f>
        <v>0</v>
      </c>
    </row>
    <row r="960" spans="1:13" x14ac:dyDescent="0.25">
      <c r="A960" s="1" t="str">
        <f>IF(OR(B960="",M960,G960="— ignored"),"",MAX(A$1:A959)+1)</f>
        <v/>
      </c>
      <c r="C960" s="1" t="str">
        <f>IF(I960="","",ROUND((I960+0.5*MAX(0,CEILING(ROUND((MAX(C$1:C959)-1/48-I960)/0.5,6),1)))*1440,0)/1440)</f>
        <v/>
      </c>
      <c r="D960" s="1" t="str" cm="1">
        <f t="array" ref="D960">IF(H960="","",IFERROR(INDEX(Log!$C$19:$G$19,VALUE(MID(H960,FIND("#",H960)+1,1))),""))</f>
        <v/>
      </c>
      <c r="E960" s="1" t="str" cm="1">
        <f t="array" ref="E960">IF(OR(H960="",M960),"",IFERROR(_xlfn.LET(_xlpm.t,SUBSTITUTE(UPPER(H960),"م","M"),_xlpm.u,SUBSTITUTE(_xlpm.t,"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G960" s="1" t="str">
        <f>IF(B960="","",IF(M960,"⚠ Duplicate (not counted)",IF(AND(I960="",D960="",E960=""),"— ignored",IF(C960="","⚠ Time",IF(D960="","⚠ Plant",IF(E960="","⚠ Quantity",IF(AND(ISNUMBER(L960),COUNTIF(L$1:L959,L960)&gt;0),"⚠ Same serial "&amp;L960,IF(AND(ISNUMBER(L960),L960&gt;MIN($L$2:$L$1001),COUNTIF($L$2:$L$1001,L960-1)=0,COUNTIF($L$2:$L$1001,L960-2)&lt;2),"⚠ Missing serial "&amp;(L960-1),IF(AND(MAX(K$1:K959)&gt;0,N(K960)-MAX(K$1:K959)&gt;180),"⚠ Gap &gt; 3h",IF(C960-I960&gt;=0.99,"next day",IF(C960-I960&gt;0.4,"12h → 24h","")))))))))))</f>
        <v/>
      </c>
      <c r="H960" s="1" t="str">
        <f t="shared" si="70"/>
        <v/>
      </c>
      <c r="I960" s="1" t="str">
        <f t="shared" si="71"/>
        <v/>
      </c>
      <c r="J960" s="1">
        <f t="shared" si="72"/>
        <v>0</v>
      </c>
      <c r="K960" s="1" t="str">
        <f t="shared" si="73"/>
        <v/>
      </c>
      <c r="L960" s="1" t="str">
        <f t="shared" si="74"/>
        <v/>
      </c>
      <c r="M960" s="1" t="b" cm="1">
        <f t="array" ref="M960">IF(H960="",FALSE,SUMPRODUCT(--(H$1:H959=H960))&gt;0)</f>
        <v>0</v>
      </c>
    </row>
    <row r="961" spans="1:13" x14ac:dyDescent="0.25">
      <c r="A961" s="1" t="str">
        <f>IF(OR(B961="",M961,G961="— ignored"),"",MAX(A$1:A960)+1)</f>
        <v/>
      </c>
      <c r="C961" s="1" t="str">
        <f>IF(I961="","",ROUND((I961+0.5*MAX(0,CEILING(ROUND((MAX(C$1:C960)-1/48-I961)/0.5,6),1)))*1440,0)/1440)</f>
        <v/>
      </c>
      <c r="D961" s="1" t="str" cm="1">
        <f t="array" ref="D961">IF(H961="","",IFERROR(INDEX(Log!$C$19:$G$19,VALUE(MID(H961,FIND("#",H961)+1,1))),""))</f>
        <v/>
      </c>
      <c r="E961" s="1" t="str" cm="1">
        <f t="array" ref="E961">IF(OR(H961="",M961),"",IFERROR(_xlfn.LET(_xlpm.t,SUBSTITUTE(UPPER(H961),"م","M"),_xlpm.u,SUBSTITUTE(_xlpm.t,"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G961" s="1" t="str">
        <f>IF(B961="","",IF(M961,"⚠ Duplicate (not counted)",IF(AND(I961="",D961="",E961=""),"— ignored",IF(C961="","⚠ Time",IF(D961="","⚠ Plant",IF(E961="","⚠ Quantity",IF(AND(ISNUMBER(L961),COUNTIF(L$1:L960,L961)&gt;0),"⚠ Same serial "&amp;L961,IF(AND(ISNUMBER(L961),L961&gt;MIN($L$2:$L$1001),COUNTIF($L$2:$L$1001,L961-1)=0,COUNTIF($L$2:$L$1001,L961-2)&lt;2),"⚠ Missing serial "&amp;(L961-1),IF(AND(MAX(K$1:K960)&gt;0,N(K961)-MAX(K$1:K960)&gt;180),"⚠ Gap &gt; 3h",IF(C961-I961&gt;=0.99,"next day",IF(C961-I961&gt;0.4,"12h → 24h","")))))))))))</f>
        <v/>
      </c>
      <c r="H961" s="1" t="str">
        <f t="shared" si="70"/>
        <v/>
      </c>
      <c r="I961" s="1" t="str">
        <f t="shared" si="71"/>
        <v/>
      </c>
      <c r="J961" s="1">
        <f t="shared" si="72"/>
        <v>0</v>
      </c>
      <c r="K961" s="1" t="str">
        <f t="shared" si="73"/>
        <v/>
      </c>
      <c r="L961" s="1" t="str">
        <f t="shared" si="74"/>
        <v/>
      </c>
      <c r="M961" s="1" t="b" cm="1">
        <f t="array" ref="M961">IF(H961="",FALSE,SUMPRODUCT(--(H$1:H960=H961))&gt;0)</f>
        <v>0</v>
      </c>
    </row>
    <row r="962" spans="1:13" x14ac:dyDescent="0.25">
      <c r="A962" s="1" t="str">
        <f>IF(OR(B962="",M962,G962="— ignored"),"",MAX(A$1:A961)+1)</f>
        <v/>
      </c>
      <c r="C962" s="1" t="str">
        <f>IF(I962="","",ROUND((I962+0.5*MAX(0,CEILING(ROUND((MAX(C$1:C961)-1/48-I962)/0.5,6),1)))*1440,0)/1440)</f>
        <v/>
      </c>
      <c r="D962" s="1" t="str" cm="1">
        <f t="array" ref="D962">IF(H962="","",IFERROR(INDEX(Log!$C$19:$G$19,VALUE(MID(H962,FIND("#",H962)+1,1))),""))</f>
        <v/>
      </c>
      <c r="E962" s="1" t="str" cm="1">
        <f t="array" ref="E962">IF(OR(H962="",M962),"",IFERROR(_xlfn.LET(_xlpm.t,SUBSTITUTE(UPPER(H962),"م","M"),_xlpm.u,SUBSTITUTE(_xlpm.t,"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G962" s="1" t="str">
        <f>IF(B962="","",IF(M962,"⚠ Duplicate (not counted)",IF(AND(I962="",D962="",E962=""),"— ignored",IF(C962="","⚠ Time",IF(D962="","⚠ Plant",IF(E962="","⚠ Quantity",IF(AND(ISNUMBER(L962),COUNTIF(L$1:L961,L962)&gt;0),"⚠ Same serial "&amp;L962,IF(AND(ISNUMBER(L962),L962&gt;MIN($L$2:$L$1001),COUNTIF($L$2:$L$1001,L962-1)=0,COUNTIF($L$2:$L$1001,L962-2)&lt;2),"⚠ Missing serial "&amp;(L962-1),IF(AND(MAX(K$1:K961)&gt;0,N(K962)-MAX(K$1:K961)&gt;180),"⚠ Gap &gt; 3h",IF(C962-I962&gt;=0.99,"next day",IF(C962-I962&gt;0.4,"12h → 24h","")))))))))))</f>
        <v/>
      </c>
      <c r="H962" s="1" t="str">
        <f t="shared" ref="H962:H1001" si="75">IF(B962="","",_xlfn.LET(_xlpm.t,TRIM(B962),IF(LEFT(_xlpm.t,1)="[",IFERROR(TRIM(MID(_xlpm.t,FIND(": ",_xlpm.t,FIND("]",_xlpm.t))+2,500)),_xlpm.t),_xlpm.t)))</f>
        <v/>
      </c>
      <c r="I962" s="1" t="str">
        <f t="shared" ref="I962:I1025" si="76">IF(H962="","",IFERROR(TIMEVALUE(TRIM(SUBSTITUTE(SUBSTITUTE(MID(H962,SEARCH(":",H962)-2,5),".",""),"*",""))),""))</f>
        <v/>
      </c>
      <c r="J962" s="1">
        <f t="shared" ref="J962:J1001" si="77">IF(OR(B962="",F962="",M962),0,IF(ISNUMBER(F962),F962,N(E962)))</f>
        <v>0</v>
      </c>
      <c r="K962" s="1" t="str">
        <f t="shared" ref="K962:K1001" si="78">IF(OR(C962="",M962),"",ROUND(C962*1440,0))</f>
        <v/>
      </c>
      <c r="L962" s="1" t="str">
        <f t="shared" ref="L962:L1001" si="79">IF(OR(H962="",AND(I962="",D962="")),"",IFERROR(_xlfn.LET(_xlpm.t,TRIM(SUBSTITUTE(SUBSTITUTE(H962,"*",""),"_","")),VALUE(SUBSTITUTE(LEFT(_xlpm.t,FIND(" ",_xlpm.t&amp;" ")-1),".",""))),""))</f>
        <v/>
      </c>
      <c r="M962" s="1" t="b" cm="1">
        <f t="array" ref="M962">IF(H962="",FALSE,SUMPRODUCT(--(H$1:H961=H962))&gt;0)</f>
        <v>0</v>
      </c>
    </row>
    <row r="963" spans="1:13" x14ac:dyDescent="0.25">
      <c r="A963" s="1" t="str">
        <f>IF(OR(B963="",M963,G963="— ignored"),"",MAX(A$1:A962)+1)</f>
        <v/>
      </c>
      <c r="C963" s="1" t="str">
        <f>IF(I963="","",ROUND((I963+0.5*MAX(0,CEILING(ROUND((MAX(C$1:C962)-1/48-I963)/0.5,6),1)))*1440,0)/1440)</f>
        <v/>
      </c>
      <c r="D963" s="1" t="str" cm="1">
        <f t="array" ref="D963">IF(H963="","",IFERROR(INDEX(Log!$C$19:$G$19,VALUE(MID(H963,FIND("#",H963)+1,1))),""))</f>
        <v/>
      </c>
      <c r="E963" s="1" t="str" cm="1">
        <f t="array" ref="E963">IF(OR(H963="",M963),"",IFERROR(_xlfn.LET(_xlpm.t,SUBSTITUTE(UPPER(H963),"م","M"),_xlpm.u,SUBSTITUTE(_xlpm.t,"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G963" s="1" t="str">
        <f>IF(B963="","",IF(M963,"⚠ Duplicate (not counted)",IF(AND(I963="",D963="",E963=""),"— ignored",IF(C963="","⚠ Time",IF(D963="","⚠ Plant",IF(E963="","⚠ Quantity",IF(AND(ISNUMBER(L963),COUNTIF(L$1:L962,L963)&gt;0),"⚠ Same serial "&amp;L963,IF(AND(ISNUMBER(L963),L963&gt;MIN($L$2:$L$1001),COUNTIF($L$2:$L$1001,L963-1)=0,COUNTIF($L$2:$L$1001,L963-2)&lt;2),"⚠ Missing serial "&amp;(L963-1),IF(AND(MAX(K$1:K962)&gt;0,N(K963)-MAX(K$1:K962)&gt;180),"⚠ Gap &gt; 3h",IF(C963-I963&gt;=0.99,"next day",IF(C963-I963&gt;0.4,"12h → 24h","")))))))))))</f>
        <v/>
      </c>
      <c r="H963" s="1" t="str">
        <f t="shared" si="75"/>
        <v/>
      </c>
      <c r="I963" s="1" t="str">
        <f t="shared" si="76"/>
        <v/>
      </c>
      <c r="J963" s="1">
        <f t="shared" si="77"/>
        <v>0</v>
      </c>
      <c r="K963" s="1" t="str">
        <f t="shared" si="78"/>
        <v/>
      </c>
      <c r="L963" s="1" t="str">
        <f t="shared" si="79"/>
        <v/>
      </c>
      <c r="M963" s="1" t="b" cm="1">
        <f t="array" ref="M963">IF(H963="",FALSE,SUMPRODUCT(--(H$1:H962=H963))&gt;0)</f>
        <v>0</v>
      </c>
    </row>
    <row r="964" spans="1:13" x14ac:dyDescent="0.25">
      <c r="A964" s="1" t="str">
        <f>IF(OR(B964="",M964,G964="— ignored"),"",MAX(A$1:A963)+1)</f>
        <v/>
      </c>
      <c r="C964" s="1" t="str">
        <f>IF(I964="","",ROUND((I964+0.5*MAX(0,CEILING(ROUND((MAX(C$1:C963)-1/48-I964)/0.5,6),1)))*1440,0)/1440)</f>
        <v/>
      </c>
      <c r="D964" s="1" t="str" cm="1">
        <f t="array" ref="D964">IF(H964="","",IFERROR(INDEX(Log!$C$19:$G$19,VALUE(MID(H964,FIND("#",H964)+1,1))),""))</f>
        <v/>
      </c>
      <c r="E964" s="1" t="str" cm="1">
        <f t="array" ref="E964">IF(OR(H964="",M964),"",IFERROR(_xlfn.LET(_xlpm.t,SUBSTITUTE(UPPER(H964),"م","M"),_xlpm.u,SUBSTITUTE(_xlpm.t,"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G964" s="1" t="str">
        <f>IF(B964="","",IF(M964,"⚠ Duplicate (not counted)",IF(AND(I964="",D964="",E964=""),"— ignored",IF(C964="","⚠ Time",IF(D964="","⚠ Plant",IF(E964="","⚠ Quantity",IF(AND(ISNUMBER(L964),COUNTIF(L$1:L963,L964)&gt;0),"⚠ Same serial "&amp;L964,IF(AND(ISNUMBER(L964),L964&gt;MIN($L$2:$L$1001),COUNTIF($L$2:$L$1001,L964-1)=0,COUNTIF($L$2:$L$1001,L964-2)&lt;2),"⚠ Missing serial "&amp;(L964-1),IF(AND(MAX(K$1:K963)&gt;0,N(K964)-MAX(K$1:K963)&gt;180),"⚠ Gap &gt; 3h",IF(C964-I964&gt;=0.99,"next day",IF(C964-I964&gt;0.4,"12h → 24h","")))))))))))</f>
        <v/>
      </c>
      <c r="H964" s="1" t="str">
        <f t="shared" si="75"/>
        <v/>
      </c>
      <c r="I964" s="1" t="str">
        <f t="shared" si="76"/>
        <v/>
      </c>
      <c r="J964" s="1">
        <f t="shared" si="77"/>
        <v>0</v>
      </c>
      <c r="K964" s="1" t="str">
        <f t="shared" si="78"/>
        <v/>
      </c>
      <c r="L964" s="1" t="str">
        <f t="shared" si="79"/>
        <v/>
      </c>
      <c r="M964" s="1" t="b" cm="1">
        <f t="array" ref="M964">IF(H964="",FALSE,SUMPRODUCT(--(H$1:H963=H964))&gt;0)</f>
        <v>0</v>
      </c>
    </row>
    <row r="965" spans="1:13" x14ac:dyDescent="0.25">
      <c r="A965" s="1" t="str">
        <f>IF(OR(B965="",M965,G965="— ignored"),"",MAX(A$1:A964)+1)</f>
        <v/>
      </c>
      <c r="C965" s="1" t="str">
        <f>IF(I965="","",ROUND((I965+0.5*MAX(0,CEILING(ROUND((MAX(C$1:C964)-1/48-I965)/0.5,6),1)))*1440,0)/1440)</f>
        <v/>
      </c>
      <c r="D965" s="1" t="str" cm="1">
        <f t="array" ref="D965">IF(H965="","",IFERROR(INDEX(Log!$C$19:$G$19,VALUE(MID(H965,FIND("#",H965)+1,1))),""))</f>
        <v/>
      </c>
      <c r="E965" s="1" t="str" cm="1">
        <f t="array" ref="E965">IF(OR(H965="",M965),"",IFERROR(_xlfn.LET(_xlpm.t,SUBSTITUTE(UPPER(H965),"م","M"),_xlpm.u,SUBSTITUTE(_xlpm.t,"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G965" s="1" t="str">
        <f>IF(B965="","",IF(M965,"⚠ Duplicate (not counted)",IF(AND(I965="",D965="",E965=""),"— ignored",IF(C965="","⚠ Time",IF(D965="","⚠ Plant",IF(E965="","⚠ Quantity",IF(AND(ISNUMBER(L965),COUNTIF(L$1:L964,L965)&gt;0),"⚠ Same serial "&amp;L965,IF(AND(ISNUMBER(L965),L965&gt;MIN($L$2:$L$1001),COUNTIF($L$2:$L$1001,L965-1)=0,COUNTIF($L$2:$L$1001,L965-2)&lt;2),"⚠ Missing serial "&amp;(L965-1),IF(AND(MAX(K$1:K964)&gt;0,N(K965)-MAX(K$1:K964)&gt;180),"⚠ Gap &gt; 3h",IF(C965-I965&gt;=0.99,"next day",IF(C965-I965&gt;0.4,"12h → 24h","")))))))))))</f>
        <v/>
      </c>
      <c r="H965" s="1" t="str">
        <f t="shared" si="75"/>
        <v/>
      </c>
      <c r="I965" s="1" t="str">
        <f t="shared" si="76"/>
        <v/>
      </c>
      <c r="J965" s="1">
        <f t="shared" si="77"/>
        <v>0</v>
      </c>
      <c r="K965" s="1" t="str">
        <f t="shared" si="78"/>
        <v/>
      </c>
      <c r="L965" s="1" t="str">
        <f t="shared" si="79"/>
        <v/>
      </c>
      <c r="M965" s="1" t="b" cm="1">
        <f t="array" ref="M965">IF(H965="",FALSE,SUMPRODUCT(--(H$1:H964=H965))&gt;0)</f>
        <v>0</v>
      </c>
    </row>
    <row r="966" spans="1:13" x14ac:dyDescent="0.25">
      <c r="A966" s="1" t="str">
        <f>IF(OR(B966="",M966,G966="— ignored"),"",MAX(A$1:A965)+1)</f>
        <v/>
      </c>
      <c r="C966" s="1" t="str">
        <f>IF(I966="","",ROUND((I966+0.5*MAX(0,CEILING(ROUND((MAX(C$1:C965)-1/48-I966)/0.5,6),1)))*1440,0)/1440)</f>
        <v/>
      </c>
      <c r="D966" s="1" t="str" cm="1">
        <f t="array" ref="D966">IF(H966="","",IFERROR(INDEX(Log!$C$19:$G$19,VALUE(MID(H966,FIND("#",H966)+1,1))),""))</f>
        <v/>
      </c>
      <c r="E966" s="1" t="str" cm="1">
        <f t="array" ref="E966">IF(OR(H966="",M966),"",IFERROR(_xlfn.LET(_xlpm.t,SUBSTITUTE(UPPER(H966),"م","M"),_xlpm.u,SUBSTITUTE(_xlpm.t,"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G966" s="1" t="str">
        <f>IF(B966="","",IF(M966,"⚠ Duplicate (not counted)",IF(AND(I966="",D966="",E966=""),"— ignored",IF(C966="","⚠ Time",IF(D966="","⚠ Plant",IF(E966="","⚠ Quantity",IF(AND(ISNUMBER(L966),COUNTIF(L$1:L965,L966)&gt;0),"⚠ Same serial "&amp;L966,IF(AND(ISNUMBER(L966),L966&gt;MIN($L$2:$L$1001),COUNTIF($L$2:$L$1001,L966-1)=0,COUNTIF($L$2:$L$1001,L966-2)&lt;2),"⚠ Missing serial "&amp;(L966-1),IF(AND(MAX(K$1:K965)&gt;0,N(K966)-MAX(K$1:K965)&gt;180),"⚠ Gap &gt; 3h",IF(C966-I966&gt;=0.99,"next day",IF(C966-I966&gt;0.4,"12h → 24h","")))))))))))</f>
        <v/>
      </c>
      <c r="H966" s="1" t="str">
        <f t="shared" si="75"/>
        <v/>
      </c>
      <c r="I966" s="1" t="str">
        <f t="shared" si="76"/>
        <v/>
      </c>
      <c r="J966" s="1">
        <f t="shared" si="77"/>
        <v>0</v>
      </c>
      <c r="K966" s="1" t="str">
        <f t="shared" si="78"/>
        <v/>
      </c>
      <c r="L966" s="1" t="str">
        <f t="shared" si="79"/>
        <v/>
      </c>
      <c r="M966" s="1" t="b" cm="1">
        <f t="array" ref="M966">IF(H966="",FALSE,SUMPRODUCT(--(H$1:H965=H966))&gt;0)</f>
        <v>0</v>
      </c>
    </row>
    <row r="967" spans="1:13" x14ac:dyDescent="0.25">
      <c r="A967" s="1" t="str">
        <f>IF(OR(B967="",M967,G967="— ignored"),"",MAX(A$1:A966)+1)</f>
        <v/>
      </c>
      <c r="C967" s="1" t="str">
        <f>IF(I967="","",ROUND((I967+0.5*MAX(0,CEILING(ROUND((MAX(C$1:C966)-1/48-I967)/0.5,6),1)))*1440,0)/1440)</f>
        <v/>
      </c>
      <c r="D967" s="1" t="str" cm="1">
        <f t="array" ref="D967">IF(H967="","",IFERROR(INDEX(Log!$C$19:$G$19,VALUE(MID(H967,FIND("#",H967)+1,1))),""))</f>
        <v/>
      </c>
      <c r="E967" s="1" t="str" cm="1">
        <f t="array" ref="E967">IF(OR(H967="",M967),"",IFERROR(_xlfn.LET(_xlpm.t,SUBSTITUTE(UPPER(H967),"م","M"),_xlpm.u,SUBSTITUTE(_xlpm.t,"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G967" s="1" t="str">
        <f>IF(B967="","",IF(M967,"⚠ Duplicate (not counted)",IF(AND(I967="",D967="",E967=""),"— ignored",IF(C967="","⚠ Time",IF(D967="","⚠ Plant",IF(E967="","⚠ Quantity",IF(AND(ISNUMBER(L967),COUNTIF(L$1:L966,L967)&gt;0),"⚠ Same serial "&amp;L967,IF(AND(ISNUMBER(L967),L967&gt;MIN($L$2:$L$1001),COUNTIF($L$2:$L$1001,L967-1)=0,COUNTIF($L$2:$L$1001,L967-2)&lt;2),"⚠ Missing serial "&amp;(L967-1),IF(AND(MAX(K$1:K966)&gt;0,N(K967)-MAX(K$1:K966)&gt;180),"⚠ Gap &gt; 3h",IF(C967-I967&gt;=0.99,"next day",IF(C967-I967&gt;0.4,"12h → 24h","")))))))))))</f>
        <v/>
      </c>
      <c r="H967" s="1" t="str">
        <f t="shared" si="75"/>
        <v/>
      </c>
      <c r="I967" s="1" t="str">
        <f t="shared" si="76"/>
        <v/>
      </c>
      <c r="J967" s="1">
        <f t="shared" si="77"/>
        <v>0</v>
      </c>
      <c r="K967" s="1" t="str">
        <f t="shared" si="78"/>
        <v/>
      </c>
      <c r="L967" s="1" t="str">
        <f t="shared" si="79"/>
        <v/>
      </c>
      <c r="M967" s="1" t="b" cm="1">
        <f t="array" ref="M967">IF(H967="",FALSE,SUMPRODUCT(--(H$1:H966=H967))&gt;0)</f>
        <v>0</v>
      </c>
    </row>
    <row r="968" spans="1:13" x14ac:dyDescent="0.25">
      <c r="A968" s="1" t="str">
        <f>IF(OR(B968="",M968,G968="— ignored"),"",MAX(A$1:A967)+1)</f>
        <v/>
      </c>
      <c r="C968" s="1" t="str">
        <f>IF(I968="","",ROUND((I968+0.5*MAX(0,CEILING(ROUND((MAX(C$1:C967)-1/48-I968)/0.5,6),1)))*1440,0)/1440)</f>
        <v/>
      </c>
      <c r="D968" s="1" t="str" cm="1">
        <f t="array" ref="D968">IF(H968="","",IFERROR(INDEX(Log!$C$19:$G$19,VALUE(MID(H968,FIND("#",H968)+1,1))),""))</f>
        <v/>
      </c>
      <c r="E968" s="1" t="str" cm="1">
        <f t="array" ref="E968">IF(OR(H968="",M968),"",IFERROR(_xlfn.LET(_xlpm.t,SUBSTITUTE(UPPER(H968),"م","M"),_xlpm.u,SUBSTITUTE(_xlpm.t,"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G968" s="1" t="str">
        <f>IF(B968="","",IF(M968,"⚠ Duplicate (not counted)",IF(AND(I968="",D968="",E968=""),"— ignored",IF(C968="","⚠ Time",IF(D968="","⚠ Plant",IF(E968="","⚠ Quantity",IF(AND(ISNUMBER(L968),COUNTIF(L$1:L967,L968)&gt;0),"⚠ Same serial "&amp;L968,IF(AND(ISNUMBER(L968),L968&gt;MIN($L$2:$L$1001),COUNTIF($L$2:$L$1001,L968-1)=0,COUNTIF($L$2:$L$1001,L968-2)&lt;2),"⚠ Missing serial "&amp;(L968-1),IF(AND(MAX(K$1:K967)&gt;0,N(K968)-MAX(K$1:K967)&gt;180),"⚠ Gap &gt; 3h",IF(C968-I968&gt;=0.99,"next day",IF(C968-I968&gt;0.4,"12h → 24h","")))))))))))</f>
        <v/>
      </c>
      <c r="H968" s="1" t="str">
        <f t="shared" si="75"/>
        <v/>
      </c>
      <c r="I968" s="1" t="str">
        <f t="shared" si="76"/>
        <v/>
      </c>
      <c r="J968" s="1">
        <f t="shared" si="77"/>
        <v>0</v>
      </c>
      <c r="K968" s="1" t="str">
        <f t="shared" si="78"/>
        <v/>
      </c>
      <c r="L968" s="1" t="str">
        <f t="shared" si="79"/>
        <v/>
      </c>
      <c r="M968" s="1" t="b" cm="1">
        <f t="array" ref="M968">IF(H968="",FALSE,SUMPRODUCT(--(H$1:H967=H968))&gt;0)</f>
        <v>0</v>
      </c>
    </row>
    <row r="969" spans="1:13" x14ac:dyDescent="0.25">
      <c r="A969" s="1" t="str">
        <f>IF(OR(B969="",M969,G969="— ignored"),"",MAX(A$1:A968)+1)</f>
        <v/>
      </c>
      <c r="C969" s="1" t="str">
        <f>IF(I969="","",ROUND((I969+0.5*MAX(0,CEILING(ROUND((MAX(C$1:C968)-1/48-I969)/0.5,6),1)))*1440,0)/1440)</f>
        <v/>
      </c>
      <c r="D969" s="1" t="str" cm="1">
        <f t="array" ref="D969">IF(H969="","",IFERROR(INDEX(Log!$C$19:$G$19,VALUE(MID(H969,FIND("#",H969)+1,1))),""))</f>
        <v/>
      </c>
      <c r="E969" s="1" t="str" cm="1">
        <f t="array" ref="E969">IF(OR(H969="",M969),"",IFERROR(_xlfn.LET(_xlpm.t,SUBSTITUTE(UPPER(H969),"م","M"),_xlpm.u,SUBSTITUTE(_xlpm.t,"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G969" s="1" t="str">
        <f>IF(B969="","",IF(M969,"⚠ Duplicate (not counted)",IF(AND(I969="",D969="",E969=""),"— ignored",IF(C969="","⚠ Time",IF(D969="","⚠ Plant",IF(E969="","⚠ Quantity",IF(AND(ISNUMBER(L969),COUNTIF(L$1:L968,L969)&gt;0),"⚠ Same serial "&amp;L969,IF(AND(ISNUMBER(L969),L969&gt;MIN($L$2:$L$1001),COUNTIF($L$2:$L$1001,L969-1)=0,COUNTIF($L$2:$L$1001,L969-2)&lt;2),"⚠ Missing serial "&amp;(L969-1),IF(AND(MAX(K$1:K968)&gt;0,N(K969)-MAX(K$1:K968)&gt;180),"⚠ Gap &gt; 3h",IF(C969-I969&gt;=0.99,"next day",IF(C969-I969&gt;0.4,"12h → 24h","")))))))))))</f>
        <v/>
      </c>
      <c r="H969" s="1" t="str">
        <f t="shared" si="75"/>
        <v/>
      </c>
      <c r="I969" s="1" t="str">
        <f t="shared" si="76"/>
        <v/>
      </c>
      <c r="J969" s="1">
        <f t="shared" si="77"/>
        <v>0</v>
      </c>
      <c r="K969" s="1" t="str">
        <f t="shared" si="78"/>
        <v/>
      </c>
      <c r="L969" s="1" t="str">
        <f t="shared" si="79"/>
        <v/>
      </c>
      <c r="M969" s="1" t="b" cm="1">
        <f t="array" ref="M969">IF(H969="",FALSE,SUMPRODUCT(--(H$1:H968=H969))&gt;0)</f>
        <v>0</v>
      </c>
    </row>
    <row r="970" spans="1:13" x14ac:dyDescent="0.25">
      <c r="A970" s="1" t="str">
        <f>IF(OR(B970="",M970,G970="— ignored"),"",MAX(A$1:A969)+1)</f>
        <v/>
      </c>
      <c r="C970" s="1" t="str">
        <f>IF(I970="","",ROUND((I970+0.5*MAX(0,CEILING(ROUND((MAX(C$1:C969)-1/48-I970)/0.5,6),1)))*1440,0)/1440)</f>
        <v/>
      </c>
      <c r="D970" s="1" t="str" cm="1">
        <f t="array" ref="D970">IF(H970="","",IFERROR(INDEX(Log!$C$19:$G$19,VALUE(MID(H970,FIND("#",H970)+1,1))),""))</f>
        <v/>
      </c>
      <c r="E970" s="1" t="str" cm="1">
        <f t="array" ref="E970">IF(OR(H970="",M970),"",IFERROR(_xlfn.LET(_xlpm.t,SUBSTITUTE(UPPER(H970),"م","M"),_xlpm.u,SUBSTITUTE(_xlpm.t,"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G970" s="1" t="str">
        <f>IF(B970="","",IF(M970,"⚠ Duplicate (not counted)",IF(AND(I970="",D970="",E970=""),"— ignored",IF(C970="","⚠ Time",IF(D970="","⚠ Plant",IF(E970="","⚠ Quantity",IF(AND(ISNUMBER(L970),COUNTIF(L$1:L969,L970)&gt;0),"⚠ Same serial "&amp;L970,IF(AND(ISNUMBER(L970),L970&gt;MIN($L$2:$L$1001),COUNTIF($L$2:$L$1001,L970-1)=0,COUNTIF($L$2:$L$1001,L970-2)&lt;2),"⚠ Missing serial "&amp;(L970-1),IF(AND(MAX(K$1:K969)&gt;0,N(K970)-MAX(K$1:K969)&gt;180),"⚠ Gap &gt; 3h",IF(C970-I970&gt;=0.99,"next day",IF(C970-I970&gt;0.4,"12h → 24h","")))))))))))</f>
        <v/>
      </c>
      <c r="H970" s="1" t="str">
        <f t="shared" si="75"/>
        <v/>
      </c>
      <c r="I970" s="1" t="str">
        <f t="shared" si="76"/>
        <v/>
      </c>
      <c r="J970" s="1">
        <f t="shared" si="77"/>
        <v>0</v>
      </c>
      <c r="K970" s="1" t="str">
        <f t="shared" si="78"/>
        <v/>
      </c>
      <c r="L970" s="1" t="str">
        <f t="shared" si="79"/>
        <v/>
      </c>
      <c r="M970" s="1" t="b" cm="1">
        <f t="array" ref="M970">IF(H970="",FALSE,SUMPRODUCT(--(H$1:H969=H970))&gt;0)</f>
        <v>0</v>
      </c>
    </row>
    <row r="971" spans="1:13" x14ac:dyDescent="0.25">
      <c r="A971" s="1" t="str">
        <f>IF(OR(B971="",M971,G971="— ignored"),"",MAX(A$1:A970)+1)</f>
        <v/>
      </c>
      <c r="C971" s="1" t="str">
        <f>IF(I971="","",ROUND((I971+0.5*MAX(0,CEILING(ROUND((MAX(C$1:C970)-1/48-I971)/0.5,6),1)))*1440,0)/1440)</f>
        <v/>
      </c>
      <c r="D971" s="1" t="str" cm="1">
        <f t="array" ref="D971">IF(H971="","",IFERROR(INDEX(Log!$C$19:$G$19,VALUE(MID(H971,FIND("#",H971)+1,1))),""))</f>
        <v/>
      </c>
      <c r="E971" s="1" t="str" cm="1">
        <f t="array" ref="E971">IF(OR(H971="",M971),"",IFERROR(_xlfn.LET(_xlpm.t,SUBSTITUTE(UPPER(H971),"م","M"),_xlpm.u,SUBSTITUTE(_xlpm.t,"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G971" s="1" t="str">
        <f>IF(B971="","",IF(M971,"⚠ Duplicate (not counted)",IF(AND(I971="",D971="",E971=""),"— ignored",IF(C971="","⚠ Time",IF(D971="","⚠ Plant",IF(E971="","⚠ Quantity",IF(AND(ISNUMBER(L971),COUNTIF(L$1:L970,L971)&gt;0),"⚠ Same serial "&amp;L971,IF(AND(ISNUMBER(L971),L971&gt;MIN($L$2:$L$1001),COUNTIF($L$2:$L$1001,L971-1)=0,COUNTIF($L$2:$L$1001,L971-2)&lt;2),"⚠ Missing serial "&amp;(L971-1),IF(AND(MAX(K$1:K970)&gt;0,N(K971)-MAX(K$1:K970)&gt;180),"⚠ Gap &gt; 3h",IF(C971-I971&gt;=0.99,"next day",IF(C971-I971&gt;0.4,"12h → 24h","")))))))))))</f>
        <v/>
      </c>
      <c r="H971" s="1" t="str">
        <f t="shared" si="75"/>
        <v/>
      </c>
      <c r="I971" s="1" t="str">
        <f t="shared" si="76"/>
        <v/>
      </c>
      <c r="J971" s="1">
        <f t="shared" si="77"/>
        <v>0</v>
      </c>
      <c r="K971" s="1" t="str">
        <f t="shared" si="78"/>
        <v/>
      </c>
      <c r="L971" s="1" t="str">
        <f t="shared" si="79"/>
        <v/>
      </c>
      <c r="M971" s="1" t="b" cm="1">
        <f t="array" ref="M971">IF(H971="",FALSE,SUMPRODUCT(--(H$1:H970=H971))&gt;0)</f>
        <v>0</v>
      </c>
    </row>
    <row r="972" spans="1:13" x14ac:dyDescent="0.25">
      <c r="A972" s="1" t="str">
        <f>IF(OR(B972="",M972,G972="— ignored"),"",MAX(A$1:A971)+1)</f>
        <v/>
      </c>
      <c r="C972" s="1" t="str">
        <f>IF(I972="","",ROUND((I972+0.5*MAX(0,CEILING(ROUND((MAX(C$1:C971)-1/48-I972)/0.5,6),1)))*1440,0)/1440)</f>
        <v/>
      </c>
      <c r="D972" s="1" t="str" cm="1">
        <f t="array" ref="D972">IF(H972="","",IFERROR(INDEX(Log!$C$19:$G$19,VALUE(MID(H972,FIND("#",H972)+1,1))),""))</f>
        <v/>
      </c>
      <c r="E972" s="1" t="str" cm="1">
        <f t="array" ref="E972">IF(OR(H972="",M972),"",IFERROR(_xlfn.LET(_xlpm.t,SUBSTITUTE(UPPER(H972),"م","M"),_xlpm.u,SUBSTITUTE(_xlpm.t,"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G972" s="1" t="str">
        <f>IF(B972="","",IF(M972,"⚠ Duplicate (not counted)",IF(AND(I972="",D972="",E972=""),"— ignored",IF(C972="","⚠ Time",IF(D972="","⚠ Plant",IF(E972="","⚠ Quantity",IF(AND(ISNUMBER(L972),COUNTIF(L$1:L971,L972)&gt;0),"⚠ Same serial "&amp;L972,IF(AND(ISNUMBER(L972),L972&gt;MIN($L$2:$L$1001),COUNTIF($L$2:$L$1001,L972-1)=0,COUNTIF($L$2:$L$1001,L972-2)&lt;2),"⚠ Missing serial "&amp;(L972-1),IF(AND(MAX(K$1:K971)&gt;0,N(K972)-MAX(K$1:K971)&gt;180),"⚠ Gap &gt; 3h",IF(C972-I972&gt;=0.99,"next day",IF(C972-I972&gt;0.4,"12h → 24h","")))))))))))</f>
        <v/>
      </c>
      <c r="H972" s="1" t="str">
        <f t="shared" si="75"/>
        <v/>
      </c>
      <c r="I972" s="1" t="str">
        <f t="shared" si="76"/>
        <v/>
      </c>
      <c r="J972" s="1">
        <f t="shared" si="77"/>
        <v>0</v>
      </c>
      <c r="K972" s="1" t="str">
        <f t="shared" si="78"/>
        <v/>
      </c>
      <c r="L972" s="1" t="str">
        <f t="shared" si="79"/>
        <v/>
      </c>
      <c r="M972" s="1" t="b" cm="1">
        <f t="array" ref="M972">IF(H972="",FALSE,SUMPRODUCT(--(H$1:H971=H972))&gt;0)</f>
        <v>0</v>
      </c>
    </row>
    <row r="973" spans="1:13" x14ac:dyDescent="0.25">
      <c r="A973" s="1" t="str">
        <f>IF(OR(B973="",M973,G973="— ignored"),"",MAX(A$1:A972)+1)</f>
        <v/>
      </c>
      <c r="C973" s="1" t="str">
        <f>IF(I973="","",ROUND((I973+0.5*MAX(0,CEILING(ROUND((MAX(C$1:C972)-1/48-I973)/0.5,6),1)))*1440,0)/1440)</f>
        <v/>
      </c>
      <c r="D973" s="1" t="str" cm="1">
        <f t="array" ref="D973">IF(H973="","",IFERROR(INDEX(Log!$C$19:$G$19,VALUE(MID(H973,FIND("#",H973)+1,1))),""))</f>
        <v/>
      </c>
      <c r="E973" s="1" t="str" cm="1">
        <f t="array" ref="E973">IF(OR(H973="",M973),"",IFERROR(_xlfn.LET(_xlpm.t,SUBSTITUTE(UPPER(H973),"م","M"),_xlpm.u,SUBSTITUTE(_xlpm.t,"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G973" s="1" t="str">
        <f>IF(B973="","",IF(M973,"⚠ Duplicate (not counted)",IF(AND(I973="",D973="",E973=""),"— ignored",IF(C973="","⚠ Time",IF(D973="","⚠ Plant",IF(E973="","⚠ Quantity",IF(AND(ISNUMBER(L973),COUNTIF(L$1:L972,L973)&gt;0),"⚠ Same serial "&amp;L973,IF(AND(ISNUMBER(L973),L973&gt;MIN($L$2:$L$1001),COUNTIF($L$2:$L$1001,L973-1)=0,COUNTIF($L$2:$L$1001,L973-2)&lt;2),"⚠ Missing serial "&amp;(L973-1),IF(AND(MAX(K$1:K972)&gt;0,N(K973)-MAX(K$1:K972)&gt;180),"⚠ Gap &gt; 3h",IF(C973-I973&gt;=0.99,"next day",IF(C973-I973&gt;0.4,"12h → 24h","")))))))))))</f>
        <v/>
      </c>
      <c r="H973" s="1" t="str">
        <f t="shared" si="75"/>
        <v/>
      </c>
      <c r="I973" s="1" t="str">
        <f t="shared" si="76"/>
        <v/>
      </c>
      <c r="J973" s="1">
        <f t="shared" si="77"/>
        <v>0</v>
      </c>
      <c r="K973" s="1" t="str">
        <f t="shared" si="78"/>
        <v/>
      </c>
      <c r="L973" s="1" t="str">
        <f t="shared" si="79"/>
        <v/>
      </c>
      <c r="M973" s="1" t="b" cm="1">
        <f t="array" ref="M973">IF(H973="",FALSE,SUMPRODUCT(--(H$1:H972=H973))&gt;0)</f>
        <v>0</v>
      </c>
    </row>
    <row r="974" spans="1:13" x14ac:dyDescent="0.25">
      <c r="A974" s="1" t="str">
        <f>IF(OR(B974="",M974,G974="— ignored"),"",MAX(A$1:A973)+1)</f>
        <v/>
      </c>
      <c r="C974" s="1" t="str">
        <f>IF(I974="","",ROUND((I974+0.5*MAX(0,CEILING(ROUND((MAX(C$1:C973)-1/48-I974)/0.5,6),1)))*1440,0)/1440)</f>
        <v/>
      </c>
      <c r="D974" s="1" t="str" cm="1">
        <f t="array" ref="D974">IF(H974="","",IFERROR(INDEX(Log!$C$19:$G$19,VALUE(MID(H974,FIND("#",H974)+1,1))),""))</f>
        <v/>
      </c>
      <c r="E974" s="1" t="str" cm="1">
        <f t="array" ref="E974">IF(OR(H974="",M974),"",IFERROR(_xlfn.LET(_xlpm.t,SUBSTITUTE(UPPER(H974),"م","M"),_xlpm.u,SUBSTITUTE(_xlpm.t,"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G974" s="1" t="str">
        <f>IF(B974="","",IF(M974,"⚠ Duplicate (not counted)",IF(AND(I974="",D974="",E974=""),"— ignored",IF(C974="","⚠ Time",IF(D974="","⚠ Plant",IF(E974="","⚠ Quantity",IF(AND(ISNUMBER(L974),COUNTIF(L$1:L973,L974)&gt;0),"⚠ Same serial "&amp;L974,IF(AND(ISNUMBER(L974),L974&gt;MIN($L$2:$L$1001),COUNTIF($L$2:$L$1001,L974-1)=0,COUNTIF($L$2:$L$1001,L974-2)&lt;2),"⚠ Missing serial "&amp;(L974-1),IF(AND(MAX(K$1:K973)&gt;0,N(K974)-MAX(K$1:K973)&gt;180),"⚠ Gap &gt; 3h",IF(C974-I974&gt;=0.99,"next day",IF(C974-I974&gt;0.4,"12h → 24h","")))))))))))</f>
        <v/>
      </c>
      <c r="H974" s="1" t="str">
        <f t="shared" si="75"/>
        <v/>
      </c>
      <c r="I974" s="1" t="str">
        <f t="shared" si="76"/>
        <v/>
      </c>
      <c r="J974" s="1">
        <f t="shared" si="77"/>
        <v>0</v>
      </c>
      <c r="K974" s="1" t="str">
        <f t="shared" si="78"/>
        <v/>
      </c>
      <c r="L974" s="1" t="str">
        <f t="shared" si="79"/>
        <v/>
      </c>
      <c r="M974" s="1" t="b" cm="1">
        <f t="array" ref="M974">IF(H974="",FALSE,SUMPRODUCT(--(H$1:H973=H974))&gt;0)</f>
        <v>0</v>
      </c>
    </row>
    <row r="975" spans="1:13" x14ac:dyDescent="0.25">
      <c r="A975" s="1" t="str">
        <f>IF(OR(B975="",M975,G975="— ignored"),"",MAX(A$1:A974)+1)</f>
        <v/>
      </c>
      <c r="C975" s="1" t="str">
        <f>IF(I975="","",ROUND((I975+0.5*MAX(0,CEILING(ROUND((MAX(C$1:C974)-1/48-I975)/0.5,6),1)))*1440,0)/1440)</f>
        <v/>
      </c>
      <c r="D975" s="1" t="str" cm="1">
        <f t="array" ref="D975">IF(H975="","",IFERROR(INDEX(Log!$C$19:$G$19,VALUE(MID(H975,FIND("#",H975)+1,1))),""))</f>
        <v/>
      </c>
      <c r="E975" s="1" t="str" cm="1">
        <f t="array" ref="E975">IF(OR(H975="",M975),"",IFERROR(_xlfn.LET(_xlpm.t,SUBSTITUTE(UPPER(H975),"م","M"),_xlpm.u,SUBSTITUTE(_xlpm.t,"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G975" s="1" t="str">
        <f>IF(B975="","",IF(M975,"⚠ Duplicate (not counted)",IF(AND(I975="",D975="",E975=""),"— ignored",IF(C975="","⚠ Time",IF(D975="","⚠ Plant",IF(E975="","⚠ Quantity",IF(AND(ISNUMBER(L975),COUNTIF(L$1:L974,L975)&gt;0),"⚠ Same serial "&amp;L975,IF(AND(ISNUMBER(L975),L975&gt;MIN($L$2:$L$1001),COUNTIF($L$2:$L$1001,L975-1)=0,COUNTIF($L$2:$L$1001,L975-2)&lt;2),"⚠ Missing serial "&amp;(L975-1),IF(AND(MAX(K$1:K974)&gt;0,N(K975)-MAX(K$1:K974)&gt;180),"⚠ Gap &gt; 3h",IF(C975-I975&gt;=0.99,"next day",IF(C975-I975&gt;0.4,"12h → 24h","")))))))))))</f>
        <v/>
      </c>
      <c r="H975" s="1" t="str">
        <f t="shared" si="75"/>
        <v/>
      </c>
      <c r="I975" s="1" t="str">
        <f t="shared" si="76"/>
        <v/>
      </c>
      <c r="J975" s="1">
        <f t="shared" si="77"/>
        <v>0</v>
      </c>
      <c r="K975" s="1" t="str">
        <f t="shared" si="78"/>
        <v/>
      </c>
      <c r="L975" s="1" t="str">
        <f t="shared" si="79"/>
        <v/>
      </c>
      <c r="M975" s="1" t="b" cm="1">
        <f t="array" ref="M975">IF(H975="",FALSE,SUMPRODUCT(--(H$1:H974=H975))&gt;0)</f>
        <v>0</v>
      </c>
    </row>
    <row r="976" spans="1:13" x14ac:dyDescent="0.25">
      <c r="A976" s="1" t="str">
        <f>IF(OR(B976="",M976,G976="— ignored"),"",MAX(A$1:A975)+1)</f>
        <v/>
      </c>
      <c r="C976" s="1" t="str">
        <f>IF(I976="","",ROUND((I976+0.5*MAX(0,CEILING(ROUND((MAX(C$1:C975)-1/48-I976)/0.5,6),1)))*1440,0)/1440)</f>
        <v/>
      </c>
      <c r="D976" s="1" t="str" cm="1">
        <f t="array" ref="D976">IF(H976="","",IFERROR(INDEX(Log!$C$19:$G$19,VALUE(MID(H976,FIND("#",H976)+1,1))),""))</f>
        <v/>
      </c>
      <c r="E976" s="1" t="str" cm="1">
        <f t="array" ref="E976">IF(OR(H976="",M976),"",IFERROR(_xlfn.LET(_xlpm.t,SUBSTITUTE(UPPER(H976),"م","M"),_xlpm.u,SUBSTITUTE(_xlpm.t,"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G976" s="1" t="str">
        <f>IF(B976="","",IF(M976,"⚠ Duplicate (not counted)",IF(AND(I976="",D976="",E976=""),"— ignored",IF(C976="","⚠ Time",IF(D976="","⚠ Plant",IF(E976="","⚠ Quantity",IF(AND(ISNUMBER(L976),COUNTIF(L$1:L975,L976)&gt;0),"⚠ Same serial "&amp;L976,IF(AND(ISNUMBER(L976),L976&gt;MIN($L$2:$L$1001),COUNTIF($L$2:$L$1001,L976-1)=0,COUNTIF($L$2:$L$1001,L976-2)&lt;2),"⚠ Missing serial "&amp;(L976-1),IF(AND(MAX(K$1:K975)&gt;0,N(K976)-MAX(K$1:K975)&gt;180),"⚠ Gap &gt; 3h",IF(C976-I976&gt;=0.99,"next day",IF(C976-I976&gt;0.4,"12h → 24h","")))))))))))</f>
        <v/>
      </c>
      <c r="H976" s="1" t="str">
        <f t="shared" si="75"/>
        <v/>
      </c>
      <c r="I976" s="1" t="str">
        <f t="shared" si="76"/>
        <v/>
      </c>
      <c r="J976" s="1">
        <f t="shared" si="77"/>
        <v>0</v>
      </c>
      <c r="K976" s="1" t="str">
        <f t="shared" si="78"/>
        <v/>
      </c>
      <c r="L976" s="1" t="str">
        <f t="shared" si="79"/>
        <v/>
      </c>
      <c r="M976" s="1" t="b" cm="1">
        <f t="array" ref="M976">IF(H976="",FALSE,SUMPRODUCT(--(H$1:H975=H976))&gt;0)</f>
        <v>0</v>
      </c>
    </row>
    <row r="977" spans="1:13" x14ac:dyDescent="0.25">
      <c r="A977" s="1" t="str">
        <f>IF(OR(B977="",M977,G977="— ignored"),"",MAX(A$1:A976)+1)</f>
        <v/>
      </c>
      <c r="C977" s="1" t="str">
        <f>IF(I977="","",ROUND((I977+0.5*MAX(0,CEILING(ROUND((MAX(C$1:C976)-1/48-I977)/0.5,6),1)))*1440,0)/1440)</f>
        <v/>
      </c>
      <c r="D977" s="1" t="str" cm="1">
        <f t="array" ref="D977">IF(H977="","",IFERROR(INDEX(Log!$C$19:$G$19,VALUE(MID(H977,FIND("#",H977)+1,1))),""))</f>
        <v/>
      </c>
      <c r="E977" s="1" t="str" cm="1">
        <f t="array" ref="E977">IF(OR(H977="",M977),"",IFERROR(_xlfn.LET(_xlpm.t,SUBSTITUTE(UPPER(H977),"م","M"),_xlpm.u,SUBSTITUTE(_xlpm.t,"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G977" s="1" t="str">
        <f>IF(B977="","",IF(M977,"⚠ Duplicate (not counted)",IF(AND(I977="",D977="",E977=""),"— ignored",IF(C977="","⚠ Time",IF(D977="","⚠ Plant",IF(E977="","⚠ Quantity",IF(AND(ISNUMBER(L977),COUNTIF(L$1:L976,L977)&gt;0),"⚠ Same serial "&amp;L977,IF(AND(ISNUMBER(L977),L977&gt;MIN($L$2:$L$1001),COUNTIF($L$2:$L$1001,L977-1)=0,COUNTIF($L$2:$L$1001,L977-2)&lt;2),"⚠ Missing serial "&amp;(L977-1),IF(AND(MAX(K$1:K976)&gt;0,N(K977)-MAX(K$1:K976)&gt;180),"⚠ Gap &gt; 3h",IF(C977-I977&gt;=0.99,"next day",IF(C977-I977&gt;0.4,"12h → 24h","")))))))))))</f>
        <v/>
      </c>
      <c r="H977" s="1" t="str">
        <f t="shared" si="75"/>
        <v/>
      </c>
      <c r="I977" s="1" t="str">
        <f t="shared" si="76"/>
        <v/>
      </c>
      <c r="J977" s="1">
        <f t="shared" si="77"/>
        <v>0</v>
      </c>
      <c r="K977" s="1" t="str">
        <f t="shared" si="78"/>
        <v/>
      </c>
      <c r="L977" s="1" t="str">
        <f t="shared" si="79"/>
        <v/>
      </c>
      <c r="M977" s="1" t="b" cm="1">
        <f t="array" ref="M977">IF(H977="",FALSE,SUMPRODUCT(--(H$1:H976=H977))&gt;0)</f>
        <v>0</v>
      </c>
    </row>
    <row r="978" spans="1:13" x14ac:dyDescent="0.25">
      <c r="A978" s="1" t="str">
        <f>IF(OR(B978="",M978,G978="— ignored"),"",MAX(A$1:A977)+1)</f>
        <v/>
      </c>
      <c r="C978" s="1" t="str">
        <f>IF(I978="","",ROUND((I978+0.5*MAX(0,CEILING(ROUND((MAX(C$1:C977)-1/48-I978)/0.5,6),1)))*1440,0)/1440)</f>
        <v/>
      </c>
      <c r="D978" s="1" t="str" cm="1">
        <f t="array" ref="D978">IF(H978="","",IFERROR(INDEX(Log!$C$19:$G$19,VALUE(MID(H978,FIND("#",H978)+1,1))),""))</f>
        <v/>
      </c>
      <c r="E978" s="1" t="str" cm="1">
        <f t="array" ref="E978">IF(OR(H978="",M978),"",IFERROR(_xlfn.LET(_xlpm.t,SUBSTITUTE(UPPER(H978),"م","M"),_xlpm.u,SUBSTITUTE(_xlpm.t,"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G978" s="1" t="str">
        <f>IF(B978="","",IF(M978,"⚠ Duplicate (not counted)",IF(AND(I978="",D978="",E978=""),"— ignored",IF(C978="","⚠ Time",IF(D978="","⚠ Plant",IF(E978="","⚠ Quantity",IF(AND(ISNUMBER(L978),COUNTIF(L$1:L977,L978)&gt;0),"⚠ Same serial "&amp;L978,IF(AND(ISNUMBER(L978),L978&gt;MIN($L$2:$L$1001),COUNTIF($L$2:$L$1001,L978-1)=0,COUNTIF($L$2:$L$1001,L978-2)&lt;2),"⚠ Missing serial "&amp;(L978-1),IF(AND(MAX(K$1:K977)&gt;0,N(K978)-MAX(K$1:K977)&gt;180),"⚠ Gap &gt; 3h",IF(C978-I978&gt;=0.99,"next day",IF(C978-I978&gt;0.4,"12h → 24h","")))))))))))</f>
        <v/>
      </c>
      <c r="H978" s="1" t="str">
        <f t="shared" si="75"/>
        <v/>
      </c>
      <c r="I978" s="1" t="str">
        <f t="shared" si="76"/>
        <v/>
      </c>
      <c r="J978" s="1">
        <f t="shared" si="77"/>
        <v>0</v>
      </c>
      <c r="K978" s="1" t="str">
        <f t="shared" si="78"/>
        <v/>
      </c>
      <c r="L978" s="1" t="str">
        <f t="shared" si="79"/>
        <v/>
      </c>
      <c r="M978" s="1" t="b" cm="1">
        <f t="array" ref="M978">IF(H978="",FALSE,SUMPRODUCT(--(H$1:H977=H978))&gt;0)</f>
        <v>0</v>
      </c>
    </row>
    <row r="979" spans="1:13" x14ac:dyDescent="0.25">
      <c r="A979" s="1" t="str">
        <f>IF(OR(B979="",M979,G979="— ignored"),"",MAX(A$1:A978)+1)</f>
        <v/>
      </c>
      <c r="C979" s="1" t="str">
        <f>IF(I979="","",ROUND((I979+0.5*MAX(0,CEILING(ROUND((MAX(C$1:C978)-1/48-I979)/0.5,6),1)))*1440,0)/1440)</f>
        <v/>
      </c>
      <c r="D979" s="1" t="str" cm="1">
        <f t="array" ref="D979">IF(H979="","",IFERROR(INDEX(Log!$C$19:$G$19,VALUE(MID(H979,FIND("#",H979)+1,1))),""))</f>
        <v/>
      </c>
      <c r="E979" s="1" t="str" cm="1">
        <f t="array" ref="E979">IF(OR(H979="",M979),"",IFERROR(_xlfn.LET(_xlpm.t,SUBSTITUTE(UPPER(H979),"م","M"),_xlpm.u,SUBSTITUTE(_xlpm.t,"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G979" s="1" t="str">
        <f>IF(B979="","",IF(M979,"⚠ Duplicate (not counted)",IF(AND(I979="",D979="",E979=""),"— ignored",IF(C979="","⚠ Time",IF(D979="","⚠ Plant",IF(E979="","⚠ Quantity",IF(AND(ISNUMBER(L979),COUNTIF(L$1:L978,L979)&gt;0),"⚠ Same serial "&amp;L979,IF(AND(ISNUMBER(L979),L979&gt;MIN($L$2:$L$1001),COUNTIF($L$2:$L$1001,L979-1)=0,COUNTIF($L$2:$L$1001,L979-2)&lt;2),"⚠ Missing serial "&amp;(L979-1),IF(AND(MAX(K$1:K978)&gt;0,N(K979)-MAX(K$1:K978)&gt;180),"⚠ Gap &gt; 3h",IF(C979-I979&gt;=0.99,"next day",IF(C979-I979&gt;0.4,"12h → 24h","")))))))))))</f>
        <v/>
      </c>
      <c r="H979" s="1" t="str">
        <f t="shared" si="75"/>
        <v/>
      </c>
      <c r="I979" s="1" t="str">
        <f t="shared" si="76"/>
        <v/>
      </c>
      <c r="J979" s="1">
        <f t="shared" si="77"/>
        <v>0</v>
      </c>
      <c r="K979" s="1" t="str">
        <f t="shared" si="78"/>
        <v/>
      </c>
      <c r="L979" s="1" t="str">
        <f t="shared" si="79"/>
        <v/>
      </c>
      <c r="M979" s="1" t="b" cm="1">
        <f t="array" ref="M979">IF(H979="",FALSE,SUMPRODUCT(--(H$1:H978=H979))&gt;0)</f>
        <v>0</v>
      </c>
    </row>
    <row r="980" spans="1:13" x14ac:dyDescent="0.25">
      <c r="A980" s="1" t="str">
        <f>IF(OR(B980="",M980,G980="— ignored"),"",MAX(A$1:A979)+1)</f>
        <v/>
      </c>
      <c r="C980" s="1" t="str">
        <f>IF(I980="","",ROUND((I980+0.5*MAX(0,CEILING(ROUND((MAX(C$1:C979)-1/48-I980)/0.5,6),1)))*1440,0)/1440)</f>
        <v/>
      </c>
      <c r="D980" s="1" t="str" cm="1">
        <f t="array" ref="D980">IF(H980="","",IFERROR(INDEX(Log!$C$19:$G$19,VALUE(MID(H980,FIND("#",H980)+1,1))),""))</f>
        <v/>
      </c>
      <c r="E980" s="1" t="str" cm="1">
        <f t="array" ref="E980">IF(OR(H980="",M980),"",IFERROR(_xlfn.LET(_xlpm.t,SUBSTITUTE(UPPER(H980),"م","M"),_xlpm.u,SUBSTITUTE(_xlpm.t,"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G980" s="1" t="str">
        <f>IF(B980="","",IF(M980,"⚠ Duplicate (not counted)",IF(AND(I980="",D980="",E980=""),"— ignored",IF(C980="","⚠ Time",IF(D980="","⚠ Plant",IF(E980="","⚠ Quantity",IF(AND(ISNUMBER(L980),COUNTIF(L$1:L979,L980)&gt;0),"⚠ Same serial "&amp;L980,IF(AND(ISNUMBER(L980),L980&gt;MIN($L$2:$L$1001),COUNTIF($L$2:$L$1001,L980-1)=0,COUNTIF($L$2:$L$1001,L980-2)&lt;2),"⚠ Missing serial "&amp;(L980-1),IF(AND(MAX(K$1:K979)&gt;0,N(K980)-MAX(K$1:K979)&gt;180),"⚠ Gap &gt; 3h",IF(C980-I980&gt;=0.99,"next day",IF(C980-I980&gt;0.4,"12h → 24h","")))))))))))</f>
        <v/>
      </c>
      <c r="H980" s="1" t="str">
        <f t="shared" si="75"/>
        <v/>
      </c>
      <c r="I980" s="1" t="str">
        <f t="shared" si="76"/>
        <v/>
      </c>
      <c r="J980" s="1">
        <f t="shared" si="77"/>
        <v>0</v>
      </c>
      <c r="K980" s="1" t="str">
        <f t="shared" si="78"/>
        <v/>
      </c>
      <c r="L980" s="1" t="str">
        <f t="shared" si="79"/>
        <v/>
      </c>
      <c r="M980" s="1" t="b" cm="1">
        <f t="array" ref="M980">IF(H980="",FALSE,SUMPRODUCT(--(H$1:H979=H980))&gt;0)</f>
        <v>0</v>
      </c>
    </row>
    <row r="981" spans="1:13" x14ac:dyDescent="0.25">
      <c r="A981" s="1" t="str">
        <f>IF(OR(B981="",M981,G981="— ignored"),"",MAX(A$1:A980)+1)</f>
        <v/>
      </c>
      <c r="C981" s="1" t="str">
        <f>IF(I981="","",ROUND((I981+0.5*MAX(0,CEILING(ROUND((MAX(C$1:C980)-1/48-I981)/0.5,6),1)))*1440,0)/1440)</f>
        <v/>
      </c>
      <c r="D981" s="1" t="str" cm="1">
        <f t="array" ref="D981">IF(H981="","",IFERROR(INDEX(Log!$C$19:$G$19,VALUE(MID(H981,FIND("#",H981)+1,1))),""))</f>
        <v/>
      </c>
      <c r="E981" s="1" t="str" cm="1">
        <f t="array" ref="E981">IF(OR(H981="",M981),"",IFERROR(_xlfn.LET(_xlpm.t,SUBSTITUTE(UPPER(H981),"م","M"),_xlpm.u,SUBSTITUTE(_xlpm.t,"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G981" s="1" t="str">
        <f>IF(B981="","",IF(M981,"⚠ Duplicate (not counted)",IF(AND(I981="",D981="",E981=""),"— ignored",IF(C981="","⚠ Time",IF(D981="","⚠ Plant",IF(E981="","⚠ Quantity",IF(AND(ISNUMBER(L981),COUNTIF(L$1:L980,L981)&gt;0),"⚠ Same serial "&amp;L981,IF(AND(ISNUMBER(L981),L981&gt;MIN($L$2:$L$1001),COUNTIF($L$2:$L$1001,L981-1)=0,COUNTIF($L$2:$L$1001,L981-2)&lt;2),"⚠ Missing serial "&amp;(L981-1),IF(AND(MAX(K$1:K980)&gt;0,N(K981)-MAX(K$1:K980)&gt;180),"⚠ Gap &gt; 3h",IF(C981-I981&gt;=0.99,"next day",IF(C981-I981&gt;0.4,"12h → 24h","")))))))))))</f>
        <v/>
      </c>
      <c r="H981" s="1" t="str">
        <f t="shared" si="75"/>
        <v/>
      </c>
      <c r="I981" s="1" t="str">
        <f t="shared" si="76"/>
        <v/>
      </c>
      <c r="J981" s="1">
        <f t="shared" si="77"/>
        <v>0</v>
      </c>
      <c r="K981" s="1" t="str">
        <f t="shared" si="78"/>
        <v/>
      </c>
      <c r="L981" s="1" t="str">
        <f t="shared" si="79"/>
        <v/>
      </c>
      <c r="M981" s="1" t="b" cm="1">
        <f t="array" ref="M981">IF(H981="",FALSE,SUMPRODUCT(--(H$1:H980=H981))&gt;0)</f>
        <v>0</v>
      </c>
    </row>
    <row r="982" spans="1:13" x14ac:dyDescent="0.25">
      <c r="A982" s="1" t="str">
        <f>IF(OR(B982="",M982,G982="— ignored"),"",MAX(A$1:A981)+1)</f>
        <v/>
      </c>
      <c r="C982" s="1" t="str">
        <f>IF(I982="","",ROUND((I982+0.5*MAX(0,CEILING(ROUND((MAX(C$1:C981)-1/48-I982)/0.5,6),1)))*1440,0)/1440)</f>
        <v/>
      </c>
      <c r="D982" s="1" t="str" cm="1">
        <f t="array" ref="D982">IF(H982="","",IFERROR(INDEX(Log!$C$19:$G$19,VALUE(MID(H982,FIND("#",H982)+1,1))),""))</f>
        <v/>
      </c>
      <c r="E982" s="1" t="str" cm="1">
        <f t="array" ref="E982">IF(OR(H982="",M982),"",IFERROR(_xlfn.LET(_xlpm.t,SUBSTITUTE(UPPER(H982),"م","M"),_xlpm.u,SUBSTITUTE(_xlpm.t,"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G982" s="1" t="str">
        <f>IF(B982="","",IF(M982,"⚠ Duplicate (not counted)",IF(AND(I982="",D982="",E982=""),"— ignored",IF(C982="","⚠ Time",IF(D982="","⚠ Plant",IF(E982="","⚠ Quantity",IF(AND(ISNUMBER(L982),COUNTIF(L$1:L981,L982)&gt;0),"⚠ Same serial "&amp;L982,IF(AND(ISNUMBER(L982),L982&gt;MIN($L$2:$L$1001),COUNTIF($L$2:$L$1001,L982-1)=0,COUNTIF($L$2:$L$1001,L982-2)&lt;2),"⚠ Missing serial "&amp;(L982-1),IF(AND(MAX(K$1:K981)&gt;0,N(K982)-MAX(K$1:K981)&gt;180),"⚠ Gap &gt; 3h",IF(C982-I982&gt;=0.99,"next day",IF(C982-I982&gt;0.4,"12h → 24h","")))))))))))</f>
        <v/>
      </c>
      <c r="H982" s="1" t="str">
        <f t="shared" si="75"/>
        <v/>
      </c>
      <c r="I982" s="1" t="str">
        <f t="shared" si="76"/>
        <v/>
      </c>
      <c r="J982" s="1">
        <f t="shared" si="77"/>
        <v>0</v>
      </c>
      <c r="K982" s="1" t="str">
        <f t="shared" si="78"/>
        <v/>
      </c>
      <c r="L982" s="1" t="str">
        <f t="shared" si="79"/>
        <v/>
      </c>
      <c r="M982" s="1" t="b" cm="1">
        <f t="array" ref="M982">IF(H982="",FALSE,SUMPRODUCT(--(H$1:H981=H982))&gt;0)</f>
        <v>0</v>
      </c>
    </row>
    <row r="983" spans="1:13" x14ac:dyDescent="0.25">
      <c r="A983" s="1" t="str">
        <f>IF(OR(B983="",M983,G983="— ignored"),"",MAX(A$1:A982)+1)</f>
        <v/>
      </c>
      <c r="C983" s="1" t="str">
        <f>IF(I983="","",ROUND((I983+0.5*MAX(0,CEILING(ROUND((MAX(C$1:C982)-1/48-I983)/0.5,6),1)))*1440,0)/1440)</f>
        <v/>
      </c>
      <c r="D983" s="1" t="str" cm="1">
        <f t="array" ref="D983">IF(H983="","",IFERROR(INDEX(Log!$C$19:$G$19,VALUE(MID(H983,FIND("#",H983)+1,1))),""))</f>
        <v/>
      </c>
      <c r="E983" s="1" t="str" cm="1">
        <f t="array" ref="E983">IF(OR(H983="",M983),"",IFERROR(_xlfn.LET(_xlpm.t,SUBSTITUTE(UPPER(H983),"م","M"),_xlpm.u,SUBSTITUTE(_xlpm.t,"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G983" s="1" t="str">
        <f>IF(B983="","",IF(M983,"⚠ Duplicate (not counted)",IF(AND(I983="",D983="",E983=""),"— ignored",IF(C983="","⚠ Time",IF(D983="","⚠ Plant",IF(E983="","⚠ Quantity",IF(AND(ISNUMBER(L983),COUNTIF(L$1:L982,L983)&gt;0),"⚠ Same serial "&amp;L983,IF(AND(ISNUMBER(L983),L983&gt;MIN($L$2:$L$1001),COUNTIF($L$2:$L$1001,L983-1)=0,COUNTIF($L$2:$L$1001,L983-2)&lt;2),"⚠ Missing serial "&amp;(L983-1),IF(AND(MAX(K$1:K982)&gt;0,N(K983)-MAX(K$1:K982)&gt;180),"⚠ Gap &gt; 3h",IF(C983-I983&gt;=0.99,"next day",IF(C983-I983&gt;0.4,"12h → 24h","")))))))))))</f>
        <v/>
      </c>
      <c r="H983" s="1" t="str">
        <f t="shared" si="75"/>
        <v/>
      </c>
      <c r="I983" s="1" t="str">
        <f t="shared" si="76"/>
        <v/>
      </c>
      <c r="J983" s="1">
        <f t="shared" si="77"/>
        <v>0</v>
      </c>
      <c r="K983" s="1" t="str">
        <f t="shared" si="78"/>
        <v/>
      </c>
      <c r="L983" s="1" t="str">
        <f t="shared" si="79"/>
        <v/>
      </c>
      <c r="M983" s="1" t="b" cm="1">
        <f t="array" ref="M983">IF(H983="",FALSE,SUMPRODUCT(--(H$1:H982=H983))&gt;0)</f>
        <v>0</v>
      </c>
    </row>
    <row r="984" spans="1:13" x14ac:dyDescent="0.25">
      <c r="A984" s="1" t="str">
        <f>IF(OR(B984="",M984,G984="— ignored"),"",MAX(A$1:A983)+1)</f>
        <v/>
      </c>
      <c r="C984" s="1" t="str">
        <f>IF(I984="","",ROUND((I984+0.5*MAX(0,CEILING(ROUND((MAX(C$1:C983)-1/48-I984)/0.5,6),1)))*1440,0)/1440)</f>
        <v/>
      </c>
      <c r="D984" s="1" t="str" cm="1">
        <f t="array" ref="D984">IF(H984="","",IFERROR(INDEX(Log!$C$19:$G$19,VALUE(MID(H984,FIND("#",H984)+1,1))),""))</f>
        <v/>
      </c>
      <c r="E984" s="1" t="str" cm="1">
        <f t="array" ref="E984">IF(OR(H984="",M984),"",IFERROR(_xlfn.LET(_xlpm.t,SUBSTITUTE(UPPER(H984),"م","M"),_xlpm.u,SUBSTITUTE(_xlpm.t,"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G984" s="1" t="str">
        <f>IF(B984="","",IF(M984,"⚠ Duplicate (not counted)",IF(AND(I984="",D984="",E984=""),"— ignored",IF(C984="","⚠ Time",IF(D984="","⚠ Plant",IF(E984="","⚠ Quantity",IF(AND(ISNUMBER(L984),COUNTIF(L$1:L983,L984)&gt;0),"⚠ Same serial "&amp;L984,IF(AND(ISNUMBER(L984),L984&gt;MIN($L$2:$L$1001),COUNTIF($L$2:$L$1001,L984-1)=0,COUNTIF($L$2:$L$1001,L984-2)&lt;2),"⚠ Missing serial "&amp;(L984-1),IF(AND(MAX(K$1:K983)&gt;0,N(K984)-MAX(K$1:K983)&gt;180),"⚠ Gap &gt; 3h",IF(C984-I984&gt;=0.99,"next day",IF(C984-I984&gt;0.4,"12h → 24h","")))))))))))</f>
        <v/>
      </c>
      <c r="H984" s="1" t="str">
        <f t="shared" si="75"/>
        <v/>
      </c>
      <c r="I984" s="1" t="str">
        <f t="shared" si="76"/>
        <v/>
      </c>
      <c r="J984" s="1">
        <f t="shared" si="77"/>
        <v>0</v>
      </c>
      <c r="K984" s="1" t="str">
        <f t="shared" si="78"/>
        <v/>
      </c>
      <c r="L984" s="1" t="str">
        <f t="shared" si="79"/>
        <v/>
      </c>
      <c r="M984" s="1" t="b" cm="1">
        <f t="array" ref="M984">IF(H984="",FALSE,SUMPRODUCT(--(H$1:H983=H984))&gt;0)</f>
        <v>0</v>
      </c>
    </row>
    <row r="985" spans="1:13" x14ac:dyDescent="0.25">
      <c r="A985" s="1" t="str">
        <f>IF(OR(B985="",M985,G985="— ignored"),"",MAX(A$1:A984)+1)</f>
        <v/>
      </c>
      <c r="C985" s="1" t="str">
        <f>IF(I985="","",ROUND((I985+0.5*MAX(0,CEILING(ROUND((MAX(C$1:C984)-1/48-I985)/0.5,6),1)))*1440,0)/1440)</f>
        <v/>
      </c>
      <c r="D985" s="1" t="str" cm="1">
        <f t="array" ref="D985">IF(H985="","",IFERROR(INDEX(Log!$C$19:$G$19,VALUE(MID(H985,FIND("#",H985)+1,1))),""))</f>
        <v/>
      </c>
      <c r="E985" s="1" t="str" cm="1">
        <f t="array" ref="E985">IF(OR(H985="",M985),"",IFERROR(_xlfn.LET(_xlpm.t,SUBSTITUTE(UPPER(H985),"م","M"),_xlpm.u,SUBSTITUTE(_xlpm.t,"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G985" s="1" t="str">
        <f>IF(B985="","",IF(M985,"⚠ Duplicate (not counted)",IF(AND(I985="",D985="",E985=""),"— ignored",IF(C985="","⚠ Time",IF(D985="","⚠ Plant",IF(E985="","⚠ Quantity",IF(AND(ISNUMBER(L985),COUNTIF(L$1:L984,L985)&gt;0),"⚠ Same serial "&amp;L985,IF(AND(ISNUMBER(L985),L985&gt;MIN($L$2:$L$1001),COUNTIF($L$2:$L$1001,L985-1)=0,COUNTIF($L$2:$L$1001,L985-2)&lt;2),"⚠ Missing serial "&amp;(L985-1),IF(AND(MAX(K$1:K984)&gt;0,N(K985)-MAX(K$1:K984)&gt;180),"⚠ Gap &gt; 3h",IF(C985-I985&gt;=0.99,"next day",IF(C985-I985&gt;0.4,"12h → 24h","")))))))))))</f>
        <v/>
      </c>
      <c r="H985" s="1" t="str">
        <f t="shared" si="75"/>
        <v/>
      </c>
      <c r="I985" s="1" t="str">
        <f t="shared" si="76"/>
        <v/>
      </c>
      <c r="J985" s="1">
        <f t="shared" si="77"/>
        <v>0</v>
      </c>
      <c r="K985" s="1" t="str">
        <f t="shared" si="78"/>
        <v/>
      </c>
      <c r="L985" s="1" t="str">
        <f t="shared" si="79"/>
        <v/>
      </c>
      <c r="M985" s="1" t="b" cm="1">
        <f t="array" ref="M985">IF(H985="",FALSE,SUMPRODUCT(--(H$1:H984=H985))&gt;0)</f>
        <v>0</v>
      </c>
    </row>
    <row r="986" spans="1:13" x14ac:dyDescent="0.25">
      <c r="A986" s="1" t="str">
        <f>IF(OR(B986="",M986,G986="— ignored"),"",MAX(A$1:A985)+1)</f>
        <v/>
      </c>
      <c r="C986" s="1" t="str">
        <f>IF(I986="","",ROUND((I986+0.5*MAX(0,CEILING(ROUND((MAX(C$1:C985)-1/48-I986)/0.5,6),1)))*1440,0)/1440)</f>
        <v/>
      </c>
      <c r="D986" s="1" t="str" cm="1">
        <f t="array" ref="D986">IF(H986="","",IFERROR(INDEX(Log!$C$19:$G$19,VALUE(MID(H986,FIND("#",H986)+1,1))),""))</f>
        <v/>
      </c>
      <c r="E986" s="1" t="str" cm="1">
        <f t="array" ref="E986">IF(OR(H986="",M986),"",IFERROR(_xlfn.LET(_xlpm.t,SUBSTITUTE(UPPER(H986),"م","M"),_xlpm.u,SUBSTITUTE(_xlpm.t,"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G986" s="1" t="str">
        <f>IF(B986="","",IF(M986,"⚠ Duplicate (not counted)",IF(AND(I986="",D986="",E986=""),"— ignored",IF(C986="","⚠ Time",IF(D986="","⚠ Plant",IF(E986="","⚠ Quantity",IF(AND(ISNUMBER(L986),COUNTIF(L$1:L985,L986)&gt;0),"⚠ Same serial "&amp;L986,IF(AND(ISNUMBER(L986),L986&gt;MIN($L$2:$L$1001),COUNTIF($L$2:$L$1001,L986-1)=0,COUNTIF($L$2:$L$1001,L986-2)&lt;2),"⚠ Missing serial "&amp;(L986-1),IF(AND(MAX(K$1:K985)&gt;0,N(K986)-MAX(K$1:K985)&gt;180),"⚠ Gap &gt; 3h",IF(C986-I986&gt;=0.99,"next day",IF(C986-I986&gt;0.4,"12h → 24h","")))))))))))</f>
        <v/>
      </c>
      <c r="H986" s="1" t="str">
        <f t="shared" si="75"/>
        <v/>
      </c>
      <c r="I986" s="1" t="str">
        <f t="shared" si="76"/>
        <v/>
      </c>
      <c r="J986" s="1">
        <f t="shared" si="77"/>
        <v>0</v>
      </c>
      <c r="K986" s="1" t="str">
        <f t="shared" si="78"/>
        <v/>
      </c>
      <c r="L986" s="1" t="str">
        <f t="shared" si="79"/>
        <v/>
      </c>
      <c r="M986" s="1" t="b" cm="1">
        <f t="array" ref="M986">IF(H986="",FALSE,SUMPRODUCT(--(H$1:H985=H986))&gt;0)</f>
        <v>0</v>
      </c>
    </row>
    <row r="987" spans="1:13" x14ac:dyDescent="0.25">
      <c r="A987" s="1" t="str">
        <f>IF(OR(B987="",M987,G987="— ignored"),"",MAX(A$1:A986)+1)</f>
        <v/>
      </c>
      <c r="C987" s="1" t="str">
        <f>IF(I987="","",ROUND((I987+0.5*MAX(0,CEILING(ROUND((MAX(C$1:C986)-1/48-I987)/0.5,6),1)))*1440,0)/1440)</f>
        <v/>
      </c>
      <c r="D987" s="1" t="str" cm="1">
        <f t="array" ref="D987">IF(H987="","",IFERROR(INDEX(Log!$C$19:$G$19,VALUE(MID(H987,FIND("#",H987)+1,1))),""))</f>
        <v/>
      </c>
      <c r="E987" s="1" t="str" cm="1">
        <f t="array" ref="E987">IF(OR(H987="",M987),"",IFERROR(_xlfn.LET(_xlpm.t,SUBSTITUTE(UPPER(H987),"م","M"),_xlpm.u,SUBSTITUTE(_xlpm.t,"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G987" s="1" t="str">
        <f>IF(B987="","",IF(M987,"⚠ Duplicate (not counted)",IF(AND(I987="",D987="",E987=""),"— ignored",IF(C987="","⚠ Time",IF(D987="","⚠ Plant",IF(E987="","⚠ Quantity",IF(AND(ISNUMBER(L987),COUNTIF(L$1:L986,L987)&gt;0),"⚠ Same serial "&amp;L987,IF(AND(ISNUMBER(L987),L987&gt;MIN($L$2:$L$1001),COUNTIF($L$2:$L$1001,L987-1)=0,COUNTIF($L$2:$L$1001,L987-2)&lt;2),"⚠ Missing serial "&amp;(L987-1),IF(AND(MAX(K$1:K986)&gt;0,N(K987)-MAX(K$1:K986)&gt;180),"⚠ Gap &gt; 3h",IF(C987-I987&gt;=0.99,"next day",IF(C987-I987&gt;0.4,"12h → 24h","")))))))))))</f>
        <v/>
      </c>
      <c r="H987" s="1" t="str">
        <f t="shared" si="75"/>
        <v/>
      </c>
      <c r="I987" s="1" t="str">
        <f t="shared" si="76"/>
        <v/>
      </c>
      <c r="J987" s="1">
        <f t="shared" si="77"/>
        <v>0</v>
      </c>
      <c r="K987" s="1" t="str">
        <f t="shared" si="78"/>
        <v/>
      </c>
      <c r="L987" s="1" t="str">
        <f t="shared" si="79"/>
        <v/>
      </c>
      <c r="M987" s="1" t="b" cm="1">
        <f t="array" ref="M987">IF(H987="",FALSE,SUMPRODUCT(--(H$1:H986=H987))&gt;0)</f>
        <v>0</v>
      </c>
    </row>
    <row r="988" spans="1:13" x14ac:dyDescent="0.25">
      <c r="A988" s="1" t="str">
        <f>IF(OR(B988="",M988,G988="— ignored"),"",MAX(A$1:A987)+1)</f>
        <v/>
      </c>
      <c r="C988" s="1" t="str">
        <f>IF(I988="","",ROUND((I988+0.5*MAX(0,CEILING(ROUND((MAX(C$1:C987)-1/48-I988)/0.5,6),1)))*1440,0)/1440)</f>
        <v/>
      </c>
      <c r="D988" s="1" t="str" cm="1">
        <f t="array" ref="D988">IF(H988="","",IFERROR(INDEX(Log!$C$19:$G$19,VALUE(MID(H988,FIND("#",H988)+1,1))),""))</f>
        <v/>
      </c>
      <c r="E988" s="1" t="str" cm="1">
        <f t="array" ref="E988">IF(OR(H988="",M988),"",IFERROR(_xlfn.LET(_xlpm.t,SUBSTITUTE(UPPER(H988),"م","M"),_xlpm.u,SUBSTITUTE(_xlpm.t,"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G988" s="1" t="str">
        <f>IF(B988="","",IF(M988,"⚠ Duplicate (not counted)",IF(AND(I988="",D988="",E988=""),"— ignored",IF(C988="","⚠ Time",IF(D988="","⚠ Plant",IF(E988="","⚠ Quantity",IF(AND(ISNUMBER(L988),COUNTIF(L$1:L987,L988)&gt;0),"⚠ Same serial "&amp;L988,IF(AND(ISNUMBER(L988),L988&gt;MIN($L$2:$L$1001),COUNTIF($L$2:$L$1001,L988-1)=0,COUNTIF($L$2:$L$1001,L988-2)&lt;2),"⚠ Missing serial "&amp;(L988-1),IF(AND(MAX(K$1:K987)&gt;0,N(K988)-MAX(K$1:K987)&gt;180),"⚠ Gap &gt; 3h",IF(C988-I988&gt;=0.99,"next day",IF(C988-I988&gt;0.4,"12h → 24h","")))))))))))</f>
        <v/>
      </c>
      <c r="H988" s="1" t="str">
        <f t="shared" si="75"/>
        <v/>
      </c>
      <c r="I988" s="1" t="str">
        <f t="shared" si="76"/>
        <v/>
      </c>
      <c r="J988" s="1">
        <f t="shared" si="77"/>
        <v>0</v>
      </c>
      <c r="K988" s="1" t="str">
        <f t="shared" si="78"/>
        <v/>
      </c>
      <c r="L988" s="1" t="str">
        <f t="shared" si="79"/>
        <v/>
      </c>
      <c r="M988" s="1" t="b" cm="1">
        <f t="array" ref="M988">IF(H988="",FALSE,SUMPRODUCT(--(H$1:H987=H988))&gt;0)</f>
        <v>0</v>
      </c>
    </row>
    <row r="989" spans="1:13" x14ac:dyDescent="0.25">
      <c r="A989" s="1" t="str">
        <f>IF(OR(B989="",M989,G989="— ignored"),"",MAX(A$1:A988)+1)</f>
        <v/>
      </c>
      <c r="C989" s="1" t="str">
        <f>IF(I989="","",ROUND((I989+0.5*MAX(0,CEILING(ROUND((MAX(C$1:C988)-1/48-I989)/0.5,6),1)))*1440,0)/1440)</f>
        <v/>
      </c>
      <c r="D989" s="1" t="str" cm="1">
        <f t="array" ref="D989">IF(H989="","",IFERROR(INDEX(Log!$C$19:$G$19,VALUE(MID(H989,FIND("#",H989)+1,1))),""))</f>
        <v/>
      </c>
      <c r="E989" s="1" t="str" cm="1">
        <f t="array" ref="E989">IF(OR(H989="",M989),"",IFERROR(_xlfn.LET(_xlpm.t,SUBSTITUTE(UPPER(H989),"م","M"),_xlpm.u,SUBSTITUTE(_xlpm.t,"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G989" s="1" t="str">
        <f>IF(B989="","",IF(M989,"⚠ Duplicate (not counted)",IF(AND(I989="",D989="",E989=""),"— ignored",IF(C989="","⚠ Time",IF(D989="","⚠ Plant",IF(E989="","⚠ Quantity",IF(AND(ISNUMBER(L989),COUNTIF(L$1:L988,L989)&gt;0),"⚠ Same serial "&amp;L989,IF(AND(ISNUMBER(L989),L989&gt;MIN($L$2:$L$1001),COUNTIF($L$2:$L$1001,L989-1)=0,COUNTIF($L$2:$L$1001,L989-2)&lt;2),"⚠ Missing serial "&amp;(L989-1),IF(AND(MAX(K$1:K988)&gt;0,N(K989)-MAX(K$1:K988)&gt;180),"⚠ Gap &gt; 3h",IF(C989-I989&gt;=0.99,"next day",IF(C989-I989&gt;0.4,"12h → 24h","")))))))))))</f>
        <v/>
      </c>
      <c r="H989" s="1" t="str">
        <f t="shared" si="75"/>
        <v/>
      </c>
      <c r="I989" s="1" t="str">
        <f t="shared" si="76"/>
        <v/>
      </c>
      <c r="J989" s="1">
        <f t="shared" si="77"/>
        <v>0</v>
      </c>
      <c r="K989" s="1" t="str">
        <f t="shared" si="78"/>
        <v/>
      </c>
      <c r="L989" s="1" t="str">
        <f t="shared" si="79"/>
        <v/>
      </c>
      <c r="M989" s="1" t="b" cm="1">
        <f t="array" ref="M989">IF(H989="",FALSE,SUMPRODUCT(--(H$1:H988=H989))&gt;0)</f>
        <v>0</v>
      </c>
    </row>
    <row r="990" spans="1:13" x14ac:dyDescent="0.25">
      <c r="A990" s="1" t="str">
        <f>IF(OR(B990="",M990,G990="— ignored"),"",MAX(A$1:A989)+1)</f>
        <v/>
      </c>
      <c r="C990" s="1" t="str">
        <f>IF(I990="","",ROUND((I990+0.5*MAX(0,CEILING(ROUND((MAX(C$1:C989)-1/48-I990)/0.5,6),1)))*1440,0)/1440)</f>
        <v/>
      </c>
      <c r="D990" s="1" t="str" cm="1">
        <f t="array" ref="D990">IF(H990="","",IFERROR(INDEX(Log!$C$19:$G$19,VALUE(MID(H990,FIND("#",H990)+1,1))),""))</f>
        <v/>
      </c>
      <c r="E990" s="1" t="str" cm="1">
        <f t="array" ref="E990">IF(OR(H990="",M990),"",IFERROR(_xlfn.LET(_xlpm.t,SUBSTITUTE(UPPER(H990),"م","M"),_xlpm.u,SUBSTITUTE(_xlpm.t,"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G990" s="1" t="str">
        <f>IF(B990="","",IF(M990,"⚠ Duplicate (not counted)",IF(AND(I990="",D990="",E990=""),"— ignored",IF(C990="","⚠ Time",IF(D990="","⚠ Plant",IF(E990="","⚠ Quantity",IF(AND(ISNUMBER(L990),COUNTIF(L$1:L989,L990)&gt;0),"⚠ Same serial "&amp;L990,IF(AND(ISNUMBER(L990),L990&gt;MIN($L$2:$L$1001),COUNTIF($L$2:$L$1001,L990-1)=0,COUNTIF($L$2:$L$1001,L990-2)&lt;2),"⚠ Missing serial "&amp;(L990-1),IF(AND(MAX(K$1:K989)&gt;0,N(K990)-MAX(K$1:K989)&gt;180),"⚠ Gap &gt; 3h",IF(C990-I990&gt;=0.99,"next day",IF(C990-I990&gt;0.4,"12h → 24h","")))))))))))</f>
        <v/>
      </c>
      <c r="H990" s="1" t="str">
        <f t="shared" si="75"/>
        <v/>
      </c>
      <c r="I990" s="1" t="str">
        <f t="shared" si="76"/>
        <v/>
      </c>
      <c r="J990" s="1">
        <f t="shared" si="77"/>
        <v>0</v>
      </c>
      <c r="K990" s="1" t="str">
        <f t="shared" si="78"/>
        <v/>
      </c>
      <c r="L990" s="1" t="str">
        <f t="shared" si="79"/>
        <v/>
      </c>
      <c r="M990" s="1" t="b" cm="1">
        <f t="array" ref="M990">IF(H990="",FALSE,SUMPRODUCT(--(H$1:H989=H990))&gt;0)</f>
        <v>0</v>
      </c>
    </row>
    <row r="991" spans="1:13" x14ac:dyDescent="0.25">
      <c r="A991" s="1" t="str">
        <f>IF(OR(B991="",M991,G991="— ignored"),"",MAX(A$1:A990)+1)</f>
        <v/>
      </c>
      <c r="C991" s="1" t="str">
        <f>IF(I991="","",ROUND((I991+0.5*MAX(0,CEILING(ROUND((MAX(C$1:C990)-1/48-I991)/0.5,6),1)))*1440,0)/1440)</f>
        <v/>
      </c>
      <c r="D991" s="1" t="str" cm="1">
        <f t="array" ref="D991">IF(H991="","",IFERROR(INDEX(Log!$C$19:$G$19,VALUE(MID(H991,FIND("#",H991)+1,1))),""))</f>
        <v/>
      </c>
      <c r="E991" s="1" t="str" cm="1">
        <f t="array" ref="E991">IF(OR(H991="",M991),"",IFERROR(_xlfn.LET(_xlpm.t,SUBSTITUTE(UPPER(H991),"م","M"),_xlpm.u,SUBSTITUTE(_xlpm.t,"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G991" s="1" t="str">
        <f>IF(B991="","",IF(M991,"⚠ Duplicate (not counted)",IF(AND(I991="",D991="",E991=""),"— ignored",IF(C991="","⚠ Time",IF(D991="","⚠ Plant",IF(E991="","⚠ Quantity",IF(AND(ISNUMBER(L991),COUNTIF(L$1:L990,L991)&gt;0),"⚠ Same serial "&amp;L991,IF(AND(ISNUMBER(L991),L991&gt;MIN($L$2:$L$1001),COUNTIF($L$2:$L$1001,L991-1)=0,COUNTIF($L$2:$L$1001,L991-2)&lt;2),"⚠ Missing serial "&amp;(L991-1),IF(AND(MAX(K$1:K990)&gt;0,N(K991)-MAX(K$1:K990)&gt;180),"⚠ Gap &gt; 3h",IF(C991-I991&gt;=0.99,"next day",IF(C991-I991&gt;0.4,"12h → 24h","")))))))))))</f>
        <v/>
      </c>
      <c r="H991" s="1" t="str">
        <f t="shared" si="75"/>
        <v/>
      </c>
      <c r="I991" s="1" t="str">
        <f t="shared" si="76"/>
        <v/>
      </c>
      <c r="J991" s="1">
        <f t="shared" si="77"/>
        <v>0</v>
      </c>
      <c r="K991" s="1" t="str">
        <f t="shared" si="78"/>
        <v/>
      </c>
      <c r="L991" s="1" t="str">
        <f t="shared" si="79"/>
        <v/>
      </c>
      <c r="M991" s="1" t="b" cm="1">
        <f t="array" ref="M991">IF(H991="",FALSE,SUMPRODUCT(--(H$1:H990=H991))&gt;0)</f>
        <v>0</v>
      </c>
    </row>
    <row r="992" spans="1:13" x14ac:dyDescent="0.25">
      <c r="A992" s="1" t="str">
        <f>IF(OR(B992="",M992,G992="— ignored"),"",MAX(A$1:A991)+1)</f>
        <v/>
      </c>
      <c r="C992" s="1" t="str">
        <f>IF(I992="","",ROUND((I992+0.5*MAX(0,CEILING(ROUND((MAX(C$1:C991)-1/48-I992)/0.5,6),1)))*1440,0)/1440)</f>
        <v/>
      </c>
      <c r="D992" s="1" t="str" cm="1">
        <f t="array" ref="D992">IF(H992="","",IFERROR(INDEX(Log!$C$19:$G$19,VALUE(MID(H992,FIND("#",H992)+1,1))),""))</f>
        <v/>
      </c>
      <c r="E992" s="1" t="str" cm="1">
        <f t="array" ref="E992">IF(OR(H992="",M992),"",IFERROR(_xlfn.LET(_xlpm.t,SUBSTITUTE(UPPER(H992),"م","M"),_xlpm.u,SUBSTITUTE(_xlpm.t,"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G992" s="1" t="str">
        <f>IF(B992="","",IF(M992,"⚠ Duplicate (not counted)",IF(AND(I992="",D992="",E992=""),"— ignored",IF(C992="","⚠ Time",IF(D992="","⚠ Plant",IF(E992="","⚠ Quantity",IF(AND(ISNUMBER(L992),COUNTIF(L$1:L991,L992)&gt;0),"⚠ Same serial "&amp;L992,IF(AND(ISNUMBER(L992),L992&gt;MIN($L$2:$L$1001),COUNTIF($L$2:$L$1001,L992-1)=0,COUNTIF($L$2:$L$1001,L992-2)&lt;2),"⚠ Missing serial "&amp;(L992-1),IF(AND(MAX(K$1:K991)&gt;0,N(K992)-MAX(K$1:K991)&gt;180),"⚠ Gap &gt; 3h",IF(C992-I992&gt;=0.99,"next day",IF(C992-I992&gt;0.4,"12h → 24h","")))))))))))</f>
        <v/>
      </c>
      <c r="H992" s="1" t="str">
        <f t="shared" si="75"/>
        <v/>
      </c>
      <c r="I992" s="1" t="str">
        <f t="shared" si="76"/>
        <v/>
      </c>
      <c r="J992" s="1">
        <f t="shared" si="77"/>
        <v>0</v>
      </c>
      <c r="K992" s="1" t="str">
        <f t="shared" si="78"/>
        <v/>
      </c>
      <c r="L992" s="1" t="str">
        <f t="shared" si="79"/>
        <v/>
      </c>
      <c r="M992" s="1" t="b" cm="1">
        <f t="array" ref="M992">IF(H992="",FALSE,SUMPRODUCT(--(H$1:H991=H992))&gt;0)</f>
        <v>0</v>
      </c>
    </row>
    <row r="993" spans="1:13" x14ac:dyDescent="0.25">
      <c r="A993" s="1" t="str">
        <f>IF(OR(B993="",M993,G993="— ignored"),"",MAX(A$1:A992)+1)</f>
        <v/>
      </c>
      <c r="C993" s="1" t="str">
        <f>IF(I993="","",ROUND((I993+0.5*MAX(0,CEILING(ROUND((MAX(C$1:C992)-1/48-I993)/0.5,6),1)))*1440,0)/1440)</f>
        <v/>
      </c>
      <c r="D993" s="1" t="str" cm="1">
        <f t="array" ref="D993">IF(H993="","",IFERROR(INDEX(Log!$C$19:$G$19,VALUE(MID(H993,FIND("#",H993)+1,1))),""))</f>
        <v/>
      </c>
      <c r="E993" s="1" t="str" cm="1">
        <f t="array" ref="E993">IF(OR(H993="",M993),"",IFERROR(_xlfn.LET(_xlpm.t,SUBSTITUTE(UPPER(H993),"م","M"),_xlpm.u,SUBSTITUTE(_xlpm.t,"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G993" s="1" t="str">
        <f>IF(B993="","",IF(M993,"⚠ Duplicate (not counted)",IF(AND(I993="",D993="",E993=""),"— ignored",IF(C993="","⚠ Time",IF(D993="","⚠ Plant",IF(E993="","⚠ Quantity",IF(AND(ISNUMBER(L993),COUNTIF(L$1:L992,L993)&gt;0),"⚠ Same serial "&amp;L993,IF(AND(ISNUMBER(L993),L993&gt;MIN($L$2:$L$1001),COUNTIF($L$2:$L$1001,L993-1)=0,COUNTIF($L$2:$L$1001,L993-2)&lt;2),"⚠ Missing serial "&amp;(L993-1),IF(AND(MAX(K$1:K992)&gt;0,N(K993)-MAX(K$1:K992)&gt;180),"⚠ Gap &gt; 3h",IF(C993-I993&gt;=0.99,"next day",IF(C993-I993&gt;0.4,"12h → 24h","")))))))))))</f>
        <v/>
      </c>
      <c r="H993" s="1" t="str">
        <f t="shared" si="75"/>
        <v/>
      </c>
      <c r="I993" s="1" t="str">
        <f t="shared" si="76"/>
        <v/>
      </c>
      <c r="J993" s="1">
        <f t="shared" si="77"/>
        <v>0</v>
      </c>
      <c r="K993" s="1" t="str">
        <f t="shared" si="78"/>
        <v/>
      </c>
      <c r="L993" s="1" t="str">
        <f t="shared" si="79"/>
        <v/>
      </c>
      <c r="M993" s="1" t="b" cm="1">
        <f t="array" ref="M993">IF(H993="",FALSE,SUMPRODUCT(--(H$1:H992=H993))&gt;0)</f>
        <v>0</v>
      </c>
    </row>
    <row r="994" spans="1:13" x14ac:dyDescent="0.25">
      <c r="A994" s="1" t="str">
        <f>IF(OR(B994="",M994,G994="— ignored"),"",MAX(A$1:A993)+1)</f>
        <v/>
      </c>
      <c r="C994" s="1" t="str">
        <f>IF(I994="","",ROUND((I994+0.5*MAX(0,CEILING(ROUND((MAX(C$1:C993)-1/48-I994)/0.5,6),1)))*1440,0)/1440)</f>
        <v/>
      </c>
      <c r="D994" s="1" t="str" cm="1">
        <f t="array" ref="D994">IF(H994="","",IFERROR(INDEX(Log!$C$19:$G$19,VALUE(MID(H994,FIND("#",H994)+1,1))),""))</f>
        <v/>
      </c>
      <c r="E994" s="1" t="str" cm="1">
        <f t="array" ref="E994">IF(OR(H994="",M994),"",IFERROR(_xlfn.LET(_xlpm.t,SUBSTITUTE(UPPER(H994),"م","M"),_xlpm.u,SUBSTITUTE(_xlpm.t,"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G994" s="1" t="str">
        <f>IF(B994="","",IF(M994,"⚠ Duplicate (not counted)",IF(AND(I994="",D994="",E994=""),"— ignored",IF(C994="","⚠ Time",IF(D994="","⚠ Plant",IF(E994="","⚠ Quantity",IF(AND(ISNUMBER(L994),COUNTIF(L$1:L993,L994)&gt;0),"⚠ Same serial "&amp;L994,IF(AND(ISNUMBER(L994),L994&gt;MIN($L$2:$L$1001),COUNTIF($L$2:$L$1001,L994-1)=0,COUNTIF($L$2:$L$1001,L994-2)&lt;2),"⚠ Missing serial "&amp;(L994-1),IF(AND(MAX(K$1:K993)&gt;0,N(K994)-MAX(K$1:K993)&gt;180),"⚠ Gap &gt; 3h",IF(C994-I994&gt;=0.99,"next day",IF(C994-I994&gt;0.4,"12h → 24h","")))))))))))</f>
        <v/>
      </c>
      <c r="H994" s="1" t="str">
        <f t="shared" si="75"/>
        <v/>
      </c>
      <c r="I994" s="1" t="str">
        <f t="shared" si="76"/>
        <v/>
      </c>
      <c r="J994" s="1">
        <f t="shared" si="77"/>
        <v>0</v>
      </c>
      <c r="K994" s="1" t="str">
        <f t="shared" si="78"/>
        <v/>
      </c>
      <c r="L994" s="1" t="str">
        <f t="shared" si="79"/>
        <v/>
      </c>
      <c r="M994" s="1" t="b" cm="1">
        <f t="array" ref="M994">IF(H994="",FALSE,SUMPRODUCT(--(H$1:H993=H994))&gt;0)</f>
        <v>0</v>
      </c>
    </row>
    <row r="995" spans="1:13" x14ac:dyDescent="0.25">
      <c r="A995" s="1" t="str">
        <f>IF(OR(B995="",M995,G995="— ignored"),"",MAX(A$1:A994)+1)</f>
        <v/>
      </c>
      <c r="C995" s="1" t="str">
        <f>IF(I995="","",ROUND((I995+0.5*MAX(0,CEILING(ROUND((MAX(C$1:C994)-1/48-I995)/0.5,6),1)))*1440,0)/1440)</f>
        <v/>
      </c>
      <c r="D995" s="1" t="str" cm="1">
        <f t="array" ref="D995">IF(H995="","",IFERROR(INDEX(Log!$C$19:$G$19,VALUE(MID(H995,FIND("#",H995)+1,1))),""))</f>
        <v/>
      </c>
      <c r="E995" s="1" t="str" cm="1">
        <f t="array" ref="E995">IF(OR(H995="",M995),"",IFERROR(_xlfn.LET(_xlpm.t,SUBSTITUTE(UPPER(H995),"م","M"),_xlpm.u,SUBSTITUTE(_xlpm.t,"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G995" s="1" t="str">
        <f>IF(B995="","",IF(M995,"⚠ Duplicate (not counted)",IF(AND(I995="",D995="",E995=""),"— ignored",IF(C995="","⚠ Time",IF(D995="","⚠ Plant",IF(E995="","⚠ Quantity",IF(AND(ISNUMBER(L995),COUNTIF(L$1:L994,L995)&gt;0),"⚠ Same serial "&amp;L995,IF(AND(ISNUMBER(L995),L995&gt;MIN($L$2:$L$1001),COUNTIF($L$2:$L$1001,L995-1)=0,COUNTIF($L$2:$L$1001,L995-2)&lt;2),"⚠ Missing serial "&amp;(L995-1),IF(AND(MAX(K$1:K994)&gt;0,N(K995)-MAX(K$1:K994)&gt;180),"⚠ Gap &gt; 3h",IF(C995-I995&gt;=0.99,"next day",IF(C995-I995&gt;0.4,"12h → 24h","")))))))))))</f>
        <v/>
      </c>
      <c r="H995" s="1" t="str">
        <f t="shared" si="75"/>
        <v/>
      </c>
      <c r="I995" s="1" t="str">
        <f t="shared" si="76"/>
        <v/>
      </c>
      <c r="J995" s="1">
        <f t="shared" si="77"/>
        <v>0</v>
      </c>
      <c r="K995" s="1" t="str">
        <f t="shared" si="78"/>
        <v/>
      </c>
      <c r="L995" s="1" t="str">
        <f t="shared" si="79"/>
        <v/>
      </c>
      <c r="M995" s="1" t="b" cm="1">
        <f t="array" ref="M995">IF(H995="",FALSE,SUMPRODUCT(--(H$1:H994=H995))&gt;0)</f>
        <v>0</v>
      </c>
    </row>
    <row r="996" spans="1:13" x14ac:dyDescent="0.25">
      <c r="A996" s="1" t="str">
        <f>IF(OR(B996="",M996,G996="— ignored"),"",MAX(A$1:A995)+1)</f>
        <v/>
      </c>
      <c r="C996" s="1" t="str">
        <f>IF(I996="","",ROUND((I996+0.5*MAX(0,CEILING(ROUND((MAX(C$1:C995)-1/48-I996)/0.5,6),1)))*1440,0)/1440)</f>
        <v/>
      </c>
      <c r="D996" s="1" t="str" cm="1">
        <f t="array" ref="D996">IF(H996="","",IFERROR(INDEX(Log!$C$19:$G$19,VALUE(MID(H996,FIND("#",H996)+1,1))),""))</f>
        <v/>
      </c>
      <c r="E996" s="1" t="str" cm="1">
        <f t="array" ref="E996">IF(OR(H996="",M996),"",IFERROR(_xlfn.LET(_xlpm.t,SUBSTITUTE(UPPER(H996),"م","M"),_xlpm.u,SUBSTITUTE(_xlpm.t,"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G996" s="1" t="str">
        <f>IF(B996="","",IF(M996,"⚠ Duplicate (not counted)",IF(AND(I996="",D996="",E996=""),"— ignored",IF(C996="","⚠ Time",IF(D996="","⚠ Plant",IF(E996="","⚠ Quantity",IF(AND(ISNUMBER(L996),COUNTIF(L$1:L995,L996)&gt;0),"⚠ Same serial "&amp;L996,IF(AND(ISNUMBER(L996),L996&gt;MIN($L$2:$L$1001),COUNTIF($L$2:$L$1001,L996-1)=0,COUNTIF($L$2:$L$1001,L996-2)&lt;2),"⚠ Missing serial "&amp;(L996-1),IF(AND(MAX(K$1:K995)&gt;0,N(K996)-MAX(K$1:K995)&gt;180),"⚠ Gap &gt; 3h",IF(C996-I996&gt;=0.99,"next day",IF(C996-I996&gt;0.4,"12h → 24h","")))))))))))</f>
        <v/>
      </c>
      <c r="H996" s="1" t="str">
        <f t="shared" si="75"/>
        <v/>
      </c>
      <c r="I996" s="1" t="str">
        <f t="shared" si="76"/>
        <v/>
      </c>
      <c r="J996" s="1">
        <f t="shared" si="77"/>
        <v>0</v>
      </c>
      <c r="K996" s="1" t="str">
        <f t="shared" si="78"/>
        <v/>
      </c>
      <c r="L996" s="1" t="str">
        <f t="shared" si="79"/>
        <v/>
      </c>
      <c r="M996" s="1" t="b" cm="1">
        <f t="array" ref="M996">IF(H996="",FALSE,SUMPRODUCT(--(H$1:H995=H996))&gt;0)</f>
        <v>0</v>
      </c>
    </row>
    <row r="997" spans="1:13" x14ac:dyDescent="0.25">
      <c r="A997" s="1" t="str">
        <f>IF(OR(B997="",M997,G997="— ignored"),"",MAX(A$1:A996)+1)</f>
        <v/>
      </c>
      <c r="C997" s="1" t="str">
        <f>IF(I997="","",ROUND((I997+0.5*MAX(0,CEILING(ROUND((MAX(C$1:C996)-1/48-I997)/0.5,6),1)))*1440,0)/1440)</f>
        <v/>
      </c>
      <c r="D997" s="1" t="str" cm="1">
        <f t="array" ref="D997">IF(H997="","",IFERROR(INDEX(Log!$C$19:$G$19,VALUE(MID(H997,FIND("#",H997)+1,1))),""))</f>
        <v/>
      </c>
      <c r="E997" s="1" t="str" cm="1">
        <f t="array" ref="E997">IF(OR(H997="",M997),"",IFERROR(_xlfn.LET(_xlpm.t,SUBSTITUTE(UPPER(H997),"م","M"),_xlpm.u,SUBSTITUTE(_xlpm.t,"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G997" s="1" t="str">
        <f>IF(B997="","",IF(M997,"⚠ Duplicate (not counted)",IF(AND(I997="",D997="",E997=""),"— ignored",IF(C997="","⚠ Time",IF(D997="","⚠ Plant",IF(E997="","⚠ Quantity",IF(AND(ISNUMBER(L997),COUNTIF(L$1:L996,L997)&gt;0),"⚠ Same serial "&amp;L997,IF(AND(ISNUMBER(L997),L997&gt;MIN($L$2:$L$1001),COUNTIF($L$2:$L$1001,L997-1)=0,COUNTIF($L$2:$L$1001,L997-2)&lt;2),"⚠ Missing serial "&amp;(L997-1),IF(AND(MAX(K$1:K996)&gt;0,N(K997)-MAX(K$1:K996)&gt;180),"⚠ Gap &gt; 3h",IF(C997-I997&gt;=0.99,"next day",IF(C997-I997&gt;0.4,"12h → 24h","")))))))))))</f>
        <v/>
      </c>
      <c r="H997" s="1" t="str">
        <f t="shared" si="75"/>
        <v/>
      </c>
      <c r="I997" s="1" t="str">
        <f t="shared" si="76"/>
        <v/>
      </c>
      <c r="J997" s="1">
        <f t="shared" si="77"/>
        <v>0</v>
      </c>
      <c r="K997" s="1" t="str">
        <f t="shared" si="78"/>
        <v/>
      </c>
      <c r="L997" s="1" t="str">
        <f t="shared" si="79"/>
        <v/>
      </c>
      <c r="M997" s="1" t="b" cm="1">
        <f t="array" ref="M997">IF(H997="",FALSE,SUMPRODUCT(--(H$1:H996=H997))&gt;0)</f>
        <v>0</v>
      </c>
    </row>
    <row r="998" spans="1:13" x14ac:dyDescent="0.25">
      <c r="A998" s="1" t="str">
        <f>IF(OR(B998="",M998,G998="— ignored"),"",MAX(A$1:A997)+1)</f>
        <v/>
      </c>
      <c r="C998" s="1" t="str">
        <f>IF(I998="","",ROUND((I998+0.5*MAX(0,CEILING(ROUND((MAX(C$1:C997)-1/48-I998)/0.5,6),1)))*1440,0)/1440)</f>
        <v/>
      </c>
      <c r="D998" s="1" t="str" cm="1">
        <f t="array" ref="D998">IF(H998="","",IFERROR(INDEX(Log!$C$19:$G$19,VALUE(MID(H998,FIND("#",H998)+1,1))),""))</f>
        <v/>
      </c>
      <c r="E998" s="1" t="str" cm="1">
        <f t="array" ref="E998">IF(OR(H998="",M998),"",IFERROR(_xlfn.LET(_xlpm.t,SUBSTITUTE(UPPER(H998),"م","M"),_xlpm.u,SUBSTITUTE(_xlpm.t,"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G998" s="1" t="str">
        <f>IF(B998="","",IF(M998,"⚠ Duplicate (not counted)",IF(AND(I998="",D998="",E998=""),"— ignored",IF(C998="","⚠ Time",IF(D998="","⚠ Plant",IF(E998="","⚠ Quantity",IF(AND(ISNUMBER(L998),COUNTIF(L$1:L997,L998)&gt;0),"⚠ Same serial "&amp;L998,IF(AND(ISNUMBER(L998),L998&gt;MIN($L$2:$L$1001),COUNTIF($L$2:$L$1001,L998-1)=0,COUNTIF($L$2:$L$1001,L998-2)&lt;2),"⚠ Missing serial "&amp;(L998-1),IF(AND(MAX(K$1:K997)&gt;0,N(K998)-MAX(K$1:K997)&gt;180),"⚠ Gap &gt; 3h",IF(C998-I998&gt;=0.99,"next day",IF(C998-I998&gt;0.4,"12h → 24h","")))))))))))</f>
        <v/>
      </c>
      <c r="H998" s="1" t="str">
        <f t="shared" si="75"/>
        <v/>
      </c>
      <c r="I998" s="1" t="str">
        <f t="shared" si="76"/>
        <v/>
      </c>
      <c r="J998" s="1">
        <f t="shared" si="77"/>
        <v>0</v>
      </c>
      <c r="K998" s="1" t="str">
        <f t="shared" si="78"/>
        <v/>
      </c>
      <c r="L998" s="1" t="str">
        <f t="shared" si="79"/>
        <v/>
      </c>
      <c r="M998" s="1" t="b" cm="1">
        <f t="array" ref="M998">IF(H998="",FALSE,SUMPRODUCT(--(H$1:H997=H998))&gt;0)</f>
        <v>0</v>
      </c>
    </row>
    <row r="999" spans="1:13" x14ac:dyDescent="0.25">
      <c r="A999" s="1" t="str">
        <f>IF(OR(B999="",M999,G999="— ignored"),"",MAX(A$1:A998)+1)</f>
        <v/>
      </c>
      <c r="C999" s="1" t="str">
        <f>IF(I999="","",ROUND((I999+0.5*MAX(0,CEILING(ROUND((MAX(C$1:C998)-1/48-I999)/0.5,6),1)))*1440,0)/1440)</f>
        <v/>
      </c>
      <c r="D999" s="1" t="str" cm="1">
        <f t="array" ref="D999">IF(H999="","",IFERROR(INDEX(Log!$C$19:$G$19,VALUE(MID(H999,FIND("#",H999)+1,1))),""))</f>
        <v/>
      </c>
      <c r="E999" s="1" t="str" cm="1">
        <f t="array" ref="E999">IF(OR(H999="",M999),"",IFERROR(_xlfn.LET(_xlpm.t,SUBSTITUTE(UPPER(H999),"م","M"),_xlpm.u,SUBSTITUTE(_xlpm.t,"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G999" s="1" t="str">
        <f>IF(B999="","",IF(M999,"⚠ Duplicate (not counted)",IF(AND(I999="",D999="",E999=""),"— ignored",IF(C999="","⚠ Time",IF(D999="","⚠ Plant",IF(E999="","⚠ Quantity",IF(AND(ISNUMBER(L999),COUNTIF(L$1:L998,L999)&gt;0),"⚠ Same serial "&amp;L999,IF(AND(ISNUMBER(L999),L999&gt;MIN($L$2:$L$1001),COUNTIF($L$2:$L$1001,L999-1)=0,COUNTIF($L$2:$L$1001,L999-2)&lt;2),"⚠ Missing serial "&amp;(L999-1),IF(AND(MAX(K$1:K998)&gt;0,N(K999)-MAX(K$1:K998)&gt;180),"⚠ Gap &gt; 3h",IF(C999-I999&gt;=0.99,"next day",IF(C999-I999&gt;0.4,"12h → 24h","")))))))))))</f>
        <v/>
      </c>
      <c r="H999" s="1" t="str">
        <f t="shared" si="75"/>
        <v/>
      </c>
      <c r="I999" s="1" t="str">
        <f t="shared" si="76"/>
        <v/>
      </c>
      <c r="J999" s="1">
        <f t="shared" si="77"/>
        <v>0</v>
      </c>
      <c r="K999" s="1" t="str">
        <f t="shared" si="78"/>
        <v/>
      </c>
      <c r="L999" s="1" t="str">
        <f t="shared" si="79"/>
        <v/>
      </c>
      <c r="M999" s="1" t="b" cm="1">
        <f t="array" ref="M999">IF(H999="",FALSE,SUMPRODUCT(--(H$1:H998=H999))&gt;0)</f>
        <v>0</v>
      </c>
    </row>
    <row r="1000" spans="1:13" x14ac:dyDescent="0.25">
      <c r="A1000" s="1" t="str">
        <f>IF(OR(B1000="",M1000,G1000="— ignored"),"",MAX(A$1:A999)+1)</f>
        <v/>
      </c>
      <c r="C1000" s="1" t="str">
        <f>IF(I1000="","",ROUND((I1000+0.5*MAX(0,CEILING(ROUND((MAX(C$1:C999)-1/48-I1000)/0.5,6),1)))*1440,0)/1440)</f>
        <v/>
      </c>
      <c r="D1000" s="1" t="str" cm="1">
        <f t="array" ref="D1000">IF(H1000="","",IFERROR(INDEX(Log!$C$19:$G$19,VALUE(MID(H1000,FIND("#",H1000)+1,1))),""))</f>
        <v/>
      </c>
      <c r="E1000" s="1" t="str" cm="1">
        <f t="array" ref="E1000">IF(OR(H1000="",M1000),"",IFERROR(_xlfn.LET(_xlpm.t,SUBSTITUTE(UPPER(H1000),"م","M"),_xlpm.u,SUBSTITUTE(_xlpm.t,"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G1000" s="1" t="str">
        <f>IF(B1000="","",IF(M1000,"⚠ Duplicate (not counted)",IF(AND(I1000="",D1000="",E1000=""),"— ignored",IF(C1000="","⚠ Time",IF(D1000="","⚠ Plant",IF(E1000="","⚠ Quantity",IF(AND(ISNUMBER(L1000),COUNTIF(L$1:L999,L1000)&gt;0),"⚠ Same serial "&amp;L1000,IF(AND(ISNUMBER(L1000),L1000&gt;MIN($L$2:$L$1001),COUNTIF($L$2:$L$1001,L1000-1)=0,COUNTIF($L$2:$L$1001,L1000-2)&lt;2),"⚠ Missing serial "&amp;(L1000-1),IF(AND(MAX(K$1:K999)&gt;0,N(K1000)-MAX(K$1:K999)&gt;180),"⚠ Gap &gt; 3h",IF(C1000-I1000&gt;=0.99,"next day",IF(C1000-I1000&gt;0.4,"12h → 24h","")))))))))))</f>
        <v/>
      </c>
      <c r="H1000" s="1" t="str">
        <f t="shared" si="75"/>
        <v/>
      </c>
      <c r="I1000" s="1" t="str">
        <f t="shared" si="76"/>
        <v/>
      </c>
      <c r="J1000" s="1">
        <f t="shared" si="77"/>
        <v>0</v>
      </c>
      <c r="K1000" s="1" t="str">
        <f t="shared" si="78"/>
        <v/>
      </c>
      <c r="L1000" s="1" t="str">
        <f t="shared" si="79"/>
        <v/>
      </c>
      <c r="M1000" s="1" t="b" cm="1">
        <f t="array" ref="M1000">IF(H1000="",FALSE,SUMPRODUCT(--(H$1:H999=H1000))&gt;0)</f>
        <v>0</v>
      </c>
    </row>
    <row r="1001" spans="1:13" x14ac:dyDescent="0.25">
      <c r="A1001" s="1" t="str">
        <f>IF(OR(B1001="",M1001,G1001="— ignored"),"",MAX(A$1:A1000)+1)</f>
        <v/>
      </c>
      <c r="C1001" s="1" t="str">
        <f>IF(I1001="","",ROUND((I1001+0.5*MAX(0,CEILING(ROUND((MAX(C$1:C1000)-1/48-I1001)/0.5,6),1)))*1440,0)/1440)</f>
        <v/>
      </c>
      <c r="D1001" s="1" t="str" cm="1">
        <f t="array" ref="D1001">IF(H1001="","",IFERROR(INDEX(Log!$C$19:$G$19,VALUE(MID(H1001,FIND("#",H1001)+1,1))),""))</f>
        <v/>
      </c>
      <c r="E1001" s="1" t="str" cm="1">
        <f t="array" ref="E1001">IF(OR(H1001="",M1001),"",IFERROR(_xlfn.LET(_xlpm.t,SUBSTITUTE(UPPER(H1001),"م","M"),_xlpm.u,SUBSTITUTE(_xlpm.t," ",""),_xlpm.s,_xlfn.SEQUENCE(LEN(_xlpm.u)),_xlpm.p,MIN(IF((MID(_xlpm.u,_xlpm.s,1)="M")*ISNUMBER(-MID(_xlpm.u,_xlpm.s-1,1)),_xlpm.s)),_xlpm.k,LEN(LEFT(_xlpm.u,_xlpm.p))-LEN(SUBSTITUTE(LEFT(_xlpm.u,_xlpm.p),"M","")),_xlpm.pos,FIND(CHAR(1),SUBSTITUTE(_xlpm.t,"M",CHAR(1),_xlpm.k)),_xlpm.b,TRIM(LEFT(_xlpm.t,_xlpm.pos-1)),_xlpm.tok,TRIM(RIGHT(SUBSTITUTE(_xlpm.b," ",REPT(" ",30)),30)),_xlpm.z,_xlfn.SEQUENCE(LEN(_xlpm.tok)),_xlpm.q,MAX(IF(ISNUMBER(FIND(MID(_xlpm.tok,_xlpm.z,1),"0123456789.")),0,_xlpm.z)),_xlpm.num,MID(_xlpm.tok,_xlpm.q+1,30),VALUE(IF(LEFT(_xlpm.num,1)=".",MID(_xlpm.num,2,30),_xlpm.num))),""))</f>
        <v/>
      </c>
      <c r="G1001" s="1" t="str">
        <f>IF(B1001="","",IF(M1001,"⚠ Duplicate (not counted)",IF(AND(I1001="",D1001="",E1001=""),"— ignored",IF(C1001="","⚠ Time",IF(D1001="","⚠ Plant",IF(E1001="","⚠ Quantity",IF(AND(ISNUMBER(L1001),COUNTIF(L$1:L1000,L1001)&gt;0),"⚠ Same serial "&amp;L1001,IF(AND(ISNUMBER(L1001),L1001&gt;MIN($L$2:$L$1001),COUNTIF($L$2:$L$1001,L1001-1)=0,COUNTIF($L$2:$L$1001,L1001-2)&lt;2),"⚠ Missing serial "&amp;(L1001-1),IF(AND(MAX(K$1:K1000)&gt;0,N(K1001)-MAX(K$1:K1000)&gt;180),"⚠ Gap &gt; 3h",IF(C1001-I1001&gt;=0.99,"next day",IF(C1001-I1001&gt;0.4,"12h → 24h","")))))))))))</f>
        <v/>
      </c>
      <c r="H1001" s="1" t="str">
        <f t="shared" si="75"/>
        <v/>
      </c>
      <c r="I1001" s="1" t="str">
        <f t="shared" si="76"/>
        <v/>
      </c>
      <c r="J1001" s="1">
        <f t="shared" si="77"/>
        <v>0</v>
      </c>
      <c r="K1001" s="1" t="str">
        <f t="shared" si="78"/>
        <v/>
      </c>
      <c r="L1001" s="1" t="str">
        <f t="shared" si="79"/>
        <v/>
      </c>
      <c r="M1001" s="1" t="b" cm="1">
        <f t="array" ref="M1001">IF(H1001="",FALSE,SUMPRODUCT(--(H$1:H1000=H1001))&gt;0)</f>
        <v>0</v>
      </c>
    </row>
  </sheetData>
  <conditionalFormatting sqref="A2:G949">
    <cfRule type="expression" dxfId="3" priority="1">
      <formula>LEFT($G2,1)="⚠"</formula>
    </cfRule>
    <cfRule type="expression" dxfId="2" priority="2">
      <formula>$G2="— ignored"</formula>
    </cfRule>
    <cfRule type="expression" dxfId="1" priority="3">
      <formula>AND($F2&lt;&gt;"",$B2&lt;&gt;"")</formula>
    </cfRule>
  </conditionalFormatting>
  <conditionalFormatting sqref="G2:G949">
    <cfRule type="expression" dxfId="0" priority="4">
      <formula>OR($G2="12h → 24h",$G2="next day")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21D61-A921-483D-9F7C-E15C050F5D31}">
  <dimension ref="B1:B3"/>
  <sheetViews>
    <sheetView showGridLines="0" workbookViewId="0"/>
  </sheetViews>
  <sheetFormatPr defaultRowHeight="16.5" x14ac:dyDescent="0.3"/>
  <cols>
    <col min="1" max="1" width="2.7109375" style="45" customWidth="1"/>
    <col min="2" max="16384" width="9.140625" style="45"/>
  </cols>
  <sheetData>
    <row r="1" spans="2:2" ht="8.1" customHeight="1" x14ac:dyDescent="0.3"/>
    <row r="2" spans="2:2" ht="17.25" x14ac:dyDescent="0.3">
      <c r="B2" s="46" t="s">
        <v>87</v>
      </c>
    </row>
    <row r="3" spans="2:2" x14ac:dyDescent="0.3">
      <c r="B3" s="47" t="s">
        <v>88</v>
      </c>
    </row>
  </sheetData>
  <hyperlinks>
    <hyperlink ref="B3" location="'Log'!A1" tooltip="Back to the report" display="← Back to Log" xr:uid="{49970B1E-D3F2-43D9-BE83-30137B3340E6}"/>
  </hyperlink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F27D3-6CF2-4CCD-A906-9EE8DFAEB455}">
  <sheetPr codeName="Sheet3"/>
  <dimension ref="A1:P51"/>
  <sheetViews>
    <sheetView workbookViewId="0"/>
  </sheetViews>
  <sheetFormatPr defaultRowHeight="14.25" x14ac:dyDescent="0.25"/>
  <cols>
    <col min="1" max="16384" width="9.140625" style="1"/>
  </cols>
  <sheetData>
    <row r="1" spans="1:16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76</v>
      </c>
      <c r="L1" s="1" t="s">
        <v>18</v>
      </c>
      <c r="M1" s="1">
        <f>IF(COUNT(Messages!$K:$K)=0,0,MIN(Messages!$K:$K))</f>
        <v>0</v>
      </c>
      <c r="O1" s="1" t="s">
        <v>55</v>
      </c>
      <c r="P1" s="1" t="s">
        <v>56</v>
      </c>
    </row>
    <row r="2" spans="1:16" x14ac:dyDescent="0.25">
      <c r="A2" s="1">
        <f t="shared" ref="A2:A33" si="0">ROW()-1</f>
        <v>1</v>
      </c>
      <c r="B2" s="1">
        <f t="shared" ref="B2:B33" si="1">IF(A2=1,MIN($M$1,$M$2),C2-60)</f>
        <v>0</v>
      </c>
      <c r="C2" s="1">
        <f t="shared" ref="C2:C33" si="2">$M$2+60*A2</f>
        <v>60</v>
      </c>
      <c r="D2" s="1" t="str">
        <f t="shared" ref="D2:D33" si="3">TEXT(C2/1440,"hh:mm")</f>
        <v>01:00</v>
      </c>
      <c r="E2" s="1" t="e">
        <f>IF(A2&lt;=nHours,Log!$I20,NA())</f>
        <v>#N/A</v>
      </c>
      <c r="F2" s="1" t="e">
        <f t="shared" ref="F2:F33" si="4">IF(A2&lt;=nHours,K2,NA())</f>
        <v>#N/A</v>
      </c>
      <c r="G2" s="1" t="e">
        <f>IF(A2&lt;=nHours,IF(Log!$I20&gt;=K2,Log!$I20,NA()),NA())</f>
        <v>#N/A</v>
      </c>
      <c r="H2" s="1" t="e">
        <f>IF(A2&lt;=nHours,IF(Log!$I20&lt;K2,Log!$I20,NA()),NA())</f>
        <v>#N/A</v>
      </c>
      <c r="I2" s="1" t="e">
        <f>NA()</f>
        <v>#N/A</v>
      </c>
      <c r="J2" s="1" t="e">
        <f t="shared" ref="J2:J33" si="5">IF(A2&lt;=nHours,IF(ISNUMBER(K2),K2,NA()),NA())</f>
        <v>#N/A</v>
      </c>
      <c r="K2" s="1">
        <f>IF(Log!$O20&lt;&gt;"",Log!$O20,IF(A2=1,ReqInit,K1))</f>
        <v>0</v>
      </c>
      <c r="L2" s="1" t="s">
        <v>19</v>
      </c>
      <c r="M2" s="1">
        <f>IF(ISNUMBER(Log!$P$13),ROUND(MOD(Log!$P$13,1)*1440,0),MROUND(M1,15))</f>
        <v>0</v>
      </c>
      <c r="O2" s="3" t="s">
        <v>57</v>
      </c>
      <c r="P2" s="3" t="s">
        <v>58</v>
      </c>
    </row>
    <row r="3" spans="1:16" x14ac:dyDescent="0.25">
      <c r="A3" s="1">
        <f t="shared" si="0"/>
        <v>2</v>
      </c>
      <c r="B3" s="1">
        <f t="shared" si="1"/>
        <v>60</v>
      </c>
      <c r="C3" s="1">
        <f t="shared" si="2"/>
        <v>120</v>
      </c>
      <c r="D3" s="1" t="str">
        <f t="shared" si="3"/>
        <v>02:00</v>
      </c>
      <c r="E3" s="1" t="e">
        <f>IF(A3&lt;=nHours,Log!$I21,NA())</f>
        <v>#N/A</v>
      </c>
      <c r="F3" s="1" t="e">
        <f t="shared" si="4"/>
        <v>#N/A</v>
      </c>
      <c r="G3" s="1" t="e">
        <f>IF(A3&lt;=nHours,IF(Log!$I21&gt;=K3,Log!$I21,NA()),NA())</f>
        <v>#N/A</v>
      </c>
      <c r="H3" s="1" t="e">
        <f>IF(A3&lt;=nHours,IF(Log!$I21&lt;K3,Log!$I21,NA()),NA())</f>
        <v>#N/A</v>
      </c>
      <c r="I3" s="1" t="e">
        <f>NA()</f>
        <v>#N/A</v>
      </c>
      <c r="J3" s="1" t="e">
        <f t="shared" si="5"/>
        <v>#N/A</v>
      </c>
      <c r="K3" s="1">
        <f>IF(Log!$O21&lt;&gt;"",Log!$O21,IF(A3=1,ReqInit,K2))</f>
        <v>0</v>
      </c>
      <c r="L3" s="1" t="s">
        <v>20</v>
      </c>
      <c r="M3" s="1">
        <f>IF(COUNT(Messages!$K:$K)=0,0,MAX(Messages!$K:$K))</f>
        <v>0</v>
      </c>
      <c r="O3" s="3" t="s">
        <v>59</v>
      </c>
      <c r="P3" s="3" t="s">
        <v>60</v>
      </c>
    </row>
    <row r="4" spans="1:16" x14ac:dyDescent="0.25">
      <c r="A4" s="1">
        <f t="shared" si="0"/>
        <v>3</v>
      </c>
      <c r="B4" s="1">
        <f t="shared" si="1"/>
        <v>120</v>
      </c>
      <c r="C4" s="1">
        <f t="shared" si="2"/>
        <v>180</v>
      </c>
      <c r="D4" s="1" t="str">
        <f t="shared" si="3"/>
        <v>03:00</v>
      </c>
      <c r="E4" s="1" t="e">
        <f>IF(A4&lt;=nHours,Log!$I22,NA())</f>
        <v>#N/A</v>
      </c>
      <c r="F4" s="1" t="e">
        <f t="shared" si="4"/>
        <v>#N/A</v>
      </c>
      <c r="G4" s="1" t="e">
        <f>IF(A4&lt;=nHours,IF(Log!$I22&gt;=K4,Log!$I22,NA()),NA())</f>
        <v>#N/A</v>
      </c>
      <c r="H4" s="1" t="e">
        <f>IF(A4&lt;=nHours,IF(Log!$I22&lt;K4,Log!$I22,NA()),NA())</f>
        <v>#N/A</v>
      </c>
      <c r="I4" s="1" t="e">
        <f>NA()</f>
        <v>#N/A</v>
      </c>
      <c r="J4" s="1" t="e">
        <f t="shared" si="5"/>
        <v>#N/A</v>
      </c>
      <c r="K4" s="1">
        <f>IF(Log!$O22&lt;&gt;"",Log!$O22,IF(A4=1,ReqInit,K3))</f>
        <v>0</v>
      </c>
      <c r="L4" s="1" t="s">
        <v>21</v>
      </c>
      <c r="M4" s="1">
        <f>IF(COUNT(Messages!$K:$K)=0,0,MAX(1,MIN(48,INT((M3-M2)/60)+1)))</f>
        <v>0</v>
      </c>
      <c r="O4" s="3" t="s">
        <v>61</v>
      </c>
      <c r="P4" s="3" t="s">
        <v>62</v>
      </c>
    </row>
    <row r="5" spans="1:16" x14ac:dyDescent="0.25">
      <c r="A5" s="1">
        <f t="shared" si="0"/>
        <v>4</v>
      </c>
      <c r="B5" s="1">
        <f t="shared" si="1"/>
        <v>180</v>
      </c>
      <c r="C5" s="1">
        <f t="shared" si="2"/>
        <v>240</v>
      </c>
      <c r="D5" s="1" t="str">
        <f t="shared" si="3"/>
        <v>04:00</v>
      </c>
      <c r="E5" s="1" t="e">
        <f>IF(A5&lt;=nHours,Log!$I23,NA())</f>
        <v>#N/A</v>
      </c>
      <c r="F5" s="1" t="e">
        <f t="shared" si="4"/>
        <v>#N/A</v>
      </c>
      <c r="G5" s="1" t="e">
        <f>IF(A5&lt;=nHours,IF(Log!$I23&gt;=K5,Log!$I23,NA()),NA())</f>
        <v>#N/A</v>
      </c>
      <c r="H5" s="1" t="e">
        <f>IF(A5&lt;=nHours,IF(Log!$I23&lt;K5,Log!$I23,NA()),NA())</f>
        <v>#N/A</v>
      </c>
      <c r="I5" s="1" t="e">
        <f>NA()</f>
        <v>#N/A</v>
      </c>
      <c r="J5" s="1" t="e">
        <f t="shared" si="5"/>
        <v>#N/A</v>
      </c>
      <c r="K5" s="1">
        <f>IF(Log!$O23&lt;&gt;"",Log!$O23,IF(A5=1,ReqInit,K4))</f>
        <v>0</v>
      </c>
      <c r="O5" s="3" t="s">
        <v>63</v>
      </c>
      <c r="P5" s="3" t="s">
        <v>79</v>
      </c>
    </row>
    <row r="6" spans="1:16" x14ac:dyDescent="0.25">
      <c r="A6" s="1">
        <f t="shared" si="0"/>
        <v>5</v>
      </c>
      <c r="B6" s="1">
        <f t="shared" si="1"/>
        <v>240</v>
      </c>
      <c r="C6" s="1">
        <f t="shared" si="2"/>
        <v>300</v>
      </c>
      <c r="D6" s="1" t="str">
        <f t="shared" si="3"/>
        <v>05:00</v>
      </c>
      <c r="E6" s="1" t="e">
        <f>IF(A6&lt;=nHours,Log!$I24,NA())</f>
        <v>#N/A</v>
      </c>
      <c r="F6" s="1" t="e">
        <f t="shared" si="4"/>
        <v>#N/A</v>
      </c>
      <c r="G6" s="1" t="e">
        <f>IF(A6&lt;=nHours,IF(Log!$I24&gt;=K6,Log!$I24,NA()),NA())</f>
        <v>#N/A</v>
      </c>
      <c r="H6" s="1" t="e">
        <f>IF(A6&lt;=nHours,IF(Log!$I24&lt;K6,Log!$I24,NA()),NA())</f>
        <v>#N/A</v>
      </c>
      <c r="I6" s="1" t="e">
        <f>NA()</f>
        <v>#N/A</v>
      </c>
      <c r="J6" s="1" t="e">
        <f t="shared" si="5"/>
        <v>#N/A</v>
      </c>
      <c r="K6" s="1">
        <f>IF(Log!$O24&lt;&gt;"",Log!$O24,IF(A6=1,ReqInit,K5))</f>
        <v>0</v>
      </c>
      <c r="O6" s="3" t="s">
        <v>64</v>
      </c>
      <c r="P6" s="3" t="s">
        <v>80</v>
      </c>
    </row>
    <row r="7" spans="1:16" x14ac:dyDescent="0.25">
      <c r="A7" s="1">
        <f t="shared" si="0"/>
        <v>6</v>
      </c>
      <c r="B7" s="1">
        <f t="shared" si="1"/>
        <v>300</v>
      </c>
      <c r="C7" s="1">
        <f t="shared" si="2"/>
        <v>360</v>
      </c>
      <c r="D7" s="1" t="str">
        <f t="shared" si="3"/>
        <v>06:00</v>
      </c>
      <c r="E7" s="1" t="e">
        <f>IF(A7&lt;=nHours,Log!$I25,NA())</f>
        <v>#N/A</v>
      </c>
      <c r="F7" s="1" t="e">
        <f t="shared" si="4"/>
        <v>#N/A</v>
      </c>
      <c r="G7" s="1" t="e">
        <f>IF(A7&lt;=nHours,IF(Log!$I25&gt;=K7,Log!$I25,NA()),NA())</f>
        <v>#N/A</v>
      </c>
      <c r="H7" s="1" t="e">
        <f>IF(A7&lt;=nHours,IF(Log!$I25&lt;K7,Log!$I25,NA()),NA())</f>
        <v>#N/A</v>
      </c>
      <c r="I7" s="1" t="e">
        <f>NA()</f>
        <v>#N/A</v>
      </c>
      <c r="J7" s="1" t="e">
        <f t="shared" si="5"/>
        <v>#N/A</v>
      </c>
      <c r="K7" s="1">
        <f>IF(Log!$O25&lt;&gt;"",Log!$O25,IF(A7=1,ReqInit,K6))</f>
        <v>0</v>
      </c>
      <c r="L7" s="1" t="s">
        <v>85</v>
      </c>
      <c r="M7" s="1" t="str">
        <f>IF(N(Log!$P$11)&lt;=0,"",TEXT((Log!$G$6-Log!$L$6)/Log!$P$11,"0%"))</f>
        <v/>
      </c>
      <c r="O7" s="3" t="s">
        <v>65</v>
      </c>
      <c r="P7" s="3" t="s">
        <v>66</v>
      </c>
    </row>
    <row r="8" spans="1:16" x14ac:dyDescent="0.25">
      <c r="A8" s="1">
        <f t="shared" si="0"/>
        <v>7</v>
      </c>
      <c r="B8" s="1">
        <f t="shared" si="1"/>
        <v>360</v>
      </c>
      <c r="C8" s="1">
        <f t="shared" si="2"/>
        <v>420</v>
      </c>
      <c r="D8" s="1" t="str">
        <f t="shared" si="3"/>
        <v>07:00</v>
      </c>
      <c r="E8" s="1" t="e">
        <f>IF(A8&lt;=nHours,Log!$I26,NA())</f>
        <v>#N/A</v>
      </c>
      <c r="F8" s="1" t="e">
        <f t="shared" si="4"/>
        <v>#N/A</v>
      </c>
      <c r="G8" s="1" t="e">
        <f>IF(A8&lt;=nHours,IF(Log!$I26&gt;=K8,Log!$I26,NA()),NA())</f>
        <v>#N/A</v>
      </c>
      <c r="H8" s="1" t="e">
        <f>IF(A8&lt;=nHours,IF(Log!$I26&lt;K8,Log!$I26,NA()),NA())</f>
        <v>#N/A</v>
      </c>
      <c r="I8" s="1" t="e">
        <f>NA()</f>
        <v>#N/A</v>
      </c>
      <c r="J8" s="1" t="e">
        <f t="shared" si="5"/>
        <v>#N/A</v>
      </c>
      <c r="K8" s="1">
        <f>IF(Log!$O26&lt;&gt;"",Log!$O26,IF(A8=1,ReqInit,K7))</f>
        <v>0</v>
      </c>
      <c r="L8" s="1" t="s">
        <v>86</v>
      </c>
      <c r="M8" s="1">
        <f>IF(N(Log!$P$11)&lt;=0,0,ROUND(MAX(0,MIN(1,(Log!$G$6-Log!$L$6)/Log!$P$11))*20,0))</f>
        <v>0</v>
      </c>
      <c r="O8" s="3" t="s">
        <v>67</v>
      </c>
      <c r="P8" s="3" t="s">
        <v>68</v>
      </c>
    </row>
    <row r="9" spans="1:16" x14ac:dyDescent="0.25">
      <c r="A9" s="1">
        <f t="shared" si="0"/>
        <v>8</v>
      </c>
      <c r="B9" s="1">
        <f t="shared" si="1"/>
        <v>420</v>
      </c>
      <c r="C9" s="1">
        <f t="shared" si="2"/>
        <v>480</v>
      </c>
      <c r="D9" s="1" t="str">
        <f t="shared" si="3"/>
        <v>08:00</v>
      </c>
      <c r="E9" s="1" t="e">
        <f>IF(A9&lt;=nHours,Log!$I27,NA())</f>
        <v>#N/A</v>
      </c>
      <c r="F9" s="1" t="e">
        <f t="shared" si="4"/>
        <v>#N/A</v>
      </c>
      <c r="G9" s="1" t="e">
        <f>IF(A9&lt;=nHours,IF(Log!$I27&gt;=K9,Log!$I27,NA()),NA())</f>
        <v>#N/A</v>
      </c>
      <c r="H9" s="1" t="e">
        <f>IF(A9&lt;=nHours,IF(Log!$I27&lt;K9,Log!$I27,NA()),NA())</f>
        <v>#N/A</v>
      </c>
      <c r="I9" s="1" t="e">
        <f>NA()</f>
        <v>#N/A</v>
      </c>
      <c r="J9" s="1" t="e">
        <f t="shared" si="5"/>
        <v>#N/A</v>
      </c>
      <c r="K9" s="1">
        <f>IF(Log!$O27&lt;&gt;"",Log!$O27,IF(A9=1,ReqInit,K8))</f>
        <v>0</v>
      </c>
      <c r="O9" s="3" t="s">
        <v>69</v>
      </c>
      <c r="P9" s="3" t="s">
        <v>70</v>
      </c>
    </row>
    <row r="10" spans="1:16" x14ac:dyDescent="0.25">
      <c r="A10" s="1">
        <f t="shared" si="0"/>
        <v>9</v>
      </c>
      <c r="B10" s="1">
        <f t="shared" si="1"/>
        <v>480</v>
      </c>
      <c r="C10" s="1">
        <f t="shared" si="2"/>
        <v>540</v>
      </c>
      <c r="D10" s="1" t="str">
        <f t="shared" si="3"/>
        <v>09:00</v>
      </c>
      <c r="E10" s="1" t="e">
        <f>IF(A10&lt;=nHours,Log!$I28,NA())</f>
        <v>#N/A</v>
      </c>
      <c r="F10" s="1" t="e">
        <f t="shared" si="4"/>
        <v>#N/A</v>
      </c>
      <c r="G10" s="1" t="e">
        <f>IF(A10&lt;=nHours,IF(Log!$I28&gt;=K10,Log!$I28,NA()),NA())</f>
        <v>#N/A</v>
      </c>
      <c r="H10" s="1" t="e">
        <f>IF(A10&lt;=nHours,IF(Log!$I28&lt;K10,Log!$I28,NA()),NA())</f>
        <v>#N/A</v>
      </c>
      <c r="I10" s="1" t="e">
        <f>NA()</f>
        <v>#N/A</v>
      </c>
      <c r="J10" s="1" t="e">
        <f t="shared" si="5"/>
        <v>#N/A</v>
      </c>
      <c r="K10" s="1">
        <f>IF(Log!$O28&lt;&gt;"",Log!$O28,IF(A10=1,ReqInit,K9))</f>
        <v>0</v>
      </c>
      <c r="O10" s="3" t="s">
        <v>71</v>
      </c>
      <c r="P10" s="3" t="s">
        <v>72</v>
      </c>
    </row>
    <row r="11" spans="1:16" x14ac:dyDescent="0.25">
      <c r="A11" s="1">
        <f t="shared" si="0"/>
        <v>10</v>
      </c>
      <c r="B11" s="1">
        <f t="shared" si="1"/>
        <v>540</v>
      </c>
      <c r="C11" s="1">
        <f t="shared" si="2"/>
        <v>600</v>
      </c>
      <c r="D11" s="1" t="str">
        <f t="shared" si="3"/>
        <v>10:00</v>
      </c>
      <c r="E11" s="1" t="e">
        <f>IF(A11&lt;=nHours,Log!$I29,NA())</f>
        <v>#N/A</v>
      </c>
      <c r="F11" s="1" t="e">
        <f t="shared" si="4"/>
        <v>#N/A</v>
      </c>
      <c r="G11" s="1" t="e">
        <f>IF(A11&lt;=nHours,IF(Log!$I29&gt;=K11,Log!$I29,NA()),NA())</f>
        <v>#N/A</v>
      </c>
      <c r="H11" s="1" t="e">
        <f>IF(A11&lt;=nHours,IF(Log!$I29&lt;K11,Log!$I29,NA()),NA())</f>
        <v>#N/A</v>
      </c>
      <c r="I11" s="1" t="e">
        <f>NA()</f>
        <v>#N/A</v>
      </c>
      <c r="J11" s="1" t="e">
        <f t="shared" si="5"/>
        <v>#N/A</v>
      </c>
      <c r="K11" s="1">
        <f>IF(Log!$O29&lt;&gt;"",Log!$O29,IF(A11=1,ReqInit,K10))</f>
        <v>0</v>
      </c>
      <c r="O11" s="3" t="s">
        <v>73</v>
      </c>
      <c r="P11" s="3" t="s">
        <v>78</v>
      </c>
    </row>
    <row r="12" spans="1:16" x14ac:dyDescent="0.25">
      <c r="A12" s="1">
        <f t="shared" si="0"/>
        <v>11</v>
      </c>
      <c r="B12" s="1">
        <f t="shared" si="1"/>
        <v>600</v>
      </c>
      <c r="C12" s="1">
        <f t="shared" si="2"/>
        <v>660</v>
      </c>
      <c r="D12" s="1" t="str">
        <f t="shared" si="3"/>
        <v>11:00</v>
      </c>
      <c r="E12" s="1" t="e">
        <f>IF(A12&lt;=nHours,Log!$I30,NA())</f>
        <v>#N/A</v>
      </c>
      <c r="F12" s="1" t="e">
        <f t="shared" si="4"/>
        <v>#N/A</v>
      </c>
      <c r="G12" s="1" t="e">
        <f>IF(A12&lt;=nHours,IF(Log!$I30&gt;=K12,Log!$I30,NA()),NA())</f>
        <v>#N/A</v>
      </c>
      <c r="H12" s="1" t="e">
        <f>IF(A12&lt;=nHours,IF(Log!$I30&lt;K12,Log!$I30,NA()),NA())</f>
        <v>#N/A</v>
      </c>
      <c r="I12" s="1" t="e">
        <f>NA()</f>
        <v>#N/A</v>
      </c>
      <c r="J12" s="1" t="e">
        <f t="shared" si="5"/>
        <v>#N/A</v>
      </c>
      <c r="K12" s="1">
        <f>IF(Log!$O30&lt;&gt;"",Log!$O30,IF(A12=1,ReqInit,K11))</f>
        <v>0</v>
      </c>
      <c r="O12" s="3" t="s">
        <v>74</v>
      </c>
      <c r="P12" s="3" t="s">
        <v>75</v>
      </c>
    </row>
    <row r="13" spans="1:16" x14ac:dyDescent="0.25">
      <c r="A13" s="1">
        <f t="shared" si="0"/>
        <v>12</v>
      </c>
      <c r="B13" s="1">
        <f t="shared" si="1"/>
        <v>660</v>
      </c>
      <c r="C13" s="1">
        <f t="shared" si="2"/>
        <v>720</v>
      </c>
      <c r="D13" s="1" t="str">
        <f t="shared" si="3"/>
        <v>12:00</v>
      </c>
      <c r="E13" s="1" t="e">
        <f>IF(A13&lt;=nHours,Log!$I31,NA())</f>
        <v>#N/A</v>
      </c>
      <c r="F13" s="1" t="e">
        <f t="shared" si="4"/>
        <v>#N/A</v>
      </c>
      <c r="G13" s="1" t="e">
        <f>IF(A13&lt;=nHours,IF(Log!$I31&gt;=K13,Log!$I31,NA()),NA())</f>
        <v>#N/A</v>
      </c>
      <c r="H13" s="1" t="e">
        <f>IF(A13&lt;=nHours,IF(Log!$I31&lt;K13,Log!$I31,NA()),NA())</f>
        <v>#N/A</v>
      </c>
      <c r="I13" s="1" t="e">
        <f>NA()</f>
        <v>#N/A</v>
      </c>
      <c r="J13" s="1" t="e">
        <f t="shared" si="5"/>
        <v>#N/A</v>
      </c>
      <c r="K13" s="1">
        <f>IF(Log!$O31&lt;&gt;"",Log!$O31,IF(A13=1,ReqInit,K12))</f>
        <v>0</v>
      </c>
      <c r="O13" s="3" t="s">
        <v>77</v>
      </c>
      <c r="P13" s="3" t="s">
        <v>81</v>
      </c>
    </row>
    <row r="14" spans="1:16" x14ac:dyDescent="0.25">
      <c r="A14" s="1">
        <f t="shared" si="0"/>
        <v>13</v>
      </c>
      <c r="B14" s="1">
        <f t="shared" si="1"/>
        <v>720</v>
      </c>
      <c r="C14" s="1">
        <f t="shared" si="2"/>
        <v>780</v>
      </c>
      <c r="D14" s="1" t="str">
        <f t="shared" si="3"/>
        <v>13:00</v>
      </c>
      <c r="E14" s="1" t="e">
        <f>IF(A14&lt;=nHours,Log!$I32,NA())</f>
        <v>#N/A</v>
      </c>
      <c r="F14" s="1" t="e">
        <f t="shared" si="4"/>
        <v>#N/A</v>
      </c>
      <c r="G14" s="1" t="e">
        <f>IF(A14&lt;=nHours,IF(Log!$I32&gt;=K14,Log!$I32,NA()),NA())</f>
        <v>#N/A</v>
      </c>
      <c r="H14" s="1" t="e">
        <f>IF(A14&lt;=nHours,IF(Log!$I32&lt;K14,Log!$I32,NA()),NA())</f>
        <v>#N/A</v>
      </c>
      <c r="I14" s="1" t="e">
        <f>NA()</f>
        <v>#N/A</v>
      </c>
      <c r="J14" s="1" t="e">
        <f t="shared" si="5"/>
        <v>#N/A</v>
      </c>
      <c r="K14" s="1">
        <f>IF(Log!$O32&lt;&gt;"",Log!$O32,IF(A14=1,ReqInit,K13))</f>
        <v>0</v>
      </c>
    </row>
    <row r="15" spans="1:16" x14ac:dyDescent="0.25">
      <c r="A15" s="1">
        <f t="shared" si="0"/>
        <v>14</v>
      </c>
      <c r="B15" s="1">
        <f t="shared" si="1"/>
        <v>780</v>
      </c>
      <c r="C15" s="1">
        <f t="shared" si="2"/>
        <v>840</v>
      </c>
      <c r="D15" s="1" t="str">
        <f t="shared" si="3"/>
        <v>14:00</v>
      </c>
      <c r="E15" s="1" t="e">
        <f>IF(A15&lt;=nHours,Log!$I33,NA())</f>
        <v>#N/A</v>
      </c>
      <c r="F15" s="1" t="e">
        <f t="shared" si="4"/>
        <v>#N/A</v>
      </c>
      <c r="G15" s="1" t="e">
        <f>IF(A15&lt;=nHours,IF(Log!$I33&gt;=K15,Log!$I33,NA()),NA())</f>
        <v>#N/A</v>
      </c>
      <c r="H15" s="1" t="e">
        <f>IF(A15&lt;=nHours,IF(Log!$I33&lt;K15,Log!$I33,NA()),NA())</f>
        <v>#N/A</v>
      </c>
      <c r="I15" s="1" t="e">
        <f>NA()</f>
        <v>#N/A</v>
      </c>
      <c r="J15" s="1" t="e">
        <f t="shared" si="5"/>
        <v>#N/A</v>
      </c>
      <c r="K15" s="1">
        <f>IF(Log!$O33&lt;&gt;"",Log!$O33,IF(A15=1,ReqInit,K14))</f>
        <v>0</v>
      </c>
    </row>
    <row r="16" spans="1:16" x14ac:dyDescent="0.25">
      <c r="A16" s="1">
        <f t="shared" si="0"/>
        <v>15</v>
      </c>
      <c r="B16" s="1">
        <f t="shared" si="1"/>
        <v>840</v>
      </c>
      <c r="C16" s="1">
        <f t="shared" si="2"/>
        <v>900</v>
      </c>
      <c r="D16" s="1" t="str">
        <f t="shared" si="3"/>
        <v>15:00</v>
      </c>
      <c r="E16" s="1" t="e">
        <f>IF(A16&lt;=nHours,Log!$I34,NA())</f>
        <v>#N/A</v>
      </c>
      <c r="F16" s="1" t="e">
        <f t="shared" si="4"/>
        <v>#N/A</v>
      </c>
      <c r="G16" s="1" t="e">
        <f>IF(A16&lt;=nHours,IF(Log!$I34&gt;=K16,Log!$I34,NA()),NA())</f>
        <v>#N/A</v>
      </c>
      <c r="H16" s="1" t="e">
        <f>IF(A16&lt;=nHours,IF(Log!$I34&lt;K16,Log!$I34,NA()),NA())</f>
        <v>#N/A</v>
      </c>
      <c r="I16" s="1" t="e">
        <f>NA()</f>
        <v>#N/A</v>
      </c>
      <c r="J16" s="1" t="e">
        <f t="shared" si="5"/>
        <v>#N/A</v>
      </c>
      <c r="K16" s="1">
        <f>IF(Log!$O34&lt;&gt;"",Log!$O34,IF(A16=1,ReqInit,K15))</f>
        <v>0</v>
      </c>
    </row>
    <row r="17" spans="1:11" x14ac:dyDescent="0.25">
      <c r="A17" s="1">
        <f t="shared" si="0"/>
        <v>16</v>
      </c>
      <c r="B17" s="1">
        <f t="shared" si="1"/>
        <v>900</v>
      </c>
      <c r="C17" s="1">
        <f t="shared" si="2"/>
        <v>960</v>
      </c>
      <c r="D17" s="1" t="str">
        <f t="shared" si="3"/>
        <v>16:00</v>
      </c>
      <c r="E17" s="1" t="e">
        <f>IF(A17&lt;=nHours,Log!$I35,NA())</f>
        <v>#N/A</v>
      </c>
      <c r="F17" s="1" t="e">
        <f t="shared" si="4"/>
        <v>#N/A</v>
      </c>
      <c r="G17" s="1" t="e">
        <f>IF(A17&lt;=nHours,IF(Log!$I35&gt;=K17,Log!$I35,NA()),NA())</f>
        <v>#N/A</v>
      </c>
      <c r="H17" s="1" t="e">
        <f>IF(A17&lt;=nHours,IF(Log!$I35&lt;K17,Log!$I35,NA()),NA())</f>
        <v>#N/A</v>
      </c>
      <c r="I17" s="1" t="e">
        <f>NA()</f>
        <v>#N/A</v>
      </c>
      <c r="J17" s="1" t="e">
        <f t="shared" si="5"/>
        <v>#N/A</v>
      </c>
      <c r="K17" s="1">
        <f>IF(Log!$O35&lt;&gt;"",Log!$O35,IF(A17=1,ReqInit,K16))</f>
        <v>0</v>
      </c>
    </row>
    <row r="18" spans="1:11" x14ac:dyDescent="0.25">
      <c r="A18" s="1">
        <f t="shared" si="0"/>
        <v>17</v>
      </c>
      <c r="B18" s="1">
        <f t="shared" si="1"/>
        <v>960</v>
      </c>
      <c r="C18" s="1">
        <f t="shared" si="2"/>
        <v>1020</v>
      </c>
      <c r="D18" s="1" t="str">
        <f t="shared" si="3"/>
        <v>17:00</v>
      </c>
      <c r="E18" s="1" t="e">
        <f>IF(A18&lt;=nHours,Log!$I36,NA())</f>
        <v>#N/A</v>
      </c>
      <c r="F18" s="1" t="e">
        <f t="shared" si="4"/>
        <v>#N/A</v>
      </c>
      <c r="G18" s="1" t="e">
        <f>IF(A18&lt;=nHours,IF(Log!$I36&gt;=K18,Log!$I36,NA()),NA())</f>
        <v>#N/A</v>
      </c>
      <c r="H18" s="1" t="e">
        <f>IF(A18&lt;=nHours,IF(Log!$I36&lt;K18,Log!$I36,NA()),NA())</f>
        <v>#N/A</v>
      </c>
      <c r="I18" s="1" t="e">
        <f>NA()</f>
        <v>#N/A</v>
      </c>
      <c r="J18" s="1" t="e">
        <f t="shared" si="5"/>
        <v>#N/A</v>
      </c>
      <c r="K18" s="1">
        <f>IF(Log!$O36&lt;&gt;"",Log!$O36,IF(A18=1,ReqInit,K17))</f>
        <v>0</v>
      </c>
    </row>
    <row r="19" spans="1:11" x14ac:dyDescent="0.25">
      <c r="A19" s="1">
        <f t="shared" si="0"/>
        <v>18</v>
      </c>
      <c r="B19" s="1">
        <f t="shared" si="1"/>
        <v>1020</v>
      </c>
      <c r="C19" s="1">
        <f t="shared" si="2"/>
        <v>1080</v>
      </c>
      <c r="D19" s="1" t="str">
        <f t="shared" si="3"/>
        <v>18:00</v>
      </c>
      <c r="E19" s="1" t="e">
        <f>IF(A19&lt;=nHours,Log!$I37,NA())</f>
        <v>#N/A</v>
      </c>
      <c r="F19" s="1" t="e">
        <f t="shared" si="4"/>
        <v>#N/A</v>
      </c>
      <c r="G19" s="1" t="e">
        <f>IF(A19&lt;=nHours,IF(Log!$I37&gt;=K19,Log!$I37,NA()),NA())</f>
        <v>#N/A</v>
      </c>
      <c r="H19" s="1" t="e">
        <f>IF(A19&lt;=nHours,IF(Log!$I37&lt;K19,Log!$I37,NA()),NA())</f>
        <v>#N/A</v>
      </c>
      <c r="I19" s="1" t="e">
        <f>NA()</f>
        <v>#N/A</v>
      </c>
      <c r="J19" s="1" t="e">
        <f t="shared" si="5"/>
        <v>#N/A</v>
      </c>
      <c r="K19" s="1">
        <f>IF(Log!$O37&lt;&gt;"",Log!$O37,IF(A19=1,ReqInit,K18))</f>
        <v>0</v>
      </c>
    </row>
    <row r="20" spans="1:11" x14ac:dyDescent="0.25">
      <c r="A20" s="1">
        <f t="shared" si="0"/>
        <v>19</v>
      </c>
      <c r="B20" s="1">
        <f t="shared" si="1"/>
        <v>1080</v>
      </c>
      <c r="C20" s="1">
        <f t="shared" si="2"/>
        <v>1140</v>
      </c>
      <c r="D20" s="1" t="str">
        <f t="shared" si="3"/>
        <v>19:00</v>
      </c>
      <c r="E20" s="1" t="e">
        <f>IF(A20&lt;=nHours,Log!$I38,NA())</f>
        <v>#N/A</v>
      </c>
      <c r="F20" s="1" t="e">
        <f t="shared" si="4"/>
        <v>#N/A</v>
      </c>
      <c r="G20" s="1" t="e">
        <f>IF(A20&lt;=nHours,IF(Log!$I38&gt;=K20,Log!$I38,NA()),NA())</f>
        <v>#N/A</v>
      </c>
      <c r="H20" s="1" t="e">
        <f>IF(A20&lt;=nHours,IF(Log!$I38&lt;K20,Log!$I38,NA()),NA())</f>
        <v>#N/A</v>
      </c>
      <c r="I20" s="1" t="e">
        <f>NA()</f>
        <v>#N/A</v>
      </c>
      <c r="J20" s="1" t="e">
        <f t="shared" si="5"/>
        <v>#N/A</v>
      </c>
      <c r="K20" s="1">
        <f>IF(Log!$O38&lt;&gt;"",Log!$O38,IF(A20=1,ReqInit,K19))</f>
        <v>0</v>
      </c>
    </row>
    <row r="21" spans="1:11" x14ac:dyDescent="0.25">
      <c r="A21" s="1">
        <f t="shared" si="0"/>
        <v>20</v>
      </c>
      <c r="B21" s="1">
        <f t="shared" si="1"/>
        <v>1140</v>
      </c>
      <c r="C21" s="1">
        <f t="shared" si="2"/>
        <v>1200</v>
      </c>
      <c r="D21" s="1" t="str">
        <f t="shared" si="3"/>
        <v>20:00</v>
      </c>
      <c r="E21" s="1" t="e">
        <f>IF(A21&lt;=nHours,Log!$I39,NA())</f>
        <v>#N/A</v>
      </c>
      <c r="F21" s="1" t="e">
        <f t="shared" si="4"/>
        <v>#N/A</v>
      </c>
      <c r="G21" s="1" t="e">
        <f>IF(A21&lt;=nHours,IF(Log!$I39&gt;=K21,Log!$I39,NA()),NA())</f>
        <v>#N/A</v>
      </c>
      <c r="H21" s="1" t="e">
        <f>IF(A21&lt;=nHours,IF(Log!$I39&lt;K21,Log!$I39,NA()),NA())</f>
        <v>#N/A</v>
      </c>
      <c r="I21" s="1" t="e">
        <f>NA()</f>
        <v>#N/A</v>
      </c>
      <c r="J21" s="1" t="e">
        <f t="shared" si="5"/>
        <v>#N/A</v>
      </c>
      <c r="K21" s="1">
        <f>IF(Log!$O39&lt;&gt;"",Log!$O39,IF(A21=1,ReqInit,K20))</f>
        <v>0</v>
      </c>
    </row>
    <row r="22" spans="1:11" x14ac:dyDescent="0.25">
      <c r="A22" s="1">
        <f t="shared" si="0"/>
        <v>21</v>
      </c>
      <c r="B22" s="1">
        <f t="shared" si="1"/>
        <v>1200</v>
      </c>
      <c r="C22" s="1">
        <f t="shared" si="2"/>
        <v>1260</v>
      </c>
      <c r="D22" s="1" t="str">
        <f t="shared" si="3"/>
        <v>21:00</v>
      </c>
      <c r="E22" s="1" t="e">
        <f>IF(A22&lt;=nHours,Log!$I40,NA())</f>
        <v>#N/A</v>
      </c>
      <c r="F22" s="1" t="e">
        <f t="shared" si="4"/>
        <v>#N/A</v>
      </c>
      <c r="G22" s="1" t="e">
        <f>IF(A22&lt;=nHours,IF(Log!$I40&gt;=K22,Log!$I40,NA()),NA())</f>
        <v>#N/A</v>
      </c>
      <c r="H22" s="1" t="e">
        <f>IF(A22&lt;=nHours,IF(Log!$I40&lt;K22,Log!$I40,NA()),NA())</f>
        <v>#N/A</v>
      </c>
      <c r="I22" s="1" t="e">
        <f>NA()</f>
        <v>#N/A</v>
      </c>
      <c r="J22" s="1" t="e">
        <f t="shared" si="5"/>
        <v>#N/A</v>
      </c>
      <c r="K22" s="1">
        <f>IF(Log!$O40&lt;&gt;"",Log!$O40,IF(A22=1,ReqInit,K21))</f>
        <v>0</v>
      </c>
    </row>
    <row r="23" spans="1:11" x14ac:dyDescent="0.25">
      <c r="A23" s="1">
        <f t="shared" si="0"/>
        <v>22</v>
      </c>
      <c r="B23" s="1">
        <f t="shared" si="1"/>
        <v>1260</v>
      </c>
      <c r="C23" s="1">
        <f t="shared" si="2"/>
        <v>1320</v>
      </c>
      <c r="D23" s="1" t="str">
        <f t="shared" si="3"/>
        <v>22:00</v>
      </c>
      <c r="E23" s="1" t="e">
        <f>IF(A23&lt;=nHours,Log!$I41,NA())</f>
        <v>#N/A</v>
      </c>
      <c r="F23" s="1" t="e">
        <f t="shared" si="4"/>
        <v>#N/A</v>
      </c>
      <c r="G23" s="1" t="e">
        <f>IF(A23&lt;=nHours,IF(Log!$I41&gt;=K23,Log!$I41,NA()),NA())</f>
        <v>#N/A</v>
      </c>
      <c r="H23" s="1" t="e">
        <f>IF(A23&lt;=nHours,IF(Log!$I41&lt;K23,Log!$I41,NA()),NA())</f>
        <v>#N/A</v>
      </c>
      <c r="I23" s="1" t="e">
        <f>NA()</f>
        <v>#N/A</v>
      </c>
      <c r="J23" s="1" t="e">
        <f t="shared" si="5"/>
        <v>#N/A</v>
      </c>
      <c r="K23" s="1">
        <f>IF(Log!$O41&lt;&gt;"",Log!$O41,IF(A23=1,ReqInit,K22))</f>
        <v>0</v>
      </c>
    </row>
    <row r="24" spans="1:11" x14ac:dyDescent="0.25">
      <c r="A24" s="1">
        <f t="shared" si="0"/>
        <v>23</v>
      </c>
      <c r="B24" s="1">
        <f t="shared" si="1"/>
        <v>1320</v>
      </c>
      <c r="C24" s="1">
        <f t="shared" si="2"/>
        <v>1380</v>
      </c>
      <c r="D24" s="1" t="str">
        <f t="shared" si="3"/>
        <v>23:00</v>
      </c>
      <c r="E24" s="1" t="e">
        <f>IF(A24&lt;=nHours,Log!$I42,NA())</f>
        <v>#N/A</v>
      </c>
      <c r="F24" s="1" t="e">
        <f t="shared" si="4"/>
        <v>#N/A</v>
      </c>
      <c r="G24" s="1" t="e">
        <f>IF(A24&lt;=nHours,IF(Log!$I42&gt;=K24,Log!$I42,NA()),NA())</f>
        <v>#N/A</v>
      </c>
      <c r="H24" s="1" t="e">
        <f>IF(A24&lt;=nHours,IF(Log!$I42&lt;K24,Log!$I42,NA()),NA())</f>
        <v>#N/A</v>
      </c>
      <c r="I24" s="1" t="e">
        <f>NA()</f>
        <v>#N/A</v>
      </c>
      <c r="J24" s="1" t="e">
        <f t="shared" si="5"/>
        <v>#N/A</v>
      </c>
      <c r="K24" s="1">
        <f>IF(Log!$O42&lt;&gt;"",Log!$O42,IF(A24=1,ReqInit,K23))</f>
        <v>0</v>
      </c>
    </row>
    <row r="25" spans="1:11" x14ac:dyDescent="0.25">
      <c r="A25" s="1">
        <f t="shared" si="0"/>
        <v>24</v>
      </c>
      <c r="B25" s="1">
        <f t="shared" si="1"/>
        <v>1380</v>
      </c>
      <c r="C25" s="1">
        <f t="shared" si="2"/>
        <v>1440</v>
      </c>
      <c r="D25" s="1" t="str">
        <f t="shared" si="3"/>
        <v>00:00</v>
      </c>
      <c r="E25" s="1" t="e">
        <f>IF(A25&lt;=nHours,Log!$I43,NA())</f>
        <v>#N/A</v>
      </c>
      <c r="F25" s="1" t="e">
        <f t="shared" si="4"/>
        <v>#N/A</v>
      </c>
      <c r="G25" s="1" t="e">
        <f>IF(A25&lt;=nHours,IF(Log!$I43&gt;=K25,Log!$I43,NA()),NA())</f>
        <v>#N/A</v>
      </c>
      <c r="H25" s="1" t="e">
        <f>IF(A25&lt;=nHours,IF(Log!$I43&lt;K25,Log!$I43,NA()),NA())</f>
        <v>#N/A</v>
      </c>
      <c r="I25" s="1" t="e">
        <f>NA()</f>
        <v>#N/A</v>
      </c>
      <c r="J25" s="1" t="e">
        <f t="shared" si="5"/>
        <v>#N/A</v>
      </c>
      <c r="K25" s="1">
        <f>IF(Log!$O43&lt;&gt;"",Log!$O43,IF(A25=1,ReqInit,K24))</f>
        <v>0</v>
      </c>
    </row>
    <row r="26" spans="1:11" x14ac:dyDescent="0.25">
      <c r="A26" s="1">
        <f t="shared" si="0"/>
        <v>25</v>
      </c>
      <c r="B26" s="1">
        <f t="shared" si="1"/>
        <v>1440</v>
      </c>
      <c r="C26" s="1">
        <f t="shared" si="2"/>
        <v>1500</v>
      </c>
      <c r="D26" s="1" t="str">
        <f t="shared" si="3"/>
        <v>01:00</v>
      </c>
      <c r="E26" s="1" t="e">
        <f>IF(A26&lt;=nHours,Log!$I44,NA())</f>
        <v>#N/A</v>
      </c>
      <c r="F26" s="1" t="e">
        <f t="shared" si="4"/>
        <v>#N/A</v>
      </c>
      <c r="G26" s="1" t="e">
        <f>IF(A26&lt;=nHours,IF(Log!$I44&gt;=K26,Log!$I44,NA()),NA())</f>
        <v>#N/A</v>
      </c>
      <c r="H26" s="1" t="e">
        <f>IF(A26&lt;=nHours,IF(Log!$I44&lt;K26,Log!$I44,NA()),NA())</f>
        <v>#N/A</v>
      </c>
      <c r="I26" s="1" t="e">
        <f>NA()</f>
        <v>#N/A</v>
      </c>
      <c r="J26" s="1" t="e">
        <f t="shared" si="5"/>
        <v>#N/A</v>
      </c>
      <c r="K26" s="1">
        <f>IF(Log!$O44&lt;&gt;"",Log!$O44,IF(A26=1,ReqInit,K25))</f>
        <v>0</v>
      </c>
    </row>
    <row r="27" spans="1:11" x14ac:dyDescent="0.25">
      <c r="A27" s="1">
        <f t="shared" si="0"/>
        <v>26</v>
      </c>
      <c r="B27" s="1">
        <f t="shared" si="1"/>
        <v>1500</v>
      </c>
      <c r="C27" s="1">
        <f t="shared" si="2"/>
        <v>1560</v>
      </c>
      <c r="D27" s="1" t="str">
        <f t="shared" si="3"/>
        <v>02:00</v>
      </c>
      <c r="E27" s="1" t="e">
        <f>IF(A27&lt;=nHours,Log!$I45,NA())</f>
        <v>#N/A</v>
      </c>
      <c r="F27" s="1" t="e">
        <f t="shared" si="4"/>
        <v>#N/A</v>
      </c>
      <c r="G27" s="1" t="e">
        <f>IF(A27&lt;=nHours,IF(Log!$I45&gt;=K27,Log!$I45,NA()),NA())</f>
        <v>#N/A</v>
      </c>
      <c r="H27" s="1" t="e">
        <f>IF(A27&lt;=nHours,IF(Log!$I45&lt;K27,Log!$I45,NA()),NA())</f>
        <v>#N/A</v>
      </c>
      <c r="I27" s="1" t="e">
        <f>NA()</f>
        <v>#N/A</v>
      </c>
      <c r="J27" s="1" t="e">
        <f t="shared" si="5"/>
        <v>#N/A</v>
      </c>
      <c r="K27" s="1">
        <f>IF(Log!$O45&lt;&gt;"",Log!$O45,IF(A27=1,ReqInit,K26))</f>
        <v>0</v>
      </c>
    </row>
    <row r="28" spans="1:11" x14ac:dyDescent="0.25">
      <c r="A28" s="1">
        <f t="shared" si="0"/>
        <v>27</v>
      </c>
      <c r="B28" s="1">
        <f t="shared" si="1"/>
        <v>1560</v>
      </c>
      <c r="C28" s="1">
        <f t="shared" si="2"/>
        <v>1620</v>
      </c>
      <c r="D28" s="1" t="str">
        <f t="shared" si="3"/>
        <v>03:00</v>
      </c>
      <c r="E28" s="1" t="e">
        <f>IF(A28&lt;=nHours,Log!$I46,NA())</f>
        <v>#N/A</v>
      </c>
      <c r="F28" s="1" t="e">
        <f t="shared" si="4"/>
        <v>#N/A</v>
      </c>
      <c r="G28" s="1" t="e">
        <f>IF(A28&lt;=nHours,IF(Log!$I46&gt;=K28,Log!$I46,NA()),NA())</f>
        <v>#N/A</v>
      </c>
      <c r="H28" s="1" t="e">
        <f>IF(A28&lt;=nHours,IF(Log!$I46&lt;K28,Log!$I46,NA()),NA())</f>
        <v>#N/A</v>
      </c>
      <c r="I28" s="1" t="e">
        <f>NA()</f>
        <v>#N/A</v>
      </c>
      <c r="J28" s="1" t="e">
        <f t="shared" si="5"/>
        <v>#N/A</v>
      </c>
      <c r="K28" s="1">
        <f>IF(Log!$O46&lt;&gt;"",Log!$O46,IF(A28=1,ReqInit,K27))</f>
        <v>0</v>
      </c>
    </row>
    <row r="29" spans="1:11" x14ac:dyDescent="0.25">
      <c r="A29" s="1">
        <f t="shared" si="0"/>
        <v>28</v>
      </c>
      <c r="B29" s="1">
        <f t="shared" si="1"/>
        <v>1620</v>
      </c>
      <c r="C29" s="1">
        <f t="shared" si="2"/>
        <v>1680</v>
      </c>
      <c r="D29" s="1" t="str">
        <f t="shared" si="3"/>
        <v>04:00</v>
      </c>
      <c r="E29" s="1" t="e">
        <f>IF(A29&lt;=nHours,Log!$I47,NA())</f>
        <v>#N/A</v>
      </c>
      <c r="F29" s="1" t="e">
        <f t="shared" si="4"/>
        <v>#N/A</v>
      </c>
      <c r="G29" s="1" t="e">
        <f>IF(A29&lt;=nHours,IF(Log!$I47&gt;=K29,Log!$I47,NA()),NA())</f>
        <v>#N/A</v>
      </c>
      <c r="H29" s="1" t="e">
        <f>IF(A29&lt;=nHours,IF(Log!$I47&lt;K29,Log!$I47,NA()),NA())</f>
        <v>#N/A</v>
      </c>
      <c r="I29" s="1" t="e">
        <f>NA()</f>
        <v>#N/A</v>
      </c>
      <c r="J29" s="1" t="e">
        <f t="shared" si="5"/>
        <v>#N/A</v>
      </c>
      <c r="K29" s="1">
        <f>IF(Log!$O47&lt;&gt;"",Log!$O47,IF(A29=1,ReqInit,K28))</f>
        <v>0</v>
      </c>
    </row>
    <row r="30" spans="1:11" x14ac:dyDescent="0.25">
      <c r="A30" s="1">
        <f t="shared" si="0"/>
        <v>29</v>
      </c>
      <c r="B30" s="1">
        <f t="shared" si="1"/>
        <v>1680</v>
      </c>
      <c r="C30" s="1">
        <f t="shared" si="2"/>
        <v>1740</v>
      </c>
      <c r="D30" s="1" t="str">
        <f t="shared" si="3"/>
        <v>05:00</v>
      </c>
      <c r="E30" s="1" t="e">
        <f>IF(A30&lt;=nHours,Log!$I48,NA())</f>
        <v>#N/A</v>
      </c>
      <c r="F30" s="1" t="e">
        <f t="shared" si="4"/>
        <v>#N/A</v>
      </c>
      <c r="G30" s="1" t="e">
        <f>IF(A30&lt;=nHours,IF(Log!$I48&gt;=K30,Log!$I48,NA()),NA())</f>
        <v>#N/A</v>
      </c>
      <c r="H30" s="1" t="e">
        <f>IF(A30&lt;=nHours,IF(Log!$I48&lt;K30,Log!$I48,NA()),NA())</f>
        <v>#N/A</v>
      </c>
      <c r="I30" s="1" t="e">
        <f>NA()</f>
        <v>#N/A</v>
      </c>
      <c r="J30" s="1" t="e">
        <f t="shared" si="5"/>
        <v>#N/A</v>
      </c>
      <c r="K30" s="1">
        <f>IF(Log!$O48&lt;&gt;"",Log!$O48,IF(A30=1,ReqInit,K29))</f>
        <v>0</v>
      </c>
    </row>
    <row r="31" spans="1:11" x14ac:dyDescent="0.25">
      <c r="A31" s="1">
        <f t="shared" si="0"/>
        <v>30</v>
      </c>
      <c r="B31" s="1">
        <f t="shared" si="1"/>
        <v>1740</v>
      </c>
      <c r="C31" s="1">
        <f t="shared" si="2"/>
        <v>1800</v>
      </c>
      <c r="D31" s="1" t="str">
        <f t="shared" si="3"/>
        <v>06:00</v>
      </c>
      <c r="E31" s="1" t="e">
        <f>IF(A31&lt;=nHours,Log!$I49,NA())</f>
        <v>#N/A</v>
      </c>
      <c r="F31" s="1" t="e">
        <f t="shared" si="4"/>
        <v>#N/A</v>
      </c>
      <c r="G31" s="1" t="e">
        <f>IF(A31&lt;=nHours,IF(Log!$I49&gt;=K31,Log!$I49,NA()),NA())</f>
        <v>#N/A</v>
      </c>
      <c r="H31" s="1" t="e">
        <f>IF(A31&lt;=nHours,IF(Log!$I49&lt;K31,Log!$I49,NA()),NA())</f>
        <v>#N/A</v>
      </c>
      <c r="I31" s="1" t="e">
        <f>NA()</f>
        <v>#N/A</v>
      </c>
      <c r="J31" s="1" t="e">
        <f t="shared" si="5"/>
        <v>#N/A</v>
      </c>
      <c r="K31" s="1">
        <f>IF(Log!$O49&lt;&gt;"",Log!$O49,IF(A31=1,ReqInit,K30))</f>
        <v>0</v>
      </c>
    </row>
    <row r="32" spans="1:11" x14ac:dyDescent="0.25">
      <c r="A32" s="1">
        <f t="shared" si="0"/>
        <v>31</v>
      </c>
      <c r="B32" s="1">
        <f t="shared" si="1"/>
        <v>1800</v>
      </c>
      <c r="C32" s="1">
        <f t="shared" si="2"/>
        <v>1860</v>
      </c>
      <c r="D32" s="1" t="str">
        <f t="shared" si="3"/>
        <v>07:00</v>
      </c>
      <c r="E32" s="1" t="e">
        <f>IF(A32&lt;=nHours,Log!$I50,NA())</f>
        <v>#N/A</v>
      </c>
      <c r="F32" s="1" t="e">
        <f t="shared" si="4"/>
        <v>#N/A</v>
      </c>
      <c r="G32" s="1" t="e">
        <f>IF(A32&lt;=nHours,IF(Log!$I50&gt;=K32,Log!$I50,NA()),NA())</f>
        <v>#N/A</v>
      </c>
      <c r="H32" s="1" t="e">
        <f>IF(A32&lt;=nHours,IF(Log!$I50&lt;K32,Log!$I50,NA()),NA())</f>
        <v>#N/A</v>
      </c>
      <c r="I32" s="1" t="e">
        <f>NA()</f>
        <v>#N/A</v>
      </c>
      <c r="J32" s="1" t="e">
        <f t="shared" si="5"/>
        <v>#N/A</v>
      </c>
      <c r="K32" s="1">
        <f>IF(Log!$O50&lt;&gt;"",Log!$O50,IF(A32=1,ReqInit,K31))</f>
        <v>0</v>
      </c>
    </row>
    <row r="33" spans="1:11" x14ac:dyDescent="0.25">
      <c r="A33" s="1">
        <f t="shared" si="0"/>
        <v>32</v>
      </c>
      <c r="B33" s="1">
        <f t="shared" si="1"/>
        <v>1860</v>
      </c>
      <c r="C33" s="1">
        <f t="shared" si="2"/>
        <v>1920</v>
      </c>
      <c r="D33" s="1" t="str">
        <f t="shared" si="3"/>
        <v>08:00</v>
      </c>
      <c r="E33" s="1" t="e">
        <f>IF(A33&lt;=nHours,Log!$I51,NA())</f>
        <v>#N/A</v>
      </c>
      <c r="F33" s="1" t="e">
        <f t="shared" si="4"/>
        <v>#N/A</v>
      </c>
      <c r="G33" s="1" t="e">
        <f>IF(A33&lt;=nHours,IF(Log!$I51&gt;=K33,Log!$I51,NA()),NA())</f>
        <v>#N/A</v>
      </c>
      <c r="H33" s="1" t="e">
        <f>IF(A33&lt;=nHours,IF(Log!$I51&lt;K33,Log!$I51,NA()),NA())</f>
        <v>#N/A</v>
      </c>
      <c r="I33" s="1" t="e">
        <f>NA()</f>
        <v>#N/A</v>
      </c>
      <c r="J33" s="1" t="e">
        <f t="shared" si="5"/>
        <v>#N/A</v>
      </c>
      <c r="K33" s="1">
        <f>IF(Log!$O51&lt;&gt;"",Log!$O51,IF(A33=1,ReqInit,K32))</f>
        <v>0</v>
      </c>
    </row>
    <row r="34" spans="1:11" x14ac:dyDescent="0.25">
      <c r="A34" s="1">
        <f t="shared" ref="A34:A51" si="6">ROW()-1</f>
        <v>33</v>
      </c>
      <c r="B34" s="1">
        <f t="shared" ref="B34:B51" si="7">IF(A34=1,MIN($M$1,$M$2),C34-60)</f>
        <v>1920</v>
      </c>
      <c r="C34" s="1">
        <f t="shared" ref="C34:C51" si="8">$M$2+60*A34</f>
        <v>1980</v>
      </c>
      <c r="D34" s="1" t="str">
        <f t="shared" ref="D34:D51" si="9">TEXT(C34/1440,"hh:mm")</f>
        <v>09:00</v>
      </c>
      <c r="E34" s="1" t="e">
        <f>IF(A34&lt;=nHours,Log!$I52,NA())</f>
        <v>#N/A</v>
      </c>
      <c r="F34" s="1" t="e">
        <f t="shared" ref="F34:F51" si="10">IF(A34&lt;=nHours,K34,NA())</f>
        <v>#N/A</v>
      </c>
      <c r="G34" s="1" t="e">
        <f>IF(A34&lt;=nHours,IF(Log!$I52&gt;=K34,Log!$I52,NA()),NA())</f>
        <v>#N/A</v>
      </c>
      <c r="H34" s="1" t="e">
        <f>IF(A34&lt;=nHours,IF(Log!$I52&lt;K34,Log!$I52,NA()),NA())</f>
        <v>#N/A</v>
      </c>
      <c r="I34" s="1" t="e">
        <f>NA()</f>
        <v>#N/A</v>
      </c>
      <c r="J34" s="1" t="e">
        <f t="shared" ref="J34:J51" si="11">IF(A34&lt;=nHours,IF(ISNUMBER(K34),K34,NA()),NA())</f>
        <v>#N/A</v>
      </c>
      <c r="K34" s="1">
        <f>IF(Log!$O52&lt;&gt;"",Log!$O52,IF(A34=1,ReqInit,K33))</f>
        <v>0</v>
      </c>
    </row>
    <row r="35" spans="1:11" x14ac:dyDescent="0.25">
      <c r="A35" s="1">
        <f t="shared" si="6"/>
        <v>34</v>
      </c>
      <c r="B35" s="1">
        <f t="shared" si="7"/>
        <v>1980</v>
      </c>
      <c r="C35" s="1">
        <f t="shared" si="8"/>
        <v>2040</v>
      </c>
      <c r="D35" s="1" t="str">
        <f t="shared" si="9"/>
        <v>10:00</v>
      </c>
      <c r="E35" s="1" t="e">
        <f>IF(A35&lt;=nHours,Log!$I53,NA())</f>
        <v>#N/A</v>
      </c>
      <c r="F35" s="1" t="e">
        <f t="shared" si="10"/>
        <v>#N/A</v>
      </c>
      <c r="G35" s="1" t="e">
        <f>IF(A35&lt;=nHours,IF(Log!$I53&gt;=K35,Log!$I53,NA()),NA())</f>
        <v>#N/A</v>
      </c>
      <c r="H35" s="1" t="e">
        <f>IF(A35&lt;=nHours,IF(Log!$I53&lt;K35,Log!$I53,NA()),NA())</f>
        <v>#N/A</v>
      </c>
      <c r="I35" s="1" t="e">
        <f>NA()</f>
        <v>#N/A</v>
      </c>
      <c r="J35" s="1" t="e">
        <f t="shared" si="11"/>
        <v>#N/A</v>
      </c>
      <c r="K35" s="1">
        <f>IF(Log!$O53&lt;&gt;"",Log!$O53,IF(A35=1,ReqInit,K34))</f>
        <v>0</v>
      </c>
    </row>
    <row r="36" spans="1:11" x14ac:dyDescent="0.25">
      <c r="A36" s="1">
        <f t="shared" si="6"/>
        <v>35</v>
      </c>
      <c r="B36" s="1">
        <f t="shared" si="7"/>
        <v>2040</v>
      </c>
      <c r="C36" s="1">
        <f t="shared" si="8"/>
        <v>2100</v>
      </c>
      <c r="D36" s="1" t="str">
        <f t="shared" si="9"/>
        <v>11:00</v>
      </c>
      <c r="E36" s="1" t="e">
        <f>IF(A36&lt;=nHours,Log!$I54,NA())</f>
        <v>#N/A</v>
      </c>
      <c r="F36" s="1" t="e">
        <f t="shared" si="10"/>
        <v>#N/A</v>
      </c>
      <c r="G36" s="1" t="e">
        <f>IF(A36&lt;=nHours,IF(Log!$I54&gt;=K36,Log!$I54,NA()),NA())</f>
        <v>#N/A</v>
      </c>
      <c r="H36" s="1" t="e">
        <f>IF(A36&lt;=nHours,IF(Log!$I54&lt;K36,Log!$I54,NA()),NA())</f>
        <v>#N/A</v>
      </c>
      <c r="I36" s="1" t="e">
        <f>NA()</f>
        <v>#N/A</v>
      </c>
      <c r="J36" s="1" t="e">
        <f t="shared" si="11"/>
        <v>#N/A</v>
      </c>
      <c r="K36" s="1">
        <f>IF(Log!$O54&lt;&gt;"",Log!$O54,IF(A36=1,ReqInit,K35))</f>
        <v>0</v>
      </c>
    </row>
    <row r="37" spans="1:11" x14ac:dyDescent="0.25">
      <c r="A37" s="1">
        <f t="shared" si="6"/>
        <v>36</v>
      </c>
      <c r="B37" s="1">
        <f t="shared" si="7"/>
        <v>2100</v>
      </c>
      <c r="C37" s="1">
        <f t="shared" si="8"/>
        <v>2160</v>
      </c>
      <c r="D37" s="1" t="str">
        <f t="shared" si="9"/>
        <v>12:00</v>
      </c>
      <c r="E37" s="1" t="e">
        <f>IF(A37&lt;=nHours,Log!$I55,NA())</f>
        <v>#N/A</v>
      </c>
      <c r="F37" s="1" t="e">
        <f t="shared" si="10"/>
        <v>#N/A</v>
      </c>
      <c r="G37" s="1" t="e">
        <f>IF(A37&lt;=nHours,IF(Log!$I55&gt;=K37,Log!$I55,NA()),NA())</f>
        <v>#N/A</v>
      </c>
      <c r="H37" s="1" t="e">
        <f>IF(A37&lt;=nHours,IF(Log!$I55&lt;K37,Log!$I55,NA()),NA())</f>
        <v>#N/A</v>
      </c>
      <c r="I37" s="1" t="e">
        <f>NA()</f>
        <v>#N/A</v>
      </c>
      <c r="J37" s="1" t="e">
        <f t="shared" si="11"/>
        <v>#N/A</v>
      </c>
      <c r="K37" s="1">
        <f>IF(Log!$O55&lt;&gt;"",Log!$O55,IF(A37=1,ReqInit,K36))</f>
        <v>0</v>
      </c>
    </row>
    <row r="38" spans="1:11" x14ac:dyDescent="0.25">
      <c r="A38" s="1">
        <f t="shared" si="6"/>
        <v>37</v>
      </c>
      <c r="B38" s="1">
        <f t="shared" si="7"/>
        <v>2160</v>
      </c>
      <c r="C38" s="1">
        <f t="shared" si="8"/>
        <v>2220</v>
      </c>
      <c r="D38" s="1" t="str">
        <f t="shared" si="9"/>
        <v>13:00</v>
      </c>
      <c r="E38" s="1" t="e">
        <f>IF(A38&lt;=nHours,Log!$I56,NA())</f>
        <v>#N/A</v>
      </c>
      <c r="F38" s="1" t="e">
        <f t="shared" si="10"/>
        <v>#N/A</v>
      </c>
      <c r="G38" s="1" t="e">
        <f>IF(A38&lt;=nHours,IF(Log!$I56&gt;=K38,Log!$I56,NA()),NA())</f>
        <v>#N/A</v>
      </c>
      <c r="H38" s="1" t="e">
        <f>IF(A38&lt;=nHours,IF(Log!$I56&lt;K38,Log!$I56,NA()),NA())</f>
        <v>#N/A</v>
      </c>
      <c r="I38" s="1" t="e">
        <f>NA()</f>
        <v>#N/A</v>
      </c>
      <c r="J38" s="1" t="e">
        <f t="shared" si="11"/>
        <v>#N/A</v>
      </c>
      <c r="K38" s="1">
        <f>IF(Log!$O56&lt;&gt;"",Log!$O56,IF(A38=1,ReqInit,K37))</f>
        <v>0</v>
      </c>
    </row>
    <row r="39" spans="1:11" x14ac:dyDescent="0.25">
      <c r="A39" s="1">
        <f t="shared" si="6"/>
        <v>38</v>
      </c>
      <c r="B39" s="1">
        <f t="shared" si="7"/>
        <v>2220</v>
      </c>
      <c r="C39" s="1">
        <f t="shared" si="8"/>
        <v>2280</v>
      </c>
      <c r="D39" s="1" t="str">
        <f t="shared" si="9"/>
        <v>14:00</v>
      </c>
      <c r="E39" s="1" t="e">
        <f>IF(A39&lt;=nHours,Log!$I57,NA())</f>
        <v>#N/A</v>
      </c>
      <c r="F39" s="1" t="e">
        <f t="shared" si="10"/>
        <v>#N/A</v>
      </c>
      <c r="G39" s="1" t="e">
        <f>IF(A39&lt;=nHours,IF(Log!$I57&gt;=K39,Log!$I57,NA()),NA())</f>
        <v>#N/A</v>
      </c>
      <c r="H39" s="1" t="e">
        <f>IF(A39&lt;=nHours,IF(Log!$I57&lt;K39,Log!$I57,NA()),NA())</f>
        <v>#N/A</v>
      </c>
      <c r="I39" s="1" t="e">
        <f>NA()</f>
        <v>#N/A</v>
      </c>
      <c r="J39" s="1" t="e">
        <f t="shared" si="11"/>
        <v>#N/A</v>
      </c>
      <c r="K39" s="1">
        <f>IF(Log!$O57&lt;&gt;"",Log!$O57,IF(A39=1,ReqInit,K38))</f>
        <v>0</v>
      </c>
    </row>
    <row r="40" spans="1:11" x14ac:dyDescent="0.25">
      <c r="A40" s="1">
        <f t="shared" si="6"/>
        <v>39</v>
      </c>
      <c r="B40" s="1">
        <f t="shared" si="7"/>
        <v>2280</v>
      </c>
      <c r="C40" s="1">
        <f t="shared" si="8"/>
        <v>2340</v>
      </c>
      <c r="D40" s="1" t="str">
        <f t="shared" si="9"/>
        <v>15:00</v>
      </c>
      <c r="E40" s="1" t="e">
        <f>IF(A40&lt;=nHours,Log!$I58,NA())</f>
        <v>#N/A</v>
      </c>
      <c r="F40" s="1" t="e">
        <f t="shared" si="10"/>
        <v>#N/A</v>
      </c>
      <c r="G40" s="1" t="e">
        <f>IF(A40&lt;=nHours,IF(Log!$I58&gt;=K40,Log!$I58,NA()),NA())</f>
        <v>#N/A</v>
      </c>
      <c r="H40" s="1" t="e">
        <f>IF(A40&lt;=nHours,IF(Log!$I58&lt;K40,Log!$I58,NA()),NA())</f>
        <v>#N/A</v>
      </c>
      <c r="I40" s="1" t="e">
        <f>NA()</f>
        <v>#N/A</v>
      </c>
      <c r="J40" s="1" t="e">
        <f t="shared" si="11"/>
        <v>#N/A</v>
      </c>
      <c r="K40" s="1">
        <f>IF(Log!$O58&lt;&gt;"",Log!$O58,IF(A40=1,ReqInit,K39))</f>
        <v>0</v>
      </c>
    </row>
    <row r="41" spans="1:11" x14ac:dyDescent="0.25">
      <c r="A41" s="1">
        <f t="shared" si="6"/>
        <v>40</v>
      </c>
      <c r="B41" s="1">
        <f t="shared" si="7"/>
        <v>2340</v>
      </c>
      <c r="C41" s="1">
        <f t="shared" si="8"/>
        <v>2400</v>
      </c>
      <c r="D41" s="1" t="str">
        <f t="shared" si="9"/>
        <v>16:00</v>
      </c>
      <c r="E41" s="1" t="e">
        <f>IF(A41&lt;=nHours,Log!$I59,NA())</f>
        <v>#N/A</v>
      </c>
      <c r="F41" s="1" t="e">
        <f t="shared" si="10"/>
        <v>#N/A</v>
      </c>
      <c r="G41" s="1" t="e">
        <f>IF(A41&lt;=nHours,IF(Log!$I59&gt;=K41,Log!$I59,NA()),NA())</f>
        <v>#N/A</v>
      </c>
      <c r="H41" s="1" t="e">
        <f>IF(A41&lt;=nHours,IF(Log!$I59&lt;K41,Log!$I59,NA()),NA())</f>
        <v>#N/A</v>
      </c>
      <c r="I41" s="1" t="e">
        <f>NA()</f>
        <v>#N/A</v>
      </c>
      <c r="J41" s="1" t="e">
        <f t="shared" si="11"/>
        <v>#N/A</v>
      </c>
      <c r="K41" s="1">
        <f>IF(Log!$O59&lt;&gt;"",Log!$O59,IF(A41=1,ReqInit,K40))</f>
        <v>0</v>
      </c>
    </row>
    <row r="42" spans="1:11" x14ac:dyDescent="0.25">
      <c r="A42" s="1">
        <f t="shared" si="6"/>
        <v>41</v>
      </c>
      <c r="B42" s="1">
        <f t="shared" si="7"/>
        <v>2400</v>
      </c>
      <c r="C42" s="1">
        <f t="shared" si="8"/>
        <v>2460</v>
      </c>
      <c r="D42" s="1" t="str">
        <f t="shared" si="9"/>
        <v>17:00</v>
      </c>
      <c r="E42" s="1" t="e">
        <f>IF(A42&lt;=nHours,Log!$I60,NA())</f>
        <v>#N/A</v>
      </c>
      <c r="F42" s="1" t="e">
        <f t="shared" si="10"/>
        <v>#N/A</v>
      </c>
      <c r="G42" s="1" t="e">
        <f>IF(A42&lt;=nHours,IF(Log!$I60&gt;=K42,Log!$I60,NA()),NA())</f>
        <v>#N/A</v>
      </c>
      <c r="H42" s="1" t="e">
        <f>IF(A42&lt;=nHours,IF(Log!$I60&lt;K42,Log!$I60,NA()),NA())</f>
        <v>#N/A</v>
      </c>
      <c r="I42" s="1" t="e">
        <f>NA()</f>
        <v>#N/A</v>
      </c>
      <c r="J42" s="1" t="e">
        <f t="shared" si="11"/>
        <v>#N/A</v>
      </c>
      <c r="K42" s="1">
        <f>IF(Log!$O60&lt;&gt;"",Log!$O60,IF(A42=1,ReqInit,K41))</f>
        <v>0</v>
      </c>
    </row>
    <row r="43" spans="1:11" x14ac:dyDescent="0.25">
      <c r="A43" s="1">
        <f t="shared" si="6"/>
        <v>42</v>
      </c>
      <c r="B43" s="1">
        <f t="shared" si="7"/>
        <v>2460</v>
      </c>
      <c r="C43" s="1">
        <f t="shared" si="8"/>
        <v>2520</v>
      </c>
      <c r="D43" s="1" t="str">
        <f t="shared" si="9"/>
        <v>18:00</v>
      </c>
      <c r="E43" s="1" t="e">
        <f>IF(A43&lt;=nHours,Log!$I61,NA())</f>
        <v>#N/A</v>
      </c>
      <c r="F43" s="1" t="e">
        <f t="shared" si="10"/>
        <v>#N/A</v>
      </c>
      <c r="G43" s="1" t="e">
        <f>IF(A43&lt;=nHours,IF(Log!$I61&gt;=K43,Log!$I61,NA()),NA())</f>
        <v>#N/A</v>
      </c>
      <c r="H43" s="1" t="e">
        <f>IF(A43&lt;=nHours,IF(Log!$I61&lt;K43,Log!$I61,NA()),NA())</f>
        <v>#N/A</v>
      </c>
      <c r="I43" s="1" t="e">
        <f>NA()</f>
        <v>#N/A</v>
      </c>
      <c r="J43" s="1" t="e">
        <f t="shared" si="11"/>
        <v>#N/A</v>
      </c>
      <c r="K43" s="1">
        <f>IF(Log!$O61&lt;&gt;"",Log!$O61,IF(A43=1,ReqInit,K42))</f>
        <v>0</v>
      </c>
    </row>
    <row r="44" spans="1:11" x14ac:dyDescent="0.25">
      <c r="A44" s="1">
        <f t="shared" si="6"/>
        <v>43</v>
      </c>
      <c r="B44" s="1">
        <f t="shared" si="7"/>
        <v>2520</v>
      </c>
      <c r="C44" s="1">
        <f t="shared" si="8"/>
        <v>2580</v>
      </c>
      <c r="D44" s="1" t="str">
        <f t="shared" si="9"/>
        <v>19:00</v>
      </c>
      <c r="E44" s="1" t="e">
        <f>IF(A44&lt;=nHours,Log!$I62,NA())</f>
        <v>#N/A</v>
      </c>
      <c r="F44" s="1" t="e">
        <f t="shared" si="10"/>
        <v>#N/A</v>
      </c>
      <c r="G44" s="1" t="e">
        <f>IF(A44&lt;=nHours,IF(Log!$I62&gt;=K44,Log!$I62,NA()),NA())</f>
        <v>#N/A</v>
      </c>
      <c r="H44" s="1" t="e">
        <f>IF(A44&lt;=nHours,IF(Log!$I62&lt;K44,Log!$I62,NA()),NA())</f>
        <v>#N/A</v>
      </c>
      <c r="I44" s="1" t="e">
        <f>NA()</f>
        <v>#N/A</v>
      </c>
      <c r="J44" s="1" t="e">
        <f t="shared" si="11"/>
        <v>#N/A</v>
      </c>
      <c r="K44" s="1">
        <f>IF(Log!$O62&lt;&gt;"",Log!$O62,IF(A44=1,ReqInit,K43))</f>
        <v>0</v>
      </c>
    </row>
    <row r="45" spans="1:11" x14ac:dyDescent="0.25">
      <c r="A45" s="1">
        <f t="shared" si="6"/>
        <v>44</v>
      </c>
      <c r="B45" s="1">
        <f t="shared" si="7"/>
        <v>2580</v>
      </c>
      <c r="C45" s="1">
        <f t="shared" si="8"/>
        <v>2640</v>
      </c>
      <c r="D45" s="1" t="str">
        <f t="shared" si="9"/>
        <v>20:00</v>
      </c>
      <c r="E45" s="1" t="e">
        <f>IF(A45&lt;=nHours,Log!$I63,NA())</f>
        <v>#N/A</v>
      </c>
      <c r="F45" s="1" t="e">
        <f t="shared" si="10"/>
        <v>#N/A</v>
      </c>
      <c r="G45" s="1" t="e">
        <f>IF(A45&lt;=nHours,IF(Log!$I63&gt;=K45,Log!$I63,NA()),NA())</f>
        <v>#N/A</v>
      </c>
      <c r="H45" s="1" t="e">
        <f>IF(A45&lt;=nHours,IF(Log!$I63&lt;K45,Log!$I63,NA()),NA())</f>
        <v>#N/A</v>
      </c>
      <c r="I45" s="1" t="e">
        <f>NA()</f>
        <v>#N/A</v>
      </c>
      <c r="J45" s="1" t="e">
        <f t="shared" si="11"/>
        <v>#N/A</v>
      </c>
      <c r="K45" s="1">
        <f>IF(Log!$O63&lt;&gt;"",Log!$O63,IF(A45=1,ReqInit,K44))</f>
        <v>0</v>
      </c>
    </row>
    <row r="46" spans="1:11" x14ac:dyDescent="0.25">
      <c r="A46" s="1">
        <f t="shared" si="6"/>
        <v>45</v>
      </c>
      <c r="B46" s="1">
        <f t="shared" si="7"/>
        <v>2640</v>
      </c>
      <c r="C46" s="1">
        <f t="shared" si="8"/>
        <v>2700</v>
      </c>
      <c r="D46" s="1" t="str">
        <f t="shared" si="9"/>
        <v>21:00</v>
      </c>
      <c r="E46" s="1" t="e">
        <f>IF(A46&lt;=nHours,Log!$I64,NA())</f>
        <v>#N/A</v>
      </c>
      <c r="F46" s="1" t="e">
        <f t="shared" si="10"/>
        <v>#N/A</v>
      </c>
      <c r="G46" s="1" t="e">
        <f>IF(A46&lt;=nHours,IF(Log!$I64&gt;=K46,Log!$I64,NA()),NA())</f>
        <v>#N/A</v>
      </c>
      <c r="H46" s="1" t="e">
        <f>IF(A46&lt;=nHours,IF(Log!$I64&lt;K46,Log!$I64,NA()),NA())</f>
        <v>#N/A</v>
      </c>
      <c r="I46" s="1" t="e">
        <f>NA()</f>
        <v>#N/A</v>
      </c>
      <c r="J46" s="1" t="e">
        <f t="shared" si="11"/>
        <v>#N/A</v>
      </c>
      <c r="K46" s="1">
        <f>IF(Log!$O64&lt;&gt;"",Log!$O64,IF(A46=1,ReqInit,K45))</f>
        <v>0</v>
      </c>
    </row>
    <row r="47" spans="1:11" x14ac:dyDescent="0.25">
      <c r="A47" s="1">
        <f t="shared" si="6"/>
        <v>46</v>
      </c>
      <c r="B47" s="1">
        <f t="shared" si="7"/>
        <v>2700</v>
      </c>
      <c r="C47" s="1">
        <f t="shared" si="8"/>
        <v>2760</v>
      </c>
      <c r="D47" s="1" t="str">
        <f t="shared" si="9"/>
        <v>22:00</v>
      </c>
      <c r="E47" s="1" t="e">
        <f>IF(A47&lt;=nHours,Log!$I65,NA())</f>
        <v>#N/A</v>
      </c>
      <c r="F47" s="1" t="e">
        <f t="shared" si="10"/>
        <v>#N/A</v>
      </c>
      <c r="G47" s="1" t="e">
        <f>IF(A47&lt;=nHours,IF(Log!$I65&gt;=K47,Log!$I65,NA()),NA())</f>
        <v>#N/A</v>
      </c>
      <c r="H47" s="1" t="e">
        <f>IF(A47&lt;=nHours,IF(Log!$I65&lt;K47,Log!$I65,NA()),NA())</f>
        <v>#N/A</v>
      </c>
      <c r="I47" s="1" t="e">
        <f>NA()</f>
        <v>#N/A</v>
      </c>
      <c r="J47" s="1" t="e">
        <f t="shared" si="11"/>
        <v>#N/A</v>
      </c>
      <c r="K47" s="1">
        <f>IF(Log!$O65&lt;&gt;"",Log!$O65,IF(A47=1,ReqInit,K46))</f>
        <v>0</v>
      </c>
    </row>
    <row r="48" spans="1:11" x14ac:dyDescent="0.25">
      <c r="A48" s="1">
        <f t="shared" si="6"/>
        <v>47</v>
      </c>
      <c r="B48" s="1">
        <f t="shared" si="7"/>
        <v>2760</v>
      </c>
      <c r="C48" s="1">
        <f t="shared" si="8"/>
        <v>2820</v>
      </c>
      <c r="D48" s="1" t="str">
        <f t="shared" si="9"/>
        <v>23:00</v>
      </c>
      <c r="E48" s="1" t="e">
        <f>IF(A48&lt;=nHours,Log!$I66,NA())</f>
        <v>#N/A</v>
      </c>
      <c r="F48" s="1" t="e">
        <f t="shared" si="10"/>
        <v>#N/A</v>
      </c>
      <c r="G48" s="1" t="e">
        <f>IF(A48&lt;=nHours,IF(Log!$I66&gt;=K48,Log!$I66,NA()),NA())</f>
        <v>#N/A</v>
      </c>
      <c r="H48" s="1" t="e">
        <f>IF(A48&lt;=nHours,IF(Log!$I66&lt;K48,Log!$I66,NA()),NA())</f>
        <v>#N/A</v>
      </c>
      <c r="I48" s="1" t="e">
        <f>NA()</f>
        <v>#N/A</v>
      </c>
      <c r="J48" s="1" t="e">
        <f t="shared" si="11"/>
        <v>#N/A</v>
      </c>
      <c r="K48" s="1">
        <f>IF(Log!$O66&lt;&gt;"",Log!$O66,IF(A48=1,ReqInit,K47))</f>
        <v>0</v>
      </c>
    </row>
    <row r="49" spans="1:11" x14ac:dyDescent="0.25">
      <c r="A49" s="1">
        <f t="shared" si="6"/>
        <v>48</v>
      </c>
      <c r="B49" s="1">
        <f t="shared" si="7"/>
        <v>2820</v>
      </c>
      <c r="C49" s="1">
        <f t="shared" si="8"/>
        <v>2880</v>
      </c>
      <c r="D49" s="1" t="str">
        <f t="shared" si="9"/>
        <v>00:00</v>
      </c>
      <c r="E49" s="1" t="e">
        <f>IF(A49&lt;=nHours,Log!$I67,NA())</f>
        <v>#N/A</v>
      </c>
      <c r="F49" s="1" t="e">
        <f t="shared" si="10"/>
        <v>#N/A</v>
      </c>
      <c r="G49" s="1" t="e">
        <f>IF(A49&lt;=nHours,IF(Log!$I67&gt;=K49,Log!$I67,NA()),NA())</f>
        <v>#N/A</v>
      </c>
      <c r="H49" s="1" t="e">
        <f>IF(A49&lt;=nHours,IF(Log!$I67&lt;K49,Log!$I67,NA()),NA())</f>
        <v>#N/A</v>
      </c>
      <c r="I49" s="1" t="e">
        <f>NA()</f>
        <v>#N/A</v>
      </c>
      <c r="J49" s="1" t="e">
        <f t="shared" si="11"/>
        <v>#N/A</v>
      </c>
      <c r="K49" s="1">
        <f>IF(Log!$O67&lt;&gt;"",Log!$O67,IF(A49=1,ReqInit,K48))</f>
        <v>0</v>
      </c>
    </row>
    <row r="50" spans="1:11" x14ac:dyDescent="0.25">
      <c r="A50" s="1">
        <f t="shared" si="6"/>
        <v>49</v>
      </c>
      <c r="B50" s="1">
        <f t="shared" si="7"/>
        <v>2880</v>
      </c>
      <c r="C50" s="1">
        <f t="shared" si="8"/>
        <v>2940</v>
      </c>
      <c r="D50" s="1" t="str">
        <f t="shared" si="9"/>
        <v>01:00</v>
      </c>
      <c r="E50" s="1" t="e">
        <f>IF(A50&lt;=nHours,Log!$I68,NA())</f>
        <v>#N/A</v>
      </c>
      <c r="F50" s="1" t="e">
        <f t="shared" si="10"/>
        <v>#N/A</v>
      </c>
      <c r="G50" s="1" t="e">
        <f>IF(A50&lt;=nHours,IF(Log!$I68&gt;=K50,Log!$I68,NA()),NA())</f>
        <v>#N/A</v>
      </c>
      <c r="H50" s="1" t="e">
        <f>IF(A50&lt;=nHours,IF(Log!$I68&lt;K50,Log!$I68,NA()),NA())</f>
        <v>#N/A</v>
      </c>
      <c r="I50" s="1" t="e">
        <f>NA()</f>
        <v>#N/A</v>
      </c>
      <c r="J50" s="1" t="e">
        <f t="shared" si="11"/>
        <v>#N/A</v>
      </c>
      <c r="K50" s="1">
        <f>IF(Log!$O68&lt;&gt;"",Log!$O68,IF(A50=1,ReqInit,K49))</f>
        <v>0</v>
      </c>
    </row>
    <row r="51" spans="1:11" x14ac:dyDescent="0.25">
      <c r="A51" s="1">
        <f t="shared" si="6"/>
        <v>50</v>
      </c>
      <c r="B51" s="1">
        <f t="shared" si="7"/>
        <v>2940</v>
      </c>
      <c r="C51" s="1">
        <f t="shared" si="8"/>
        <v>3000</v>
      </c>
      <c r="D51" s="1" t="str">
        <f t="shared" si="9"/>
        <v>02:00</v>
      </c>
      <c r="E51" s="1" t="e">
        <f>IF(A51&lt;=nHours,Log!$I69,NA())</f>
        <v>#N/A</v>
      </c>
      <c r="F51" s="1" t="e">
        <f t="shared" si="10"/>
        <v>#N/A</v>
      </c>
      <c r="G51" s="1" t="e">
        <f>IF(A51&lt;=nHours,IF(Log!$I69&gt;=K51,Log!$I69,NA()),NA())</f>
        <v>#N/A</v>
      </c>
      <c r="H51" s="1" t="e">
        <f>IF(A51&lt;=nHours,IF(Log!$I69&lt;K51,Log!$I69,NA()),NA())</f>
        <v>#N/A</v>
      </c>
      <c r="I51" s="1" t="e">
        <f>NA()</f>
        <v>#N/A</v>
      </c>
      <c r="J51" s="1" t="e">
        <f t="shared" si="11"/>
        <v>#N/A</v>
      </c>
      <c r="K51" s="1">
        <f>IF(Log!$O69&lt;&gt;"",Log!$O69,IF(A51=1,ReqInit,K50))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Log</vt:lpstr>
      <vt:lpstr>Messages</vt:lpstr>
      <vt:lpstr>Picture</vt:lpstr>
      <vt:lpstr>Calc</vt:lpstr>
      <vt:lpstr>nHours</vt:lpstr>
      <vt:lpstr>ReqInit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Elkady</dc:creator>
  <cp:lastModifiedBy>Ahmed Elkady</cp:lastModifiedBy>
  <dcterms:created xsi:type="dcterms:W3CDTF">2026-10-12T12:38:49Z</dcterms:created>
  <dcterms:modified xsi:type="dcterms:W3CDTF">2026-10-14T12:19:54Z</dcterms:modified>
</cp:coreProperties>
</file>